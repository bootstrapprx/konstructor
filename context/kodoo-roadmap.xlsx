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Telas" sheetId="4" state="visible" r:id="rId4"/>
    <sheet xmlns:r="http://schemas.openxmlformats.org/officeDocument/2006/relationships" name="Funções" sheetId="5" state="visible" r:id="rId5"/>
    <sheet xmlns:r="http://schemas.openxmlformats.org/officeDocument/2006/relationships" name="Arquétipos" sheetId="6" state="visible" r:id="rId6"/>
    <sheet xmlns:r="http://schemas.openxmlformats.org/officeDocument/2006/relationships" name="Fases" sheetId="7" state="visible" r:id="rId7"/>
    <sheet xmlns:r="http://schemas.openxmlformats.org/officeDocument/2006/relationships" name="Modules" sheetId="8" state="visible" r:id="rId8"/>
    <sheet xmlns:r="http://schemas.openxmlformats.org/officeDocument/2006/relationships" name="Constants &amp; Enums" sheetId="9" state="visible" r:id="rId9"/>
    <sheet xmlns:r="http://schemas.openxmlformats.org/officeDocument/2006/relationships" name="Metrics &amp; Formulas" sheetId="10" state="visible" r:id="rId10"/>
    <sheet xmlns:r="http://schemas.openxmlformats.org/officeDocument/2006/relationships" name="Projections &amp; Dashboards" sheetId="11" state="visible" r:id="rId11"/>
    <sheet xmlns:r="http://schemas.openxmlformats.org/officeDocument/2006/relationships" name="Dependencies" sheetId="12" state="visible" r:id="rId12"/>
    <sheet xmlns:r="http://schemas.openxmlformats.org/officeDocument/2006/relationships" name="Decisões pendentes" sheetId="13" state="visible" r:id="rId13"/>
    <sheet xmlns:r="http://schemas.openxmlformats.org/officeDocument/2006/relationships" name="Gates de aceite" sheetId="14" state="visible" r:id="rId14"/>
    <sheet xmlns:r="http://schemas.openxmlformats.org/officeDocument/2006/relationships" name="Auditoria" sheetId="15" state="visible" r:id="rId15"/>
    <sheet xmlns:r="http://schemas.openxmlformats.org/officeDocument/2006/relationships" name="Racional (Constantes)" sheetId="16" state="visible" r:id="rId16"/>
    <sheet xmlns:r="http://schemas.openxmlformats.org/officeDocument/2006/relationships" name="Listas" sheetId="17" state="visible" r:id="rId17"/>
    <sheet xmlns:r="http://schemas.openxmlformats.org/officeDocument/2006/relationships" name="Manifesto de Arquivos" sheetId="18" state="visible" r:id="rId18"/>
  </sheets>
  <definedNames>
    <definedName name="_xlnm._FilterDatabase" localSheetId="2" hidden="1">'Roadmap'!$A$5:$N$31</definedName>
    <definedName name="_xlnm._FilterDatabase" localSheetId="3" hidden="1">'Telas'!$A$4:$P$400</definedName>
    <definedName name="_xlnm._FilterDatabase" localSheetId="4" hidden="1">'Funções'!$A$4:$S$300</definedName>
    <definedName name="_xlnm._FilterDatabase" localSheetId="6" hidden="1">'Fases'!$A$4:$G$12</definedName>
    <definedName name="_xlnm._FilterDatabase" localSheetId="7" hidden="1">'Modules'!$A$4:$I$16</definedName>
    <definedName name="_xlnm._FilterDatabase" localSheetId="8" hidden="1">'Constants &amp; Enums'!$A$4:$T$200</definedName>
    <definedName name="_xlnm._FilterDatabase" localSheetId="9" hidden="1">'Metrics &amp; Formulas'!$A$4:$T$200</definedName>
    <definedName name="_xlnm._FilterDatabase" localSheetId="10" hidden="1">'Projections &amp; Dashboards'!$A$4:$W$200</definedName>
    <definedName name="_xlnm._FilterDatabase" localSheetId="11" hidden="1">'Dependencies'!$A$4:$J$300</definedName>
    <definedName name="_xlnm._FilterDatabase" localSheetId="12" hidden="1">'Decisões pendentes'!$A$4:$J$104</definedName>
    <definedName name="_xlnm._FilterDatabase" localSheetId="13" hidden="1">'Gates de aceite'!$A$4:$G$18</definedName>
    <definedName name="_xlnm._FilterDatabase" localSheetId="14" hidden="1">'Auditoria'!$A$4:$F$13</definedName>
    <definedName name="_xlnm._FilterDatabase" localSheetId="17" hidden="1">'Manifesto de Arquivos'!$A$4:$G$27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7365D"/>
      <sz val="11"/>
    </font>
    <font>
      <name val="Calibri"/>
      <charset val="1"/>
      <family val="2"/>
      <color theme="10"/>
      <sz val="12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595959"/>
      <sz val="9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17365D"/>
      <sz val="2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sz val="10"/>
    </font>
    <font>
      <name val="Consolas"/>
      <charset val="1"/>
      <family val="0"/>
      <sz val="9"/>
    </font>
    <font>
      <name val="Calibri"/>
      <charset val="1"/>
      <family val="0"/>
      <b val="1"/>
      <color rgb="FFFFFFFF"/>
      <sz val="14"/>
    </font>
    <font>
      <name val="Aptos Display"/>
      <b val="1"/>
      <color rgb="00FFFFFF"/>
      <sz val="16"/>
    </font>
    <font>
      <b val="1"/>
      <color rgb="00FFFFFF"/>
    </font>
    <font>
      <b val="1"/>
      <color rgb="0016324F"/>
    </font>
  </fonts>
  <fills count="10">
    <fill>
      <patternFill/>
    </fill>
    <fill>
      <patternFill patternType="gray125"/>
    </fill>
    <fill>
      <patternFill patternType="solid">
        <fgColor rgb="FF17365D"/>
        <bgColor rgb="FF25476A"/>
      </patternFill>
    </fill>
    <fill>
      <patternFill patternType="solid">
        <fgColor rgb="FFF2F6FA"/>
        <bgColor rgb="FFF2F2F2"/>
      </patternFill>
    </fill>
    <fill>
      <patternFill patternType="solid">
        <fgColor rgb="FF25476A"/>
        <bgColor rgb="FF17365D"/>
      </patternFill>
    </fill>
    <fill>
      <patternFill patternType="solid">
        <fgColor rgb="FFDCE6F1"/>
        <bgColor rgb="FFE4E7EB"/>
      </patternFill>
    </fill>
    <fill>
      <patternFill patternType="solid">
        <fgColor rgb="FFF2F2F2"/>
        <bgColor rgb="FFF2F6FA"/>
      </patternFill>
    </fill>
    <fill>
      <patternFill patternType="solid">
        <fgColor rgb="0016324F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/>
      <diagonal/>
    </border>
    <border>
      <left style="thin">
        <color rgb="FFD0D7E2"/>
      </left>
      <right style="thin">
        <color rgb="FFD0D7E2"/>
      </right>
      <top/>
      <bottom/>
      <diagonal/>
    </border>
    <border>
      <left style="thin">
        <color rgb="FFD0D7E2"/>
      </left>
      <right style="thin">
        <color rgb="FFD0D7E2"/>
      </right>
      <top/>
      <bottom style="thin">
        <color rgb="FFD0D7E2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0D7E2"/>
      </top>
      <bottom/>
      <diagonal/>
    </border>
    <border>
      <left/>
      <right style="thin">
        <color rgb="FFD0D7E2"/>
      </right>
      <top style="thin">
        <color rgb="FFD0D7E2"/>
      </top>
      <bottom/>
      <diagonal/>
    </border>
    <border>
      <left/>
      <right style="thin">
        <color rgb="FFD0D7E2"/>
      </right>
      <top/>
      <bottom/>
      <diagonal/>
    </border>
    <border>
      <left/>
      <right style="thin">
        <color rgb="FFD0D7E2"/>
      </right>
      <top/>
      <bottom style="thin">
        <color rgb="FFD0D7E2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2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general" vertical="top" wrapText="1"/>
    </xf>
    <xf numFmtId="1" fontId="12" fillId="3" borderId="2" applyAlignment="1" pivotButton="0" quotePrefix="0" xfId="0">
      <alignment horizontal="center" vertical="center"/>
    </xf>
    <xf numFmtId="9" fontId="12" fillId="3" borderId="2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4" fillId="5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general" vertical="center" wrapText="1"/>
    </xf>
    <xf numFmtId="1" fontId="15" fillId="0" borderId="4" applyAlignment="1" pivotButton="0" quotePrefix="0" xfId="0">
      <alignment horizontal="center" vertical="center"/>
    </xf>
    <xf numFmtId="1" fontId="14" fillId="0" borderId="4" applyAlignment="1" pivotButton="0" quotePrefix="0" xfId="0">
      <alignment horizontal="center" vertical="center"/>
    </xf>
    <xf numFmtId="9" fontId="15" fillId="0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general" vertical="center" wrapText="1"/>
    </xf>
    <xf numFmtId="1" fontId="14" fillId="5" borderId="4" applyAlignment="1" pivotButton="0" quotePrefix="0" xfId="0">
      <alignment horizontal="center" vertical="center"/>
    </xf>
    <xf numFmtId="9" fontId="14" fillId="5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5" fillId="4" borderId="5" applyAlignment="1" pivotButton="0" quotePrefix="0" xfId="0">
      <alignment horizontal="general" vertical="top" wrapText="1"/>
    </xf>
    <xf numFmtId="0" fontId="5" fillId="4" borderId="0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general" vertical="top" wrapText="1"/>
    </xf>
    <xf numFmtId="0" fontId="19" fillId="6" borderId="5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center" vertical="top"/>
    </xf>
    <xf numFmtId="0" fontId="5" fillId="2" borderId="0" applyAlignment="1" pivotButton="0" quotePrefix="0" xfId="0">
      <alignment horizontal="general" vertical="bottom"/>
    </xf>
    <xf numFmtId="0" fontId="5" fillId="4" borderId="5" applyAlignment="1" pivotButton="0" quotePrefix="0" xfId="0">
      <alignment horizontal="general" vertical="center" wrapText="1"/>
    </xf>
    <xf numFmtId="0" fontId="20" fillId="0" borderId="5" applyAlignment="1" pivotButton="0" quotePrefix="0" xfId="0">
      <alignment horizontal="general" vertical="top" wrapText="1"/>
    </xf>
    <xf numFmtId="0" fontId="21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 wrapText="1"/>
    </xf>
    <xf numFmtId="0" fontId="13" fillId="4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general" vertical="top" wrapText="1"/>
    </xf>
    <xf numFmtId="0" fontId="15" fillId="3" borderId="4" applyAlignment="1" pivotButton="0" quotePrefix="0" xfId="0">
      <alignment horizontal="center" vertical="top" wrapText="1"/>
    </xf>
    <xf numFmtId="0" fontId="15" fillId="3" borderId="4" applyAlignment="1" pivotButton="0" quotePrefix="0" xfId="0">
      <alignment horizontal="center" vertical="top" wrapText="1"/>
    </xf>
    <xf numFmtId="0" fontId="15" fillId="3" borderId="4" applyAlignment="1" pivotButton="0" quotePrefix="0" xfId="0">
      <alignment horizontal="general" vertical="top" wrapText="1"/>
    </xf>
    <xf numFmtId="0" fontId="14" fillId="3" borderId="4" applyAlignment="1" pivotButton="0" quotePrefix="0" xfId="0">
      <alignment horizontal="general" vertical="top" wrapText="1"/>
    </xf>
    <xf numFmtId="0" fontId="14" fillId="5" borderId="4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2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1" fillId="3" borderId="0" applyAlignment="1" pivotButton="0" quotePrefix="0" xfId="0">
      <alignment horizontal="general" vertical="top" wrapText="1"/>
    </xf>
    <xf numFmtId="1" fontId="12" fillId="3" borderId="2" applyAlignment="1" pivotButton="0" quotePrefix="0" xfId="0">
      <alignment horizontal="center" vertical="center"/>
    </xf>
    <xf numFmtId="9" fontId="1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11" fillId="3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1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4" fillId="5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general" vertical="center" wrapText="1"/>
    </xf>
    <xf numFmtId="1" fontId="15" fillId="0" borderId="4" applyAlignment="1" pivotButton="0" quotePrefix="0" xfId="0">
      <alignment horizontal="center" vertical="center"/>
    </xf>
    <xf numFmtId="1" fontId="14" fillId="0" borderId="4" applyAlignment="1" pivotButton="0" quotePrefix="0" xfId="0">
      <alignment horizontal="center" vertical="center"/>
    </xf>
    <xf numFmtId="9" fontId="15" fillId="0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general" vertical="center" wrapText="1"/>
    </xf>
    <xf numFmtId="1" fontId="14" fillId="5" borderId="4" applyAlignment="1" pivotButton="0" quotePrefix="0" xfId="0">
      <alignment horizontal="center" vertical="center"/>
    </xf>
    <xf numFmtId="9" fontId="14" fillId="5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top" wrapText="1"/>
    </xf>
    <xf numFmtId="0" fontId="5" fillId="4" borderId="5" applyAlignment="1" pivotButton="0" quotePrefix="0" xfId="0">
      <alignment horizontal="general" vertical="top" wrapText="1"/>
    </xf>
    <xf numFmtId="0" fontId="5" fillId="4" borderId="0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general" vertical="top" wrapText="1"/>
    </xf>
    <xf numFmtId="0" fontId="19" fillId="6" borderId="5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center" vertical="top"/>
    </xf>
    <xf numFmtId="0" fontId="5" fillId="2" borderId="0" applyAlignment="1" pivotButton="0" quotePrefix="0" xfId="0">
      <alignment horizontal="general" vertical="bottom"/>
    </xf>
    <xf numFmtId="0" fontId="5" fillId="4" borderId="5" applyAlignment="1" pivotButton="0" quotePrefix="0" xfId="0">
      <alignment horizontal="general" vertical="center" wrapText="1"/>
    </xf>
    <xf numFmtId="0" fontId="20" fillId="0" borderId="5" applyAlignment="1" pivotButton="0" quotePrefix="0" xfId="0">
      <alignment horizontal="general" vertical="top" wrapText="1"/>
    </xf>
    <xf numFmtId="0" fontId="21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 wrapText="1"/>
    </xf>
    <xf numFmtId="0" fontId="13" fillId="4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general" vertical="top" wrapText="1"/>
    </xf>
    <xf numFmtId="0" fontId="15" fillId="3" borderId="4" applyAlignment="1" pivotButton="0" quotePrefix="0" xfId="0">
      <alignment horizontal="center" vertical="top" wrapText="1"/>
    </xf>
    <xf numFmtId="0" fontId="15" fillId="3" borderId="4" applyAlignment="1" pivotButton="0" quotePrefix="0" xfId="0">
      <alignment horizontal="general" vertical="top" wrapText="1"/>
    </xf>
    <xf numFmtId="0" fontId="14" fillId="3" borderId="4" applyAlignment="1" pivotButton="0" quotePrefix="0" xfId="0">
      <alignment horizontal="general" vertical="top" wrapText="1"/>
    </xf>
    <xf numFmtId="0" fontId="14" fillId="5" borderId="4" applyAlignment="1" pivotButton="0" quotePrefix="0" xfId="0">
      <alignment horizontal="general" vertical="top" wrapText="1"/>
    </xf>
    <xf numFmtId="0" fontId="19" fillId="0" borderId="5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3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top" wrapText="1"/>
    </xf>
    <xf numFmtId="0" fontId="24" fillId="0" borderId="0" pivotButton="0" quotePrefix="0" xfId="0"/>
    <xf numFmtId="0" fontId="0" fillId="0" borderId="0" applyAlignment="1" pivotButton="0" quotePrefix="0" xfId="0">
      <alignment wrapText="1"/>
    </xf>
    <xf numFmtId="0" fontId="24" fillId="0" borderId="0" applyAlignment="1" pivotButton="0" quotePrefix="0" xfId="0">
      <alignment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36">
    <dxf>
      <font>
        <b val="1"/>
        <color rgb="FFC0392B"/>
        <sz val="22"/>
      </font>
    </dxf>
    <dxf>
      <font>
        <b val="1"/>
        <color rgb="FF2E8B57"/>
        <sz val="22"/>
      </font>
    </dxf>
    <dxf>
      <fill>
        <patternFill patternType="solid">
          <fgColor rgb="FF2547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7EB"/>
          <bgColor rgb="FF000000"/>
        </patternFill>
      </fill>
    </dxf>
    <dxf>
      <fill>
        <patternFill patternType="solid">
          <fgColor rgb="FFF8D0D0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9AA5B1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ont>
        <b val="1"/>
        <color rgb="FF1F2933"/>
      </font>
      <fill>
        <patternFill>
          <bgColor rgb="FF9AA5B1"/>
        </patternFill>
      </fill>
    </dxf>
    <dxf>
      <font>
        <b val="1"/>
        <color rgb="FF1F2933"/>
      </font>
      <fill>
        <patternFill>
          <bgColor rgb="FFCBD2D9"/>
        </patternFill>
      </fill>
    </dxf>
    <dxf>
      <font>
        <b val="1"/>
        <color rgb="FFFFFFFF"/>
      </font>
      <fill>
        <patternFill>
          <bgColor rgb="FF4F8EF7"/>
        </patternFill>
      </fill>
    </dxf>
    <dxf>
      <font>
        <b val="1"/>
        <color rgb="FF1F2933"/>
      </font>
      <fill>
        <patternFill>
          <bgColor rgb="FFF5A623"/>
        </patternFill>
      </fill>
    </dxf>
    <dxf>
      <font>
        <b val="1"/>
        <color rgb="FFFFFFFF"/>
      </font>
      <fill>
        <patternFill>
          <bgColor rgb="FF3FB27F"/>
        </patternFill>
      </fill>
    </dxf>
    <dxf>
      <font>
        <b val="1"/>
        <color rgb="FFFFFFFF"/>
      </font>
      <fill>
        <patternFill>
          <bgColor rgb="FFE5484D"/>
        </patternFill>
      </fill>
    </dxf>
    <dxf>
      <font>
        <b val="1"/>
        <color rgb="FF1F2933"/>
      </font>
      <fill>
        <patternFill>
          <bgColor rgb="FFE4E7EB"/>
        </patternFill>
      </fill>
    </dxf>
    <dxf>
      <font>
        <b val="1"/>
      </font>
      <fill>
        <patternFill>
          <bgColor rgb="FFF8D0D0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E4E7EB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CDEFD8"/>
          <bgColor rgb="FF000000"/>
        </patternFill>
      </fill>
    </dxf>
    <dxf>
      <font>
        <b val="1"/>
        <color rgb="FFFFFFFF"/>
      </font>
      <fill>
        <patternFill>
          <bgColor rgb="FFF5A623"/>
        </patternFill>
      </fill>
    </dxf>
    <dxf>
      <fill>
        <patternFill>
          <bgColor rgb="FFF8D0D0"/>
        </patternFill>
      </fill>
    </dxf>
    <dxf>
      <fill>
        <patternFill>
          <bgColor rgb="FFFCE8B2"/>
        </patternFill>
      </fill>
    </dxf>
    <dxf>
      <fill>
        <patternFill>
          <bgColor rgb="FFE4E7EB"/>
        </patternFill>
      </fill>
    </dxf>
    <dxf>
      <fill>
        <patternFill>
          <bgColor rgb="FFCDEFD8"/>
        </patternFill>
      </fill>
    </dxf>
    <dxf>
      <font>
        <b val="1"/>
        <color rgb="FFC0392B"/>
      </font>
    </dxf>
    <dxf>
      <font>
        <b val="1"/>
      </font>
      <fill>
        <patternFill>
          <bgColor rgb="FFCDEF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8B2"/>
      <rgbColor rgb="FFFF00FF"/>
      <rgbColor rgb="FF00FFFF"/>
      <rgbColor rgb="FF800000"/>
      <rgbColor rgb="FF008000"/>
      <rgbColor rgb="FF000080"/>
      <rgbColor rgb="FFB8860B"/>
      <rgbColor rgb="FF800080"/>
      <rgbColor rgb="FF1F8A70"/>
      <rgbColor rgb="FFBFBFBF"/>
      <rgbColor rgb="FF808080"/>
      <rgbColor rgb="FFE4E7EB"/>
      <rgbColor rgb="FF993366"/>
      <rgbColor rgb="FFF2F2F2"/>
      <rgbColor rgb="FFCDEFD8"/>
      <rgbColor rgb="FF660066"/>
      <rgbColor rgb="FFFF8080"/>
      <rgbColor rgb="FF0066CC"/>
      <rgbColor rgb="FFD0D7E2"/>
      <rgbColor rgb="FF000080"/>
      <rgbColor rgb="FFFF00FF"/>
      <rgbColor rgb="FFF2F6FA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CBD2D9"/>
      <rgbColor rgb="FFD9D9D9"/>
      <rgbColor rgb="FFB3B3B3"/>
      <rgbColor rgb="FFF8D0D0"/>
      <rgbColor rgb="FF4F8EF7"/>
      <rgbColor rgb="FF3FB27F"/>
      <rgbColor rgb="FF99CC00"/>
      <rgbColor rgb="FFFFCC00"/>
      <rgbColor rgb="FFF5A623"/>
      <rgbColor rgb="FFE5484D"/>
      <rgbColor rgb="FF595959"/>
      <rgbColor rgb="FF9AA5B1"/>
      <rgbColor rgb="FF17365D"/>
      <rgbColor rgb="FF2E8B57"/>
      <rgbColor rgb="FF003300"/>
      <rgbColor rgb="FF333300"/>
      <rgbColor rgb="FFC0392B"/>
      <rgbColor rgb="FF993366"/>
      <rgbColor rgb="FF25476A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Roadmap — itens por fase e estado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Painel!B13</f>
              <strCache>
                <ptCount val="1"/>
                <pt idx="0">
                  <v>A validar</v>
                </pt>
              </strCache>
            </strRef>
          </tx>
          <spPr>
            <a:solidFill xmlns:a="http://schemas.openxmlformats.org/drawingml/2006/main">
              <a:srgbClr val="9aa5b1"/>
            </a:solidFill>
            <a:ln xmlns:a="http://schemas.openxmlformats.org/drawingml/2006/main" w="0">
              <a:solidFill>
                <a:srgbClr val="9aa5b1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Painel!$B$14:$B$22</f>
              <numCache>
                <formatCode>0</formatCode>
                <ptCount val="9"/>
                <pt idx="0">
                  <v>1</v>
                </pt>
                <pt idx="1">
                  <v>1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3</v>
                </pt>
                <pt idx="6">
                  <v>1</v>
                </pt>
                <pt idx="7">
                  <v>8</v>
                </pt>
                <pt idx="8">
                  <v>6</v>
                </pt>
              </numCache>
            </numRef>
          </val>
        </ser>
        <ser>
          <idx val="1"/>
          <order val="1"/>
          <tx>
            <strRef>
              <f>Painel!C13</f>
              <strCache>
                <ptCount val="1"/>
                <pt idx="0">
                  <v>Não iniciado</v>
                </pt>
              </strCache>
            </strRef>
          </tx>
          <spPr>
            <a:solidFill xmlns:a="http://schemas.openxmlformats.org/drawingml/2006/main">
              <a:srgbClr val="cbd2d9"/>
            </a:solidFill>
            <a:ln xmlns:a="http://schemas.openxmlformats.org/drawingml/2006/main" w="0">
              <a:solidFill>
                <a:srgbClr val="cbd2d9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Painel!$C$14:$C$22</f>
              <numCache>
                <formatCode>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2"/>
          <order val="2"/>
          <tx>
            <strRef>
              <f>Painel!D13</f>
              <strCache>
                <ptCount val="1"/>
                <pt idx="0">
                  <v>Em andamento</v>
                </pt>
              </strCache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 w="0">
              <a:solidFill>
                <a:srgbClr val="4f8ef7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Painel!$D$14:$D$22</f>
              <numCache>
                <formatCode>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3"/>
          <order val="3"/>
          <tx>
            <strRef>
              <f>Painel!E13</f>
              <strCache>
                <ptCount val="1"/>
                <pt idx="0">
                  <v>Parcial</v>
                </pt>
              </strCache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0">
              <a:solidFill>
                <a:srgbClr val="f5a623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Painel!$E$14:$E$22</f>
              <numCache>
                <formatCode>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4"/>
          <order val="4"/>
          <tx>
            <strRef>
              <f>Painel!F13</f>
              <strCache>
                <ptCount val="1"/>
                <pt idx="0">
                  <v>Concluído</v>
                </pt>
              </strCache>
            </strRef>
          </tx>
          <spPr>
            <a:solidFill xmlns:a="http://schemas.openxmlformats.org/drawingml/2006/main">
              <a:srgbClr val="3fb27f"/>
            </a:solidFill>
            <a:ln xmlns:a="http://schemas.openxmlformats.org/drawingml/2006/main" w="0">
              <a:solidFill>
                <a:srgbClr val="3fb27f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Painel!$F$14:$F$22</f>
              <numCache>
                <formatCode>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5"/>
          <order val="5"/>
          <tx>
            <strRef>
              <f>Painel!G13</f>
              <strCache>
                <ptCount val="1"/>
                <pt idx="0">
                  <v>Bloqueado</v>
                </pt>
              </strCache>
            </strRef>
          </tx>
          <spPr>
            <a:solidFill xmlns:a="http://schemas.openxmlformats.org/drawingml/2006/main">
              <a:srgbClr val="e5484d"/>
            </a:solidFill>
            <a:ln xmlns:a="http://schemas.openxmlformats.org/drawingml/2006/main" w="0">
              <a:solidFill>
                <a:srgbClr val="e5484d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Painel!$A$14:$A$22</f>
              <strCache>
                <ptCount val="9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  <pt idx="7">
                  <v>A1</v>
                </pt>
                <pt idx="8">
                  <v>Transversal</v>
                </pt>
              </strCache>
            </strRef>
          </cat>
          <val>
            <numRef>
              <f>Painel!$G$14:$G$22</f>
              <numCache>
                <formatCode>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gapWidth val="150"/>
        <overlap val="100"/>
        <axId val="78856661"/>
        <axId val="50188808"/>
      </barChart>
      <catAx>
        <axId val="7885666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0188808"/>
        <crosses val="autoZero"/>
        <auto val="1"/>
        <lblAlgn val="ctr"/>
        <lblOffset val="100"/>
        <noMultiLvlLbl val="0"/>
      </catAx>
      <valAx>
        <axId val="501888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885666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Gates de aceite por estado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Painel!N13</f>
              <strCache>
                <ptCount val="1"/>
                <pt idx="0">
                  <v>Gates</v>
                </pt>
              </strCache>
            </strRef>
          </tx>
          <spPr>
            <a:solidFill xmlns:a="http://schemas.openxmlformats.org/drawingml/2006/main">
              <a:srgbClr val="25476a"/>
            </a:solidFill>
            <a:ln xmlns:a="http://schemas.openxmlformats.org/drawingml/2006/main" w="0">
              <a:solidFill>
                <a:srgbClr val="25476a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Painel!$M$14:$M$19</f>
              <strCache>
                <ptCount val="6"/>
                <pt idx="0">
                  <v>A validar</v>
                </pt>
                <pt idx="1">
                  <v>Não iniciado</v>
                </pt>
                <pt idx="2">
                  <v>Em andamento</v>
                </pt>
                <pt idx="3">
                  <v>Concluído</v>
                </pt>
                <pt idx="4">
                  <v>Bloqueado</v>
                </pt>
                <pt idx="5">
                  <v>Não se aplica</v>
                </pt>
              </strCache>
            </strRef>
          </cat>
          <val>
            <numRef>
              <f>Painel!$N$14:$N$19</f>
              <numCache>
                <formatCode>0</formatCode>
                <ptCount val="6"/>
                <pt idx="0">
                  <v>13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gapWidth val="150"/>
        <overlap val="0"/>
        <axId val="63758054"/>
        <axId val="92797300"/>
      </barChart>
      <catAx>
        <axId val="6375805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2797300"/>
        <crosses val="autoZero"/>
        <auto val="1"/>
        <lblAlgn val="ctr"/>
        <lblOffset val="100"/>
        <noMultiLvlLbl val="0"/>
      </catAx>
      <valAx>
        <axId val="927973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3758054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Definições — tipo × status de implementação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Painel!B45</f>
              <strCache>
                <ptCount val="1"/>
                <pt idx="0">
                  <v>Planned</v>
                </pt>
              </strCache>
            </strRef>
          </tx>
          <spPr>
            <a:solidFill xmlns:a="http://schemas.openxmlformats.org/drawingml/2006/main">
              <a:srgbClr val="9aa5b1"/>
            </a:solidFill>
            <a:ln xmlns:a="http://schemas.openxmlformats.org/drawingml/2006/main" w="0">
              <a:solidFill>
                <a:srgbClr val="9aa5b1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Painel!$A$46:$A$51</f>
              <strCache>
                <ptCount val="6"/>
                <pt idx="0">
                  <v>DomainConstant</v>
                </pt>
                <pt idx="1">
                  <v>Enum</v>
                </pt>
                <pt idx="2">
                  <v>Policy</v>
                </pt>
                <pt idx="3">
                  <v>Metric</v>
                </pt>
                <pt idx="4">
                  <v>Projection</v>
                </pt>
                <pt idx="5">
                  <v>Dashboard</v>
                </pt>
              </strCache>
            </strRef>
          </cat>
          <val>
            <numRef>
              <f>Painel!$B$46:$B$51</f>
              <numCache>
                <formatCode>0</formatCode>
                <ptCount val="6"/>
                <pt idx="0">
                  <v>2</v>
                </pt>
                <pt idx="1">
                  <v>5</v>
                </pt>
                <pt idx="2">
                  <v>4</v>
                </pt>
                <pt idx="3">
                  <v>6</v>
                </pt>
                <pt idx="4">
                  <v>2</v>
                </pt>
                <pt idx="5">
                  <v>2</v>
                </pt>
              </numCache>
            </numRef>
          </val>
        </ser>
        <ser>
          <idx val="1"/>
          <order val="1"/>
          <tx>
            <strRef>
              <f>Painel!C45</f>
              <strCache>
                <ptCount val="1"/>
                <pt idx="0">
                  <v>Partial</v>
                </pt>
              </strCache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0">
              <a:solidFill>
                <a:srgbClr val="f5a623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Painel!$A$46:$A$51</f>
              <strCache>
                <ptCount val="6"/>
                <pt idx="0">
                  <v>DomainConstant</v>
                </pt>
                <pt idx="1">
                  <v>Enum</v>
                </pt>
                <pt idx="2">
                  <v>Policy</v>
                </pt>
                <pt idx="3">
                  <v>Metric</v>
                </pt>
                <pt idx="4">
                  <v>Projection</v>
                </pt>
                <pt idx="5">
                  <v>Dashboard</v>
                </pt>
              </strCache>
            </strRef>
          </cat>
          <val>
            <numRef>
              <f>Painel!$C$46:$C$51</f>
              <numCache>
                <formatCode>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Painel!D45</f>
              <strCache>
                <ptCount val="1"/>
                <pt idx="0">
                  <v>Implemented</v>
                </pt>
              </strCache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 w="0">
              <a:solidFill>
                <a:srgbClr val="4f8ef7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Painel!$A$46:$A$51</f>
              <strCache>
                <ptCount val="6"/>
                <pt idx="0">
                  <v>DomainConstant</v>
                </pt>
                <pt idx="1">
                  <v>Enum</v>
                </pt>
                <pt idx="2">
                  <v>Policy</v>
                </pt>
                <pt idx="3">
                  <v>Metric</v>
                </pt>
                <pt idx="4">
                  <v>Projection</v>
                </pt>
                <pt idx="5">
                  <v>Dashboard</v>
                </pt>
              </strCache>
            </strRef>
          </cat>
          <val>
            <numRef>
              <f>Painel!$D$46:$D$51</f>
              <numCache>
                <formatCode>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Painel!E45</f>
              <strCache>
                <ptCount val="1"/>
                <pt idx="0">
                  <v>Verified</v>
                </pt>
              </strCache>
            </strRef>
          </tx>
          <spPr>
            <a:solidFill xmlns:a="http://schemas.openxmlformats.org/drawingml/2006/main">
              <a:srgbClr val="3fb27f"/>
            </a:solidFill>
            <a:ln xmlns:a="http://schemas.openxmlformats.org/drawingml/2006/main" w="0">
              <a:solidFill>
                <a:srgbClr val="3fb27f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Painel!$A$46:$A$51</f>
              <strCache>
                <ptCount val="6"/>
                <pt idx="0">
                  <v>DomainConstant</v>
                </pt>
                <pt idx="1">
                  <v>Enum</v>
                </pt>
                <pt idx="2">
                  <v>Policy</v>
                </pt>
                <pt idx="3">
                  <v>Metric</v>
                </pt>
                <pt idx="4">
                  <v>Projection</v>
                </pt>
                <pt idx="5">
                  <v>Dashboard</v>
                </pt>
              </strCache>
            </strRef>
          </cat>
          <val>
            <numRef>
              <f>Painel!$E$46:$E$51</f>
              <numCache>
                <formatCode>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gapWidth val="150"/>
        <overlap val="100"/>
        <axId val="82187627"/>
        <axId val="23328371"/>
      </barChart>
      <catAx>
        <axId val="821876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3328371"/>
        <crosses val="autoZero"/>
        <auto val="1"/>
        <lblAlgn val="ctr"/>
        <lblOffset val="100"/>
        <noMultiLvlLbl val="0"/>
      </catAx>
      <valAx>
        <axId val="2332837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21876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Definições por módulo pai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Painel!N45</f>
              <strCache>
                <ptCount val="1"/>
                <pt idx="0">
                  <v>Constants &amp; Enums</v>
                </pt>
              </strCache>
            </strRef>
          </tx>
          <spPr>
            <a:solidFill xmlns:a="http://schemas.openxmlformats.org/drawingml/2006/main">
              <a:srgbClr val="25476a"/>
            </a:solidFill>
            <a:ln xmlns:a="http://schemas.openxmlformats.org/drawingml/2006/main" w="0">
              <a:solidFill>
                <a:srgbClr val="25476a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Painel!$M$46:$M$57</f>
              <strCache>
                <ptCount val="12"/>
                <pt idx="0">
                  <v>accounting</v>
                </pt>
                <pt idx="1">
                  <v>people</v>
                </pt>
                <pt idx="2">
                  <v>contests</v>
                </pt>
                <pt idx="3">
                  <v>knowledge</v>
                </pt>
                <pt idx="4">
                  <v>admin-bi</v>
                </pt>
                <pt idx="5">
                  <v>project-manager</v>
                </pt>
                <pt idx="6">
                  <v>proposals</v>
                </pt>
                <pt idx="7">
                  <v>apps/kalkulisto</v>
                </pt>
                <pt idx="8">
                  <v>apps/kalkulisto-tui</v>
                </pt>
                <pt idx="9">
                  <v>apps/trivia</v>
                </pt>
                <pt idx="10">
                  <v>apps/knowledge</v>
                </pt>
                <pt idx="11">
                  <v>TBD (owner pending)</v>
                </pt>
              </strCache>
            </strRef>
          </cat>
          <val>
            <numRef>
              <f>Painel!$N$46:$N$57</f>
              <numCache>
                <formatCode>0</formatCode>
                <ptCount val="12"/>
                <pt idx="0">
                  <v>10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strRef>
              <f>Painel!O45</f>
              <strCache>
                <ptCount val="1"/>
                <pt idx="0">
                  <v>Metrics &amp; Formulas</v>
                </pt>
              </strCache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 w="0">
              <a:solidFill>
                <a:srgbClr val="4f8ef7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Painel!$M$46:$M$57</f>
              <strCache>
                <ptCount val="12"/>
                <pt idx="0">
                  <v>accounting</v>
                </pt>
                <pt idx="1">
                  <v>people</v>
                </pt>
                <pt idx="2">
                  <v>contests</v>
                </pt>
                <pt idx="3">
                  <v>knowledge</v>
                </pt>
                <pt idx="4">
                  <v>admin-bi</v>
                </pt>
                <pt idx="5">
                  <v>project-manager</v>
                </pt>
                <pt idx="6">
                  <v>proposals</v>
                </pt>
                <pt idx="7">
                  <v>apps/kalkulisto</v>
                </pt>
                <pt idx="8">
                  <v>apps/kalkulisto-tui</v>
                </pt>
                <pt idx="9">
                  <v>apps/trivia</v>
                </pt>
                <pt idx="10">
                  <v>apps/knowledge</v>
                </pt>
                <pt idx="11">
                  <v>TBD (owner pending)</v>
                </pt>
              </strCache>
            </strRef>
          </cat>
          <val>
            <numRef>
              <f>Painel!$O$46:$O$57</f>
              <numCache>
                <formatCode>0</formatCode>
                <ptCount val="12"/>
                <pt idx="0">
                  <v>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Painel!P45</f>
              <strCache>
                <ptCount val="1"/>
                <pt idx="0">
                  <v>Projections &amp; Dashboards</v>
                </pt>
              </strCache>
            </strRef>
          </tx>
          <spPr>
            <a:solidFill xmlns:a="http://schemas.openxmlformats.org/drawingml/2006/main">
              <a:srgbClr val="3fb27f"/>
            </a:solidFill>
            <a:ln xmlns:a="http://schemas.openxmlformats.org/drawingml/2006/main" w="0">
              <a:solidFill>
                <a:srgbClr val="3fb27f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Painel!$M$46:$M$57</f>
              <strCache>
                <ptCount val="12"/>
                <pt idx="0">
                  <v>accounting</v>
                </pt>
                <pt idx="1">
                  <v>people</v>
                </pt>
                <pt idx="2">
                  <v>contests</v>
                </pt>
                <pt idx="3">
                  <v>knowledge</v>
                </pt>
                <pt idx="4">
                  <v>admin-bi</v>
                </pt>
                <pt idx="5">
                  <v>project-manager</v>
                </pt>
                <pt idx="6">
                  <v>proposals</v>
                </pt>
                <pt idx="7">
                  <v>apps/kalkulisto</v>
                </pt>
                <pt idx="8">
                  <v>apps/kalkulisto-tui</v>
                </pt>
                <pt idx="9">
                  <v>apps/trivia</v>
                </pt>
                <pt idx="10">
                  <v>apps/knowledge</v>
                </pt>
                <pt idx="11">
                  <v>TBD (owner pending)</v>
                </pt>
              </strCache>
            </strRef>
          </cat>
          <val>
            <numRef>
              <f>Painel!$P$46:$P$57</f>
              <numCache>
                <formatCode>0</formatCode>
                <ptCount val="12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100"/>
        <axId val="31834231"/>
        <axId val="53919798"/>
      </barChart>
      <catAx>
        <axId val="31834231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3919798"/>
        <crosses val="autoZero"/>
        <auto val="1"/>
        <lblAlgn val="ctr"/>
        <lblOffset val="100"/>
        <noMultiLvlLbl val="0"/>
      </catAx>
      <valAx>
        <axId val="539197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183423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Telas — fase legada ×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Painel!B77</f>
              <strCache>
                <ptCount val="1"/>
                <pt idx="0">
                  <v>Existe</v>
                </pt>
              </strCache>
            </strRef>
          </tx>
          <spPr>
            <a:solidFill xmlns:a="http://schemas.openxmlformats.org/drawingml/2006/main">
              <a:srgbClr val="3fb27f"/>
            </a:solidFill>
            <a:ln xmlns:a="http://schemas.openxmlformats.org/drawingml/2006/main" w="0">
              <a:solidFill>
                <a:srgbClr val="3fb27f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Painel!$A$78:$A$84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Painel!$B$78:$B$84</f>
              <numCache>
                <formatCode>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Painel!C77</f>
              <strCache>
                <ptCount val="1"/>
                <pt idx="0">
                  <v>Em andamento</v>
                </pt>
              </strCache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 w="0">
              <a:solidFill>
                <a:srgbClr val="4f8ef7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Painel!$A$78:$A$84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Painel!$C$78:$C$84</f>
              <numCache>
                <formatCode>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Painel!D77</f>
              <strCache>
                <ptCount val="1"/>
                <pt idx="0">
                  <v>Planejada</v>
                </pt>
              </strCache>
            </strRef>
          </tx>
          <spPr>
            <a:solidFill xmlns:a="http://schemas.openxmlformats.org/drawingml/2006/main">
              <a:srgbClr val="9aa5b1"/>
            </a:solidFill>
            <a:ln xmlns:a="http://schemas.openxmlformats.org/drawingml/2006/main" w="0">
              <a:solidFill>
                <a:srgbClr val="9aa5b1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Painel!$A$78:$A$84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Painel!$D$78:$D$84</f>
              <numCache>
                <formatCode>0</formatCode>
                <ptCount val="7"/>
                <pt idx="0">
                  <v>8</v>
                </pt>
                <pt idx="1">
                  <v>15</v>
                </pt>
                <pt idx="2">
                  <v>25</v>
                </pt>
                <pt idx="3">
                  <v>26</v>
                </pt>
                <pt idx="4">
                  <v>40</v>
                </pt>
                <pt idx="5">
                  <v>46</v>
                </pt>
                <pt idx="6">
                  <v>13</v>
                </pt>
              </numCache>
            </numRef>
          </val>
        </ser>
        <ser>
          <idx val="3"/>
          <order val="3"/>
          <tx>
            <strRef>
              <f>Painel!E77</f>
              <strCache>
                <ptCount val="1"/>
                <pt idx="0">
                  <v>Descartada</v>
                </pt>
              </strCache>
            </strRef>
          </tx>
          <spPr>
            <a:solidFill xmlns:a="http://schemas.openxmlformats.org/drawingml/2006/main">
              <a:srgbClr val="e5484d"/>
            </a:solidFill>
            <a:ln xmlns:a="http://schemas.openxmlformats.org/drawingml/2006/main" w="0">
              <a:solidFill>
                <a:srgbClr val="e5484d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Painel!$A$78:$A$84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Painel!$E$78:$E$84</f>
              <numCache>
                <formatCode>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overlap val="100"/>
        <axId val="1028960"/>
        <axId val="13508582"/>
      </barChart>
      <catAx>
        <axId val="10289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3508582"/>
        <crosses val="autoZero"/>
        <auto val="1"/>
        <lblAlgn val="ctr"/>
        <lblOffset val="100"/>
        <noMultiLvlLbl val="0"/>
      </catAx>
      <valAx>
        <axId val="135085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0289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Funções — fase legada ×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Painel!N77</f>
              <strCache>
                <ptCount val="1"/>
                <pt idx="0">
                  <v>Existe</v>
                </pt>
              </strCache>
            </strRef>
          </tx>
          <spPr>
            <a:solidFill xmlns:a="http://schemas.openxmlformats.org/drawingml/2006/main">
              <a:srgbClr val="3fb27f"/>
            </a:solidFill>
            <a:ln xmlns:a="http://schemas.openxmlformats.org/drawingml/2006/main" w="0">
              <a:solidFill>
                <a:srgbClr val="3fb27f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Painel!$M$78:$M$84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Painel!$N$78:$N$84</f>
              <numCache>
                <formatCode>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Painel!O77</f>
              <strCache>
                <ptCount val="1"/>
                <pt idx="0">
                  <v>Em andamento</v>
                </pt>
              </strCache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 w="0">
              <a:solidFill>
                <a:srgbClr val="4f8ef7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Painel!$M$78:$M$84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Painel!$O$78:$O$84</f>
              <numCache>
                <formatCode>0</formatCode>
                <ptCount val="7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Painel!P77</f>
              <strCache>
                <ptCount val="1"/>
                <pt idx="0">
                  <v>Planejada</v>
                </pt>
              </strCache>
            </strRef>
          </tx>
          <spPr>
            <a:solidFill xmlns:a="http://schemas.openxmlformats.org/drawingml/2006/main">
              <a:srgbClr val="9aa5b1"/>
            </a:solidFill>
            <a:ln xmlns:a="http://schemas.openxmlformats.org/drawingml/2006/main" w="0">
              <a:solidFill>
                <a:srgbClr val="9aa5b1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Painel!$M$78:$M$84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Painel!$P$78:$P$84</f>
              <numCache>
                <formatCode>0</formatCode>
                <ptCount val="7"/>
                <pt idx="0">
                  <v>3</v>
                </pt>
                <pt idx="1">
                  <v>30</v>
                </pt>
                <pt idx="2">
                  <v>20</v>
                </pt>
                <pt idx="3">
                  <v>24</v>
                </pt>
                <pt idx="4">
                  <v>20</v>
                </pt>
                <pt idx="5">
                  <v>22</v>
                </pt>
                <pt idx="6">
                  <v>5</v>
                </pt>
              </numCache>
            </numRef>
          </val>
        </ser>
        <ser>
          <idx val="3"/>
          <order val="3"/>
          <tx>
            <strRef>
              <f>Painel!Q77</f>
              <strCache>
                <ptCount val="1"/>
                <pt idx="0">
                  <v>Descartada</v>
                </pt>
              </strCache>
            </strRef>
          </tx>
          <spPr>
            <a:solidFill xmlns:a="http://schemas.openxmlformats.org/drawingml/2006/main">
              <a:srgbClr val="e5484d"/>
            </a:solidFill>
            <a:ln xmlns:a="http://schemas.openxmlformats.org/drawingml/2006/main" w="0">
              <a:solidFill>
                <a:srgbClr val="e5484d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Painel!$M$78:$M$84</f>
              <strCache>
                <ptCount val="7"/>
                <pt idx="0">
                  <v>F0</v>
                </pt>
                <pt idx="1">
                  <v>F1</v>
                </pt>
                <pt idx="2">
                  <v>F2</v>
                </pt>
                <pt idx="3">
                  <v>F3</v>
                </pt>
                <pt idx="4">
                  <v>F4</v>
                </pt>
                <pt idx="5">
                  <v>F5</v>
                </pt>
                <pt idx="6">
                  <v>F6</v>
                </pt>
              </strCache>
            </strRef>
          </cat>
          <val>
            <numRef>
              <f>Painel!$Q$78:$Q$84</f>
              <numCache>
                <formatCode>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overlap val="100"/>
        <axId val="31126139"/>
        <axId val="54579"/>
      </barChart>
      <catAx>
        <axId val="311261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4579"/>
        <crosses val="autoZero"/>
        <auto val="1"/>
        <lblAlgn val="ctr"/>
        <lblOffset val="100"/>
        <noMultiLvlLbl val="0"/>
      </catAx>
      <valAx>
        <axId val="5457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11261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Módulos por nível de confiança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Painel!N109</f>
              <strCache>
                <ptCount val="1"/>
                <pt idx="0">
                  <v>Módulos</v>
                </pt>
              </strCache>
            </strRef>
          </tx>
          <spPr>
            <a:solidFill xmlns:a="http://schemas.openxmlformats.org/drawingml/2006/main">
              <a:srgbClr val="25476a"/>
            </a:solidFill>
            <a:ln xmlns:a="http://schemas.openxmlformats.org/drawingml/2006/main" w="0">
              <a:solidFill>
                <a:srgbClr val="25476a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Painel!$M$110:$M$113</f>
              <strCache>
                <ptCount val="4"/>
                <pt idx="0">
                  <v>Documentado</v>
                </pt>
                <pt idx="1">
                  <v>Precisa de auditoria</v>
                </pt>
                <pt idx="2">
                  <v>Planejado / pendente</v>
                </pt>
                <pt idx="3">
                  <v>Template</v>
                </pt>
              </strCache>
            </strRef>
          </cat>
          <val>
            <numRef>
              <f>Painel!$N$110:$N$113</f>
              <numCache>
                <formatCode>0</formatCode>
                <ptCount val="4"/>
                <pt idx="0">
                  <v>6</v>
                </pt>
                <pt idx="1">
                  <v>3</v>
                </pt>
                <pt idx="2">
                  <v>2</v>
                </pt>
                <pt idx="3">
                  <v>1</v>
                </pt>
              </numCache>
            </numRef>
          </val>
        </ser>
        <gapWidth val="150"/>
        <overlap val="0"/>
        <axId val="11079544"/>
        <axId val="7513159"/>
      </barChart>
      <catAx>
        <axId val="1107954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513159"/>
        <crosses val="autoZero"/>
        <auto val="1"/>
        <lblAlgn val="ctr"/>
        <lblOffset val="100"/>
        <noMultiLvlLbl val="0"/>
      </catAx>
      <valAx>
        <axId val="75131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4e7eb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079544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23</row>
      <rowOff>3600</rowOff>
    </from>
    <to>
      <col>7</col>
      <colOff>759600</colOff>
      <row>36</row>
      <rowOff>118800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12</col>
      <colOff>0</colOff>
      <row>20</row>
      <rowOff>41760</rowOff>
    </from>
    <to>
      <col>19</col>
      <colOff>759600</colOff>
      <row>33</row>
      <rowOff>42840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52</row>
      <rowOff>42120</rowOff>
    </from>
    <to>
      <col>7</col>
      <colOff>759600</colOff>
      <row>64</row>
      <rowOff>119160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12</col>
      <colOff>0</colOff>
      <row>58</row>
      <rowOff>3960</rowOff>
    </from>
    <to>
      <col>19</col>
      <colOff>759600</colOff>
      <row>74</row>
      <rowOff>15480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85</row>
      <rowOff>3960</rowOff>
    </from>
    <to>
      <col>7</col>
      <colOff>759600</colOff>
      <row>98</row>
      <rowOff>119160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12</col>
      <colOff>0</colOff>
      <row>85</row>
      <rowOff>3960</rowOff>
    </from>
    <to>
      <col>19</col>
      <colOff>759600</colOff>
      <row>98</row>
      <rowOff>119160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12</col>
      <colOff>0</colOff>
      <row>114</row>
      <rowOff>41760</rowOff>
    </from>
    <to>
      <col>19</col>
      <colOff>759600</colOff>
      <row>126</row>
      <rowOff>156960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ootstrapprx/kodoo" TargetMode="External" Id="rId1"/><Relationship Type="http://schemas.openxmlformats.org/officeDocument/2006/relationships/hyperlink" Target="https://github.com/bootstrapprx/kodoo/blob/main/context/roadmap.md" TargetMode="External" Id="rId2"/><Relationship Type="http://schemas.openxmlformats.org/officeDocument/2006/relationships/hyperlink" Target="https://github.com/bootstrapprx/kodoo/blob/main/context/domain-app-migration.md" TargetMode="External" Id="rId3"/><Relationship Type="http://schemas.openxmlformats.org/officeDocument/2006/relationships/hyperlink" Target="https://github.com/bootstrapprx/kodoo/blob/main/context/application-architecture.md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bootstrapprx/kodoo/tree/main/crates/kodoo-core" TargetMode="External" Id="rId1"/><Relationship Type="http://schemas.openxmlformats.org/officeDocument/2006/relationships/hyperlink" Target="https://github.com/bootstrapprx/kodoo/tree/main/crates/kodoo-core" TargetMode="External" Id="rId2"/><Relationship Type="http://schemas.openxmlformats.org/officeDocument/2006/relationships/hyperlink" Target="https://github.com/bootstrapprx/kodoo/tree/main/crates/kodoo-core" TargetMode="External" Id="rId3"/><Relationship Type="http://schemas.openxmlformats.org/officeDocument/2006/relationships/hyperlink" Target="https://github.com/bootstrapprx/kodoo/tree/main/crates/kodoo-core" TargetMode="External" Id="rId4"/><Relationship Type="http://schemas.openxmlformats.org/officeDocument/2006/relationships/hyperlink" Target="https://github.com/bootstrapprx/kodoo/tree/main/crates/kodoo-core" TargetMode="External" Id="rId5"/><Relationship Type="http://schemas.openxmlformats.org/officeDocument/2006/relationships/hyperlink" Target="https://github.com/bootstrapprx/kodoo/tree/main/crates/kodoo-core" TargetMode="External" Id="rId6"/><Relationship Type="http://schemas.openxmlformats.org/officeDocument/2006/relationships/hyperlink" Target="https://github.com/bootstrapprx/kodoo/tree/main/crates/kodoo-core" TargetMode="External" Id="rId7"/><Relationship Type="http://schemas.openxmlformats.org/officeDocument/2006/relationships/hyperlink" Target="https://github.com/bootstrapprx/kodoo/tree/main/crates/kodoo-core" TargetMode="External" Id="rId8"/><Relationship Type="http://schemas.openxmlformats.org/officeDocument/2006/relationships/hyperlink" Target="https://github.com/bootstrapprx/kodoo/tree/main/crates/kodoo-core" TargetMode="External" Id="rId9"/><Relationship Type="http://schemas.openxmlformats.org/officeDocument/2006/relationships/hyperlink" Target="https://github.com/bootstrapprx/kodoo/tree/main/crates/kodoo-core" TargetMode="External" Id="rId10"/><Relationship Type="http://schemas.openxmlformats.org/officeDocument/2006/relationships/hyperlink" Target="https://github.com/bootstrapprx/kodoo/tree/main/crates/kodoo-core" TargetMode="External" Id="rId11"/><Relationship Type="http://schemas.openxmlformats.org/officeDocument/2006/relationships/hyperlink" Target="https://github.com/bootstrapprx/kodoo/tree/main/crates/kodoo-core" TargetMode="External" Id="rId12"/><Relationship Type="http://schemas.openxmlformats.org/officeDocument/2006/relationships/hyperlink" Target="https://github.com/bootstrapprx/kodoo/tree/main/crates/kodoo-core" TargetMode="External" Id="rId13"/><Relationship Type="http://schemas.openxmlformats.org/officeDocument/2006/relationships/hyperlink" Target="https://github.com/bootstrapprx/kodoo/tree/main/crates/kodoo-core" TargetMode="External" Id="rId14"/><Relationship Type="http://schemas.openxmlformats.org/officeDocument/2006/relationships/hyperlink" Target="https://github.com/bootstrapprx/kodoo/tree/main/crates/kodoo-core" TargetMode="External" Id="rId15"/><Relationship Type="http://schemas.openxmlformats.org/officeDocument/2006/relationships/hyperlink" Target="https://github.com/bootstrapprx/kodoo/tree/main/crates/kodoo-core" TargetMode="External" Id="rId16"/><Relationship Type="http://schemas.openxmlformats.org/officeDocument/2006/relationships/hyperlink" Target="https://github.com/bootstrapprx/kodoo/tree/main/crates/kodoo-core" TargetMode="External" Id="rId17"/><Relationship Type="http://schemas.openxmlformats.org/officeDocument/2006/relationships/hyperlink" Target="https://github.com/bootstrapprx/kodoo/tree/main/crates/kodoo-core" TargetMode="External" Id="rId18"/><Relationship Type="http://schemas.openxmlformats.org/officeDocument/2006/relationships/hyperlink" Target="https://github.com/bootstrapprx/kodoo/tree/main/crates/kodoo-core" TargetMode="External" Id="rId19"/><Relationship Type="http://schemas.openxmlformats.org/officeDocument/2006/relationships/hyperlink" Target="https://github.com/bootstrapprx/kodoo/tree/main/crates/kodoo-core" TargetMode="External" Id="rId20"/><Relationship Type="http://schemas.openxmlformats.org/officeDocument/2006/relationships/hyperlink" Target="https://github.com/bootstrapprx/kodoo/tree/main/crates/kodoo-core" TargetMode="External" Id="rId21"/><Relationship Type="http://schemas.openxmlformats.org/officeDocument/2006/relationships/hyperlink" Target="https://github.com/bootstrapprx/kodoo/tree/main/crates/kodoo-core" TargetMode="External" Id="rId22"/><Relationship Type="http://schemas.openxmlformats.org/officeDocument/2006/relationships/hyperlink" Target="https://github.com/bootstrapprx/kodoo/tree/main/modules/accounting" TargetMode="External" Id="rId23"/><Relationship Type="http://schemas.openxmlformats.org/officeDocument/2006/relationships/hyperlink" Target="https://github.com/bootstrapprx/kodoo/tree/main/modules/accounting" TargetMode="External" Id="rId24"/><Relationship Type="http://schemas.openxmlformats.org/officeDocument/2006/relationships/hyperlink" Target="https://github.com/bootstrapprx/kodoo/tree/main/modules/accounting" TargetMode="External" Id="rId25"/><Relationship Type="http://schemas.openxmlformats.org/officeDocument/2006/relationships/hyperlink" Target="https://github.com/bootstrapprx/kodoo/tree/main/modules/accounting" TargetMode="External" Id="rId26"/><Relationship Type="http://schemas.openxmlformats.org/officeDocument/2006/relationships/hyperlink" Target="https://github.com/bootstrapprx/kodoo/tree/main/modules/accounting" TargetMode="External" Id="rId27"/><Relationship Type="http://schemas.openxmlformats.org/officeDocument/2006/relationships/hyperlink" Target="https://github.com/bootstrapprx/kodoo/tree/main/modules/accounting" TargetMode="External" Id="rId28"/><Relationship Type="http://schemas.openxmlformats.org/officeDocument/2006/relationships/hyperlink" Target="https://github.com/bootstrapprx/kodoo/tree/main/modules/accounting" TargetMode="External" Id="rId29"/><Relationship Type="http://schemas.openxmlformats.org/officeDocument/2006/relationships/hyperlink" Target="https://github.com/bootstrapprx/kodoo/tree/main/modules/accounting" TargetMode="External" Id="rId30"/><Relationship Type="http://schemas.openxmlformats.org/officeDocument/2006/relationships/hyperlink" Target="https://github.com/bootstrapprx/kodoo/tree/main/modules/accounting" TargetMode="External" Id="rId31"/><Relationship Type="http://schemas.openxmlformats.org/officeDocument/2006/relationships/hyperlink" Target="https://github.com/bootstrapprx/kodoo/tree/main/modules/accounting" TargetMode="External" Id="rId32"/><Relationship Type="http://schemas.openxmlformats.org/officeDocument/2006/relationships/hyperlink" Target="https://github.com/bootstrapprx/kodoo/tree/main/modules/accounting" TargetMode="External" Id="rId33"/><Relationship Type="http://schemas.openxmlformats.org/officeDocument/2006/relationships/hyperlink" Target="https://github.com/bootstrapprx/kodoo/tree/main/modules/accounting" TargetMode="External" Id="rId34"/><Relationship Type="http://schemas.openxmlformats.org/officeDocument/2006/relationships/hyperlink" Target="https://github.com/bootstrapprx/kodoo/tree/main/modules/accounting" TargetMode="External" Id="rId35"/><Relationship Type="http://schemas.openxmlformats.org/officeDocument/2006/relationships/hyperlink" Target="https://github.com/bootstrapprx/kodoo/tree/main/modules/accounting" TargetMode="External" Id="rId36"/><Relationship Type="http://schemas.openxmlformats.org/officeDocument/2006/relationships/hyperlink" Target="https://github.com/bootstrapprx/kodoo/tree/main/modules/accounting" TargetMode="External" Id="rId37"/><Relationship Type="http://schemas.openxmlformats.org/officeDocument/2006/relationships/hyperlink" Target="https://github.com/bootstrapprx/kodoo/tree/main/modules/accounting" TargetMode="External" Id="rId38"/><Relationship Type="http://schemas.openxmlformats.org/officeDocument/2006/relationships/hyperlink" Target="https://github.com/bootstrapprx/kodoo/tree/main/modules/accounting" TargetMode="External" Id="rId39"/><Relationship Type="http://schemas.openxmlformats.org/officeDocument/2006/relationships/hyperlink" Target="https://github.com/bootstrapprx/kodoo/tree/main/modules/accounting" TargetMode="External" Id="rId40"/><Relationship Type="http://schemas.openxmlformats.org/officeDocument/2006/relationships/hyperlink" Target="https://github.com/bootstrapprx/kodoo/tree/main/modules/accounting" TargetMode="External" Id="rId41"/><Relationship Type="http://schemas.openxmlformats.org/officeDocument/2006/relationships/hyperlink" Target="https://github.com/bootstrapprx/kodoo/tree/main/modules/accounting" TargetMode="External" Id="rId42"/><Relationship Type="http://schemas.openxmlformats.org/officeDocument/2006/relationships/hyperlink" Target="https://github.com/bootstrapprx/kodoo/tree/main/modules/accounting" TargetMode="External" Id="rId43"/><Relationship Type="http://schemas.openxmlformats.org/officeDocument/2006/relationships/hyperlink" Target="https://github.com/bootstrapprx/kodoo/tree/main/modules/accounting" TargetMode="External" Id="rId44"/><Relationship Type="http://schemas.openxmlformats.org/officeDocument/2006/relationships/hyperlink" Target="https://github.com/bootstrapprx/kodoo/tree/main/modules/accounting" TargetMode="External" Id="rId45"/><Relationship Type="http://schemas.openxmlformats.org/officeDocument/2006/relationships/hyperlink" Target="https://github.com/bootstrapprx/kodoo/tree/main/modules/accounting" TargetMode="External" Id="rId46"/><Relationship Type="http://schemas.openxmlformats.org/officeDocument/2006/relationships/hyperlink" Target="https://github.com/bootstrapprx/kodoo/tree/main/modules/accounting" TargetMode="External" Id="rId47"/><Relationship Type="http://schemas.openxmlformats.org/officeDocument/2006/relationships/hyperlink" Target="https://github.com/bootstrapprx/kodoo/tree/main/modules/accounting" TargetMode="External" Id="rId48"/><Relationship Type="http://schemas.openxmlformats.org/officeDocument/2006/relationships/hyperlink" Target="https://github.com/bootstrapprx/kodoo/tree/main/modules/accounting" TargetMode="External" Id="rId49"/><Relationship Type="http://schemas.openxmlformats.org/officeDocument/2006/relationships/hyperlink" Target="https://github.com/bootstrapprx/kodoo/tree/main/modules/accounting" TargetMode="External" Id="rId50"/><Relationship Type="http://schemas.openxmlformats.org/officeDocument/2006/relationships/hyperlink" Target="https://github.com/bootstrapprx/kodoo/tree/main/modules/accounting" TargetMode="External" Id="rId51"/><Relationship Type="http://schemas.openxmlformats.org/officeDocument/2006/relationships/hyperlink" Target="https://github.com/bootstrapprx/kodoo/tree/main/modules/accounting" TargetMode="External" Id="rId52"/><Relationship Type="http://schemas.openxmlformats.org/officeDocument/2006/relationships/hyperlink" Target="https://github.com/bootstrapprx/kodoo/tree/main/modules/accounting" TargetMode="External" Id="rId53"/><Relationship Type="http://schemas.openxmlformats.org/officeDocument/2006/relationships/hyperlink" Target="https://github.com/bootstrapprx/kodoo/tree/main/modules/accounting" TargetMode="External" Id="rId54"/><Relationship Type="http://schemas.openxmlformats.org/officeDocument/2006/relationships/hyperlink" Target="https://github.com/bootstrapprx/kodoo/tree/main/modules/accounting" TargetMode="External" Id="rId55"/><Relationship Type="http://schemas.openxmlformats.org/officeDocument/2006/relationships/hyperlink" Target="https://github.com/bootstrapprx/kodoo/tree/main/modules/accounting" TargetMode="External" Id="rId56"/><Relationship Type="http://schemas.openxmlformats.org/officeDocument/2006/relationships/hyperlink" Target="https://github.com/bootstrapprx/kodoo/tree/main/modules/accounting" TargetMode="External" Id="rId57"/><Relationship Type="http://schemas.openxmlformats.org/officeDocument/2006/relationships/hyperlink" Target="https://github.com/bootstrapprx/kodoo/tree/main/modules/accounting" TargetMode="External" Id="rId58"/><Relationship Type="http://schemas.openxmlformats.org/officeDocument/2006/relationships/hyperlink" Target="https://github.com/bootstrapprx/kodoo/tree/main/modules/accounting" TargetMode="External" Id="rId59"/><Relationship Type="http://schemas.openxmlformats.org/officeDocument/2006/relationships/hyperlink" Target="https://github.com/bootstrapprx/kodoo/tree/main/modules/accounting" TargetMode="External" Id="rId60"/><Relationship Type="http://schemas.openxmlformats.org/officeDocument/2006/relationships/hyperlink" Target="https://github.com/bootstrapprx/kodoo/tree/main/modules/accounting" TargetMode="External" Id="rId61"/><Relationship Type="http://schemas.openxmlformats.org/officeDocument/2006/relationships/hyperlink" Target="https://github.com/bootstrapprx/kodoo/tree/main/modules/accounting" TargetMode="External" Id="rId62"/><Relationship Type="http://schemas.openxmlformats.org/officeDocument/2006/relationships/hyperlink" Target="https://github.com/bootstrapprx/kodoo/tree/main/modules/people" TargetMode="External" Id="rId63"/><Relationship Type="http://schemas.openxmlformats.org/officeDocument/2006/relationships/hyperlink" Target="https://github.com/bootstrapprx/kodoo/tree/main/modules/people" TargetMode="External" Id="rId64"/><Relationship Type="http://schemas.openxmlformats.org/officeDocument/2006/relationships/hyperlink" Target="https://github.com/bootstrapprx/kodoo/tree/main/modules/people" TargetMode="External" Id="rId65"/><Relationship Type="http://schemas.openxmlformats.org/officeDocument/2006/relationships/hyperlink" Target="https://github.com/bootstrapprx/kodoo/tree/main/modules/people" TargetMode="External" Id="rId66"/><Relationship Type="http://schemas.openxmlformats.org/officeDocument/2006/relationships/hyperlink" Target="https://github.com/bootstrapprx/kodoo/tree/main/modules/people" TargetMode="External" Id="rId67"/><Relationship Type="http://schemas.openxmlformats.org/officeDocument/2006/relationships/hyperlink" Target="https://github.com/bootstrapprx/kodoo/tree/main/modules/accounting" TargetMode="External" Id="rId68"/><Relationship Type="http://schemas.openxmlformats.org/officeDocument/2006/relationships/hyperlink" Target="https://github.com/bootstrapprx/kodoo/tree/main/modules/accounting" TargetMode="External" Id="rId69"/><Relationship Type="http://schemas.openxmlformats.org/officeDocument/2006/relationships/hyperlink" Target="https://github.com/bootstrapprx/kodoo/tree/main/modules/accounting" TargetMode="External" Id="rId70"/><Relationship Type="http://schemas.openxmlformats.org/officeDocument/2006/relationships/hyperlink" Target="https://github.com/bootstrapprx/kodoo/tree/main/modules/accounting" TargetMode="External" Id="rId71"/><Relationship Type="http://schemas.openxmlformats.org/officeDocument/2006/relationships/hyperlink" Target="https://github.com/bootstrapprx/kodoo/tree/main/modules/accounting" TargetMode="External" Id="rId72"/><Relationship Type="http://schemas.openxmlformats.org/officeDocument/2006/relationships/hyperlink" Target="https://github.com/bootstrapprx/kodoo/tree/main/modules/accounting" TargetMode="External" Id="rId73"/><Relationship Type="http://schemas.openxmlformats.org/officeDocument/2006/relationships/hyperlink" Target="https://github.com/bootstrapprx/kodoo/tree/main/modules/accounting" TargetMode="External" Id="rId74"/><Relationship Type="http://schemas.openxmlformats.org/officeDocument/2006/relationships/hyperlink" Target="https://github.com/bootstrapprx/kodoo/tree/main/modules/accounting" TargetMode="External" Id="rId75"/><Relationship Type="http://schemas.openxmlformats.org/officeDocument/2006/relationships/hyperlink" Target="https://github.com/bootstrapprx/kodoo/tree/main/modules/accounting" TargetMode="External" Id="rId76"/><Relationship Type="http://schemas.openxmlformats.org/officeDocument/2006/relationships/hyperlink" Target="https://github.com/bootstrapprx/kodoo/tree/main/modules/accounting" TargetMode="External" Id="rId77"/><Relationship Type="http://schemas.openxmlformats.org/officeDocument/2006/relationships/hyperlink" Target="https://github.com/bootstrapprx/kodoo/tree/main/modules/accounting" TargetMode="External" Id="rId78"/><Relationship Type="http://schemas.openxmlformats.org/officeDocument/2006/relationships/hyperlink" Target="https://github.com/bootstrapprx/kodoo/tree/main/modules/accounting" TargetMode="External" Id="rId79"/><Relationship Type="http://schemas.openxmlformats.org/officeDocument/2006/relationships/hyperlink" Target="https://github.com/bootstrapprx/kodoo/tree/main/modules/accounting" TargetMode="External" Id="rId80"/><Relationship Type="http://schemas.openxmlformats.org/officeDocument/2006/relationships/hyperlink" Target="https://github.com/bootstrapprx/kodoo/tree/main/modules/accounting" TargetMode="External" Id="rId81"/><Relationship Type="http://schemas.openxmlformats.org/officeDocument/2006/relationships/hyperlink" Target="https://github.com/bootstrapprx/kodoo/tree/main/modules/accounting" TargetMode="External" Id="rId82"/><Relationship Type="http://schemas.openxmlformats.org/officeDocument/2006/relationships/hyperlink" Target="https://github.com/bootstrapprx/kodoo/tree/main/modules/accounting" TargetMode="External" Id="rId83"/><Relationship Type="http://schemas.openxmlformats.org/officeDocument/2006/relationships/hyperlink" Target="https://github.com/bootstrapprx/kodoo/tree/main/modules/accounting" TargetMode="External" Id="rId84"/><Relationship Type="http://schemas.openxmlformats.org/officeDocument/2006/relationships/hyperlink" Target="https://github.com/bootstrapprx/kodoo/tree/main/modules/accounting" TargetMode="External" Id="rId85"/><Relationship Type="http://schemas.openxmlformats.org/officeDocument/2006/relationships/hyperlink" Target="https://github.com/bootstrapprx/kodoo/tree/main/modules/accounting" TargetMode="External" Id="rId86"/><Relationship Type="http://schemas.openxmlformats.org/officeDocument/2006/relationships/hyperlink" Target="https://github.com/bootstrapprx/kodoo/tree/main/modules/accounting" TargetMode="External" Id="rId87"/><Relationship Type="http://schemas.openxmlformats.org/officeDocument/2006/relationships/hyperlink" Target="https://github.com/bootstrapprx/kodoo/tree/main/modules/accounting" TargetMode="External" Id="rId88"/><Relationship Type="http://schemas.openxmlformats.org/officeDocument/2006/relationships/hyperlink" Target="https://github.com/bootstrapprx/kodoo/tree/main/modules/accounting" TargetMode="External" Id="rId89"/><Relationship Type="http://schemas.openxmlformats.org/officeDocument/2006/relationships/hyperlink" Target="https://github.com/bootstrapprx/kodoo/tree/main/modules/accounting" TargetMode="External" Id="rId90"/><Relationship Type="http://schemas.openxmlformats.org/officeDocument/2006/relationships/hyperlink" Target="https://github.com/bootstrapprx/kodoo/tree/main/modules/accounting" TargetMode="External" Id="rId91"/><Relationship Type="http://schemas.openxmlformats.org/officeDocument/2006/relationships/hyperlink" Target="https://github.com/bootstrapprx/kodoo/tree/main/modules/accounting" TargetMode="External" Id="rId92"/><Relationship Type="http://schemas.openxmlformats.org/officeDocument/2006/relationships/hyperlink" Target="https://github.com/bootstrapprx/kodoo/tree/main/modules" TargetMode="External" Id="rId93"/><Relationship Type="http://schemas.openxmlformats.org/officeDocument/2006/relationships/hyperlink" Target="https://github.com/bootstrapprx/kodoo/tree/main/modules" TargetMode="External" Id="rId94"/><Relationship Type="http://schemas.openxmlformats.org/officeDocument/2006/relationships/hyperlink" Target="https://github.com/bootstrapprx/kodoo/tree/main/modules" TargetMode="External" Id="rId95"/><Relationship Type="http://schemas.openxmlformats.org/officeDocument/2006/relationships/hyperlink" Target="https://github.com/bootstrapprx/kodoo/tree/main/modules/accounting" TargetMode="External" Id="rId96"/><Relationship Type="http://schemas.openxmlformats.org/officeDocument/2006/relationships/hyperlink" Target="https://github.com/bootstrapprx/kodoo/tree/main/modules/accounting" TargetMode="External" Id="rId97"/><Relationship Type="http://schemas.openxmlformats.org/officeDocument/2006/relationships/hyperlink" Target="https://github.com/bootstrapprx/kodoo/tree/main/modules/accounting" TargetMode="External" Id="rId98"/><Relationship Type="http://schemas.openxmlformats.org/officeDocument/2006/relationships/hyperlink" Target="https://github.com/bootstrapprx/kodoo/tree/main/modules/accounting" TargetMode="External" Id="rId99"/><Relationship Type="http://schemas.openxmlformats.org/officeDocument/2006/relationships/hyperlink" Target="https://github.com/bootstrapprx/kodoo/tree/main/modules/accounting" TargetMode="External" Id="rId100"/><Relationship Type="http://schemas.openxmlformats.org/officeDocument/2006/relationships/hyperlink" Target="https://github.com/bootstrapprx/kodoo/tree/main/modules/accounting" TargetMode="External" Id="rId101"/><Relationship Type="http://schemas.openxmlformats.org/officeDocument/2006/relationships/hyperlink" Target="https://github.com/bootstrapprx/kodoo/tree/main/modules/accounting" TargetMode="External" Id="rId102"/><Relationship Type="http://schemas.openxmlformats.org/officeDocument/2006/relationships/hyperlink" Target="https://github.com/bootstrapprx/kodoo/tree/main/modules/accounting" TargetMode="External" Id="rId103"/><Relationship Type="http://schemas.openxmlformats.org/officeDocument/2006/relationships/hyperlink" Target="https://github.com/bootstrapprx/kodoo/tree/main/modules/accounting" TargetMode="External" Id="rId104"/><Relationship Type="http://schemas.openxmlformats.org/officeDocument/2006/relationships/hyperlink" Target="https://github.com/bootstrapprx/kodoo/tree/main/modules/accounting" TargetMode="External" Id="rId105"/><Relationship Type="http://schemas.openxmlformats.org/officeDocument/2006/relationships/hyperlink" Target="https://github.com/bootstrapprx/kodoo/tree/main/modules" TargetMode="External" Id="rId106"/><Relationship Type="http://schemas.openxmlformats.org/officeDocument/2006/relationships/hyperlink" Target="https://github.com/bootstrapprx/kodoo/tree/main/modules" TargetMode="External" Id="rId107"/><Relationship Type="http://schemas.openxmlformats.org/officeDocument/2006/relationships/hyperlink" Target="https://github.com/bootstrapprx/kodoo/tree/main/context/roadmap.md" TargetMode="External" Id="rId108"/><Relationship Type="http://schemas.openxmlformats.org/officeDocument/2006/relationships/hyperlink" Target="https://github.com/bootstrapprx/kodoo/tree/main/context/roadmap.md" TargetMode="External" Id="rId109"/><Relationship Type="http://schemas.openxmlformats.org/officeDocument/2006/relationships/hyperlink" Target="https://github.com/bootstrapprx/kodoo/tree/main/context/roadmap.md" TargetMode="External" Id="rId110"/><Relationship Type="http://schemas.openxmlformats.org/officeDocument/2006/relationships/hyperlink" Target="https://github.com/bootstrapprx/kodoo/tree/main/context/roadmap.md" TargetMode="External" Id="rId111"/><Relationship Type="http://schemas.openxmlformats.org/officeDocument/2006/relationships/hyperlink" Target="https://github.com/bootstrapprx/kodoo/tree/main/modules" TargetMode="External" Id="rId112"/><Relationship Type="http://schemas.openxmlformats.org/officeDocument/2006/relationships/hyperlink" Target="https://github.com/bootstrapprx/kodoo/tree/main/modules" TargetMode="External" Id="rId113"/><Relationship Type="http://schemas.openxmlformats.org/officeDocument/2006/relationships/hyperlink" Target="https://github.com/bootstrapprx/kodoo/tree/main/modules" TargetMode="External" Id="rId114"/><Relationship Type="http://schemas.openxmlformats.org/officeDocument/2006/relationships/hyperlink" Target="https://github.com/bootstrapprx/kodoo/tree/main/modules" TargetMode="External" Id="rId115"/><Relationship Type="http://schemas.openxmlformats.org/officeDocument/2006/relationships/hyperlink" Target="https://github.com/bootstrapprx/kodoo/tree/main/modules" TargetMode="External" Id="rId116"/><Relationship Type="http://schemas.openxmlformats.org/officeDocument/2006/relationships/hyperlink" Target="https://github.com/bootstrapprx/kodoo/tree/main/modules" TargetMode="External" Id="rId117"/><Relationship Type="http://schemas.openxmlformats.org/officeDocument/2006/relationships/hyperlink" Target="https://github.com/bootstrapprx/kodoo/tree/main/modules" TargetMode="External" Id="rId118"/><Relationship Type="http://schemas.openxmlformats.org/officeDocument/2006/relationships/hyperlink" Target="https://github.com/bootstrapprx/kodoo/tree/main/modules/accounting" TargetMode="External" Id="rId119"/><Relationship Type="http://schemas.openxmlformats.org/officeDocument/2006/relationships/hyperlink" Target="https://github.com/bootstrapprx/kodoo/tree/main/modules/accounting" TargetMode="External" Id="rId120"/><Relationship Type="http://schemas.openxmlformats.org/officeDocument/2006/relationships/hyperlink" Target="https://github.com/bootstrapprx/kodoo/tree/main/modules/accounting" TargetMode="External" Id="rId121"/><Relationship Type="http://schemas.openxmlformats.org/officeDocument/2006/relationships/hyperlink" Target="https://github.com/bootstrapprx/kodoo/tree/main/modules/accounting" TargetMode="External" Id="rId122"/><Relationship Type="http://schemas.openxmlformats.org/officeDocument/2006/relationships/hyperlink" Target="https://github.com/bootstrapprx/kodoo/tree/main/modules/accounting" TargetMode="External" Id="rId123"/><Relationship Type="http://schemas.openxmlformats.org/officeDocument/2006/relationships/hyperlink" Target="https://github.com/bootstrapprx/kodoo/tree/main/modules/accounting" TargetMode="External" Id="rId124"/><Relationship Type="http://schemas.openxmlformats.org/officeDocument/2006/relationships/hyperlink" Target="https://github.com/bootstrapprx/kodoo/tree/main/apps/kalkulisto" TargetMode="External" Id="rId125"/><Relationship Type="http://schemas.openxmlformats.org/officeDocument/2006/relationships/hyperlink" Target="https://github.com/bootstrapprx/kodoo/tree/main/modules" TargetMode="External" Id="rId126"/><Relationship Type="http://schemas.openxmlformats.org/officeDocument/2006/relationships/hyperlink" Target="https://github.com/bootstrapprx/kodoo/tree/main/modules" TargetMode="External" Id="rId127"/><Relationship Type="http://schemas.openxmlformats.org/officeDocument/2006/relationships/hyperlink" Target="https://github.com/bootstrapprx/kodoo/tree/main/modules" TargetMode="External" Id="rId128"/><Relationship Type="http://schemas.openxmlformats.org/officeDocument/2006/relationships/hyperlink" Target="https://github.com/bootstrapprx/kodoo/tree/main/modules" TargetMode="External" Id="rId129"/><Relationship Type="http://schemas.openxmlformats.org/officeDocument/2006/relationships/hyperlink" Target="https://github.com/bootstrapprx/kodoo/tree/main/modules" TargetMode="External" Id="rId130"/><Relationship Type="http://schemas.openxmlformats.org/officeDocument/2006/relationships/hyperlink" Target="https://github.com/bootstrapprx/kodoo/tree/main/modules" TargetMode="External" Id="rId131"/><Relationship Type="http://schemas.openxmlformats.org/officeDocument/2006/relationships/hyperlink" Target="https://github.com/bootstrapprx/kodoo/tree/main/modules" TargetMode="External" Id="rId132"/><Relationship Type="http://schemas.openxmlformats.org/officeDocument/2006/relationships/hyperlink" Target="https://github.com/bootstrapprx/kodoo/tree/main/modules" TargetMode="External" Id="rId133"/><Relationship Type="http://schemas.openxmlformats.org/officeDocument/2006/relationships/hyperlink" Target="https://github.com/bootstrapprx/kodoo/tree/main/modules" TargetMode="External" Id="rId134"/><Relationship Type="http://schemas.openxmlformats.org/officeDocument/2006/relationships/hyperlink" Target="https://github.com/bootstrapprx/kodoo/tree/main/modules" TargetMode="External" Id="rId135"/><Relationship Type="http://schemas.openxmlformats.org/officeDocument/2006/relationships/hyperlink" Target="https://github.com/bootstrapprx/kodoo/tree/main/modules" TargetMode="External" Id="rId136"/><Relationship Type="http://schemas.openxmlformats.org/officeDocument/2006/relationships/hyperlink" Target="https://github.com/bootstrapprx/kodoo/tree/main/modules" TargetMode="External" Id="rId137"/><Relationship Type="http://schemas.openxmlformats.org/officeDocument/2006/relationships/hyperlink" Target="https://github.com/bootstrapprx/kodoo/tree/main/modules" TargetMode="External" Id="rId138"/><Relationship Type="http://schemas.openxmlformats.org/officeDocument/2006/relationships/hyperlink" Target="https://github.com/bootstrapprx/kodoo/tree/main/modules" TargetMode="External" Id="rId139"/><Relationship Type="http://schemas.openxmlformats.org/officeDocument/2006/relationships/hyperlink" Target="https://github.com/bootstrapprx/kodoo/tree/main/modules" TargetMode="External" Id="rId140"/><Relationship Type="http://schemas.openxmlformats.org/officeDocument/2006/relationships/hyperlink" Target="https://github.com/bootstrapprx/kodoo/tree/main/modules" TargetMode="External" Id="rId141"/><Relationship Type="http://schemas.openxmlformats.org/officeDocument/2006/relationships/hyperlink" Target="https://github.com/bootstrapprx/kodoo/tree/main/modules" TargetMode="External" Id="rId142"/><Relationship Type="http://schemas.openxmlformats.org/officeDocument/2006/relationships/hyperlink" Target="https://github.com/bootstrapprx/kodoo/tree/main/modules" TargetMode="External" Id="rId143"/><Relationship Type="http://schemas.openxmlformats.org/officeDocument/2006/relationships/hyperlink" Target="https://github.com/bootstrapprx/kodoo/tree/main/modules" TargetMode="External" Id="rId144"/><Relationship Type="http://schemas.openxmlformats.org/officeDocument/2006/relationships/hyperlink" Target="https://github.com/bootstrapprx/kodoo/tree/main/modules" TargetMode="External" Id="rId145"/><Relationship Type="http://schemas.openxmlformats.org/officeDocument/2006/relationships/hyperlink" Target="https://github.com/bootstrapprx/kodoo/tree/main/modules" TargetMode="External" Id="rId146"/><Relationship Type="http://schemas.openxmlformats.org/officeDocument/2006/relationships/hyperlink" Target="https://github.com/bootstrapprx/kodoo/tree/main/modules" TargetMode="External" Id="rId147"/><Relationship Type="http://schemas.openxmlformats.org/officeDocument/2006/relationships/hyperlink" Target="https://github.com/bootstrapprx/kodoo/tree/main/modules" TargetMode="External" Id="rId148"/><Relationship Type="http://schemas.openxmlformats.org/officeDocument/2006/relationships/hyperlink" Target="https://github.com/bootstrapprx/kodoo/tree/main/modules" TargetMode="External" Id="rId149"/><Relationship Type="http://schemas.openxmlformats.org/officeDocument/2006/relationships/hyperlink" Target="https://github.com/bootstrapprx/kodoo/tree/main/modules" TargetMode="External" Id="rId150"/><Relationship Type="http://schemas.openxmlformats.org/officeDocument/2006/relationships/hyperlink" Target="https://github.com/bootstrapprx/kodoo/tree/main/modules" TargetMode="External" Id="rId151"/><Relationship Type="http://schemas.openxmlformats.org/officeDocument/2006/relationships/hyperlink" Target="https://github.com/bootstrapprx/kodoo/tree/main/modules" TargetMode="External" Id="rId152"/><Relationship Type="http://schemas.openxmlformats.org/officeDocument/2006/relationships/hyperlink" Target="https://github.com/bootstrapprx/kodoo/tree/main/modules" TargetMode="External" Id="rId153"/><Relationship Type="http://schemas.openxmlformats.org/officeDocument/2006/relationships/hyperlink" Target="https://github.com/bootstrapprx/kodoo/tree/main/modules" TargetMode="External" Id="rId154"/><Relationship Type="http://schemas.openxmlformats.org/officeDocument/2006/relationships/hyperlink" Target="https://github.com/bootstrapprx/kodoo/tree/main/modules" TargetMode="External" Id="rId155"/><Relationship Type="http://schemas.openxmlformats.org/officeDocument/2006/relationships/hyperlink" Target="https://github.com/bootstrapprx/kodoo/tree/main/modules" TargetMode="External" Id="rId156"/><Relationship Type="http://schemas.openxmlformats.org/officeDocument/2006/relationships/hyperlink" Target="https://github.com/bootstrapprx/kodoo/tree/main/modules" TargetMode="External" Id="rId157"/><Relationship Type="http://schemas.openxmlformats.org/officeDocument/2006/relationships/hyperlink" Target="https://github.com/bootstrapprx/kodoo/tree/main/modules" TargetMode="External" Id="rId158"/><Relationship Type="http://schemas.openxmlformats.org/officeDocument/2006/relationships/hyperlink" Target="https://github.com/bootstrapprx/kodoo/tree/main/modules" TargetMode="External" Id="rId159"/><Relationship Type="http://schemas.openxmlformats.org/officeDocument/2006/relationships/hyperlink" Target="https://github.com/bootstrapprx/kodoo/tree/main/modules" TargetMode="External" Id="rId160"/><Relationship Type="http://schemas.openxmlformats.org/officeDocument/2006/relationships/hyperlink" Target="https://github.com/bootstrapprx/kodoo/tree/main/modules" TargetMode="External" Id="rId161"/><Relationship Type="http://schemas.openxmlformats.org/officeDocument/2006/relationships/hyperlink" Target="https://github.com/bootstrapprx/kodoo/tree/main/modules" TargetMode="External" Id="rId162"/><Relationship Type="http://schemas.openxmlformats.org/officeDocument/2006/relationships/hyperlink" Target="https://github.com/bootstrapprx/kodoo/tree/main/modules" TargetMode="External" Id="rId163"/><Relationship Type="http://schemas.openxmlformats.org/officeDocument/2006/relationships/hyperlink" Target="https://github.com/bootstrapprx/kodoo/tree/main/modules" TargetMode="External" Id="rId164"/><Relationship Type="http://schemas.openxmlformats.org/officeDocument/2006/relationships/hyperlink" Target="https://github.com/bootstrapprx/kodoo/tree/main/modules" TargetMode="External" Id="rId165"/><Relationship Type="http://schemas.openxmlformats.org/officeDocument/2006/relationships/hyperlink" Target="https://github.com/bootstrapprx/kodoo/tree/main/modules" TargetMode="External" Id="rId166"/><Relationship Type="http://schemas.openxmlformats.org/officeDocument/2006/relationships/hyperlink" Target="https://github.com/bootstrapprx/kodoo/tree/main/modules" TargetMode="External" Id="rId167"/><Relationship Type="http://schemas.openxmlformats.org/officeDocument/2006/relationships/hyperlink" Target="https://github.com/bootstrapprx/kodoo/tree/main/modules" TargetMode="External" Id="rId168"/><Relationship Type="http://schemas.openxmlformats.org/officeDocument/2006/relationships/hyperlink" Target="https://github.com/bootstrapprx/kodoo/tree/main/modules" TargetMode="External" Id="rId169"/><Relationship Type="http://schemas.openxmlformats.org/officeDocument/2006/relationships/hyperlink" Target="https://github.com/bootstrapprx/kodoo/tree/main/modules" TargetMode="External" Id="rId170"/><Relationship Type="http://schemas.openxmlformats.org/officeDocument/2006/relationships/hyperlink" Target="https://github.com/bootstrapprx/kodoo/tree/main/modules" TargetMode="External" Id="rId171"/><Relationship Type="http://schemas.openxmlformats.org/officeDocument/2006/relationships/hyperlink" Target="https://github.com/bootstrapprx/kodoo/tree/main/modules" TargetMode="External" Id="rId172"/><Relationship Type="http://schemas.openxmlformats.org/officeDocument/2006/relationships/hyperlink" Target="https://github.com/bootstrapprx/kodoo/tree/main/modules" TargetMode="External" Id="rId173"/><Relationship Type="http://schemas.openxmlformats.org/officeDocument/2006/relationships/hyperlink" Target="https://github.com/bootstrapprx/kodoo/tree/main/modules" TargetMode="External" Id="rId174"/><Relationship Type="http://schemas.openxmlformats.org/officeDocument/2006/relationships/hyperlink" Target="https://github.com/bootstrapprx/kodoo/tree/main/modules" TargetMode="External" Id="rId175"/><Relationship Type="http://schemas.openxmlformats.org/officeDocument/2006/relationships/hyperlink" Target="https://github.com/bootstrapprx/kodoo/tree/main/modules" TargetMode="External" Id="rId176"/><Relationship Type="http://schemas.openxmlformats.org/officeDocument/2006/relationships/hyperlink" Target="https://github.com/bootstrapprx/kodoo/tree/main/modules" TargetMode="External" Id="rId177"/><Relationship Type="http://schemas.openxmlformats.org/officeDocument/2006/relationships/hyperlink" Target="https://github.com/bootstrapprx/kodoo/tree/main/modules" TargetMode="External" Id="rId178"/><Relationship Type="http://schemas.openxmlformats.org/officeDocument/2006/relationships/hyperlink" Target="https://github.com/bootstrapprx/kodoo/tree/main/modules" TargetMode="External" Id="rId179"/><Relationship Type="http://schemas.openxmlformats.org/officeDocument/2006/relationships/hyperlink" Target="https://github.com/bootstrapprx/kodoo/tree/main/modules" TargetMode="External" Id="rId180"/><Relationship Type="http://schemas.openxmlformats.org/officeDocument/2006/relationships/hyperlink" Target="https://github.com/bootstrapprx/kodoo/tree/main/modules" TargetMode="External" Id="rId181"/><Relationship Type="http://schemas.openxmlformats.org/officeDocument/2006/relationships/hyperlink" Target="https://github.com/bootstrapprx/kodoo/tree/main/modules" TargetMode="External" Id="rId182"/><Relationship Type="http://schemas.openxmlformats.org/officeDocument/2006/relationships/hyperlink" Target="https://github.com/bootstrapprx/kodoo/tree/main/modules" TargetMode="External" Id="rId183"/><Relationship Type="http://schemas.openxmlformats.org/officeDocument/2006/relationships/hyperlink" Target="https://github.com/bootstrapprx/kodoo/tree/main/modules" TargetMode="External" Id="rId184"/><Relationship Type="http://schemas.openxmlformats.org/officeDocument/2006/relationships/hyperlink" Target="https://github.com/bootstrapprx/kodoo/tree/main/modules" TargetMode="External" Id="rId185"/><Relationship Type="http://schemas.openxmlformats.org/officeDocument/2006/relationships/hyperlink" Target="https://github.com/bootstrapprx/kodoo/tree/main/modules" TargetMode="External" Id="rId186"/><Relationship Type="http://schemas.openxmlformats.org/officeDocument/2006/relationships/hyperlink" Target="https://github.com/bootstrapprx/kodoo/tree/main/modules" TargetMode="External" Id="rId187"/><Relationship Type="http://schemas.openxmlformats.org/officeDocument/2006/relationships/hyperlink" Target="https://github.com/bootstrapprx/kodoo/tree/main/modules" TargetMode="External" Id="rId188"/><Relationship Type="http://schemas.openxmlformats.org/officeDocument/2006/relationships/hyperlink" Target="https://github.com/bootstrapprx/kodoo/tree/main/modules" TargetMode="External" Id="rId189"/><Relationship Type="http://schemas.openxmlformats.org/officeDocument/2006/relationships/hyperlink" Target="https://github.com/bootstrapprx/kodoo/tree/main/modules" TargetMode="External" Id="rId190"/><Relationship Type="http://schemas.openxmlformats.org/officeDocument/2006/relationships/hyperlink" Target="https://github.com/bootstrapprx/kodoo/tree/main/modules" TargetMode="External" Id="rId191"/><Relationship Type="http://schemas.openxmlformats.org/officeDocument/2006/relationships/hyperlink" Target="https://github.com/bootstrapprx/kodoo/tree/main/modules" TargetMode="External" Id="rId192"/><Relationship Type="http://schemas.openxmlformats.org/officeDocument/2006/relationships/hyperlink" Target="https://github.com/bootstrapprx/kodoo/tree/main/modules" TargetMode="External" Id="rId193"/><Relationship Type="http://schemas.openxmlformats.org/officeDocument/2006/relationships/hyperlink" Target="https://github.com/bootstrapprx/kodoo/tree/main/modules" TargetMode="External" Id="rId194"/><Relationship Type="http://schemas.openxmlformats.org/officeDocument/2006/relationships/hyperlink" Target="https://github.com/bootstrapprx/kodoo/tree/main/modules" TargetMode="External" Id="rId195"/><Relationship Type="http://schemas.openxmlformats.org/officeDocument/2006/relationships/hyperlink" Target="https://github.com/bootstrapprx/kodoo/tree/main/modules" TargetMode="External" Id="rId196"/><Relationship Type="http://schemas.openxmlformats.org/officeDocument/2006/relationships/hyperlink" Target="https://github.com/bootstrapprx/kodoo/tree/main/modules" TargetMode="External" Id="rId197"/><Relationship Type="http://schemas.openxmlformats.org/officeDocument/2006/relationships/hyperlink" Target="https://github.com/bootstrapprx/kodoo/tree/main/modules" TargetMode="External" Id="rId198"/><Relationship Type="http://schemas.openxmlformats.org/officeDocument/2006/relationships/hyperlink" Target="https://github.com/bootstrapprx/kodoo/tree/main/modules" TargetMode="External" Id="rId199"/><Relationship Type="http://schemas.openxmlformats.org/officeDocument/2006/relationships/hyperlink" Target="https://github.com/bootstrapprx/kodoo/tree/main/modules" TargetMode="External" Id="rId200"/><Relationship Type="http://schemas.openxmlformats.org/officeDocument/2006/relationships/hyperlink" Target="https://github.com/bootstrapprx/kodoo/tree/main/modules" TargetMode="External" Id="rId201"/><Relationship Type="http://schemas.openxmlformats.org/officeDocument/2006/relationships/hyperlink" Target="https://github.com/bootstrapprx/kodoo/tree/main/modules" TargetMode="External" Id="rId202"/><Relationship Type="http://schemas.openxmlformats.org/officeDocument/2006/relationships/hyperlink" Target="https://github.com/bootstrapprx/kodoo/tree/main/modules" TargetMode="External" Id="rId203"/><Relationship Type="http://schemas.openxmlformats.org/officeDocument/2006/relationships/hyperlink" Target="https://github.com/bootstrapprx/kodoo/tree/main/modules" TargetMode="External" Id="rId204"/><Relationship Type="http://schemas.openxmlformats.org/officeDocument/2006/relationships/hyperlink" Target="https://github.com/bootstrapprx/kodoo/tree/main/modules" TargetMode="External" Id="rId205"/><Relationship Type="http://schemas.openxmlformats.org/officeDocument/2006/relationships/hyperlink" Target="https://github.com/bootstrapprx/kodoo/tree/main/modules" TargetMode="External" Id="rId206"/><Relationship Type="http://schemas.openxmlformats.org/officeDocument/2006/relationships/hyperlink" Target="https://github.com/bootstrapprx/kodoo/tree/main/modules" TargetMode="External" Id="rId207"/><Relationship Type="http://schemas.openxmlformats.org/officeDocument/2006/relationships/hyperlink" Target="https://github.com/bootstrapprx/kodoo/tree/main/modules" TargetMode="External" Id="rId208"/><Relationship Type="http://schemas.openxmlformats.org/officeDocument/2006/relationships/hyperlink" Target="https://github.com/bootstrapprx/kodoo/tree/main/modules" TargetMode="External" Id="rId209"/><Relationship Type="http://schemas.openxmlformats.org/officeDocument/2006/relationships/hyperlink" Target="https://github.com/bootstrapprx/kodoo/tree/main/modules" TargetMode="External" Id="rId210"/><Relationship Type="http://schemas.openxmlformats.org/officeDocument/2006/relationships/hyperlink" Target="https://github.com/bootstrapprx/kodoo/tree/main/modules" TargetMode="External" Id="rId211"/><Relationship Type="http://schemas.openxmlformats.org/officeDocument/2006/relationships/hyperlink" Target="https://github.com/bootstrapprx/kodoo/tree/main/modules" TargetMode="External" Id="rId212"/><Relationship Type="http://schemas.openxmlformats.org/officeDocument/2006/relationships/hyperlink" Target="https://github.com/bootstrapprx/kodoo/tree/main/modules" TargetMode="External" Id="rId213"/><Relationship Type="http://schemas.openxmlformats.org/officeDocument/2006/relationships/hyperlink" Target="https://github.com/bootstrapprx/kodoo/tree/main/modules" TargetMode="External" Id="rId214"/><Relationship Type="http://schemas.openxmlformats.org/officeDocument/2006/relationships/hyperlink" Target="https://github.com/bootstrapprx/kodoo/tree/main/modules" TargetMode="External" Id="rId215"/><Relationship Type="http://schemas.openxmlformats.org/officeDocument/2006/relationships/hyperlink" Target="https://github.com/bootstrapprx/kodoo/tree/main/modules" TargetMode="External" Id="rId216"/><Relationship Type="http://schemas.openxmlformats.org/officeDocument/2006/relationships/hyperlink" Target="https://github.com/bootstrapprx/kodoo/tree/main/modules" TargetMode="External" Id="rId217"/><Relationship Type="http://schemas.openxmlformats.org/officeDocument/2006/relationships/hyperlink" Target="https://github.com/bootstrapprx/kodoo/tree/main/modules" TargetMode="External" Id="rId218"/><Relationship Type="http://schemas.openxmlformats.org/officeDocument/2006/relationships/hyperlink" Target="https://github.com/bootstrapprx/kodoo/tree/main/modules" TargetMode="External" Id="rId219"/><Relationship Type="http://schemas.openxmlformats.org/officeDocument/2006/relationships/hyperlink" Target="https://github.com/bootstrapprx/kodoo/tree/main/modules" TargetMode="External" Id="rId220"/><Relationship Type="http://schemas.openxmlformats.org/officeDocument/2006/relationships/hyperlink" Target="https://github.com/bootstrapprx/kodoo/tree/main/modules" TargetMode="External" Id="rId221"/><Relationship Type="http://schemas.openxmlformats.org/officeDocument/2006/relationships/hyperlink" Target="https://github.com/bootstrapprx/kodoo/tree/main/modules" TargetMode="External" Id="rId222"/><Relationship Type="http://schemas.openxmlformats.org/officeDocument/2006/relationships/hyperlink" Target="https://github.com/bootstrapprx/kodoo/tree/main/modules" TargetMode="External" Id="rId223"/><Relationship Type="http://schemas.openxmlformats.org/officeDocument/2006/relationships/hyperlink" Target="https://github.com/bootstrapprx/kodoo/tree/main/modules" TargetMode="External" Id="rId224"/><Relationship Type="http://schemas.openxmlformats.org/officeDocument/2006/relationships/hyperlink" Target="https://github.com/bootstrapprx/kodoo/tree/main/modules" TargetMode="External" Id="rId225"/><Relationship Type="http://schemas.openxmlformats.org/officeDocument/2006/relationships/hyperlink" Target="https://github.com/bootstrapprx/kodoo/tree/main/modules" TargetMode="External" Id="rId226"/><Relationship Type="http://schemas.openxmlformats.org/officeDocument/2006/relationships/hyperlink" Target="https://github.com/bootstrapprx/kodoo/tree/main/modules" TargetMode="External" Id="rId227"/><Relationship Type="http://schemas.openxmlformats.org/officeDocument/2006/relationships/hyperlink" Target="https://github.com/bootstrapprx/kodoo/tree/main/modules" TargetMode="External" Id="rId228"/><Relationship Type="http://schemas.openxmlformats.org/officeDocument/2006/relationships/hyperlink" Target="https://github.com/bootstrapprx/kodoo/tree/main/modules" TargetMode="External" Id="rId229"/><Relationship Type="http://schemas.openxmlformats.org/officeDocument/2006/relationships/hyperlink" Target="https://github.com/bootstrapprx/kodoo/tree/main/modules" TargetMode="External" Id="rId230"/><Relationship Type="http://schemas.openxmlformats.org/officeDocument/2006/relationships/hyperlink" Target="https://github.com/bootstrapprx/kodoo/tree/main/modules" TargetMode="External" Id="rId231"/><Relationship Type="http://schemas.openxmlformats.org/officeDocument/2006/relationships/hyperlink" Target="https://github.com/bootstrapprx/kodoo/tree/main/modules" TargetMode="External" Id="rId232"/><Relationship Type="http://schemas.openxmlformats.org/officeDocument/2006/relationships/hyperlink" Target="https://github.com/bootstrapprx/kodoo/tree/main/modules" TargetMode="External" Id="rId233"/><Relationship Type="http://schemas.openxmlformats.org/officeDocument/2006/relationships/hyperlink" Target="https://github.com/bootstrapprx/kodoo/tree/main/modules" TargetMode="External" Id="rId234"/><Relationship Type="http://schemas.openxmlformats.org/officeDocument/2006/relationships/hyperlink" Target="https://github.com/bootstrapprx/kodoo/tree/main/modules" TargetMode="External" Id="rId235"/><Relationship Type="http://schemas.openxmlformats.org/officeDocument/2006/relationships/hyperlink" Target="https://github.com/bootstrapprx/kodoo/tree/main/modules" TargetMode="External" Id="rId236"/><Relationship Type="http://schemas.openxmlformats.org/officeDocument/2006/relationships/hyperlink" Target="https://github.com/bootstrapprx/kodoo/tree/main/modules" TargetMode="External" Id="rId237"/><Relationship Type="http://schemas.openxmlformats.org/officeDocument/2006/relationships/hyperlink" Target="https://github.com/bootstrapprx/kodoo/tree/main/modules" TargetMode="External" Id="rId238"/><Relationship Type="http://schemas.openxmlformats.org/officeDocument/2006/relationships/hyperlink" Target="https://github.com/bootstrapprx/kodoo/tree/main/modules" TargetMode="External" Id="rId239"/><Relationship Type="http://schemas.openxmlformats.org/officeDocument/2006/relationships/hyperlink" Target="https://github.com/bootstrapprx/kodoo/tree/main/modules" TargetMode="External" Id="rId240"/><Relationship Type="http://schemas.openxmlformats.org/officeDocument/2006/relationships/hyperlink" Target="https://github.com/bootstrapprx/kodoo/tree/main/modules" TargetMode="External" Id="rId241"/><Relationship Type="http://schemas.openxmlformats.org/officeDocument/2006/relationships/hyperlink" Target="https://github.com/bootstrapprx/kodoo/tree/main/modules" TargetMode="External" Id="rId242"/><Relationship Type="http://schemas.openxmlformats.org/officeDocument/2006/relationships/hyperlink" Target="https://github.com/bootstrapprx/kodoo/tree/main/modules" TargetMode="External" Id="rId243"/><Relationship Type="http://schemas.openxmlformats.org/officeDocument/2006/relationships/hyperlink" Target="https://github.com/bootstrapprx/kodoo/tree/main/modules" TargetMode="External" Id="rId244"/><Relationship Type="http://schemas.openxmlformats.org/officeDocument/2006/relationships/hyperlink" Target="https://github.com/bootstrapprx/kodoo/tree/main/modules" TargetMode="External" Id="rId245"/><Relationship Type="http://schemas.openxmlformats.org/officeDocument/2006/relationships/hyperlink" Target="https://github.com/bootstrapprx/kodoo/tree/main/modules" TargetMode="External" Id="rId246"/><Relationship Type="http://schemas.openxmlformats.org/officeDocument/2006/relationships/hyperlink" Target="https://github.com/bootstrapprx/kodoo/tree/main/modules" TargetMode="External" Id="rId247"/><Relationship Type="http://schemas.openxmlformats.org/officeDocument/2006/relationships/hyperlink" Target="https://github.com/bootstrapprx/kodoo/tree/main/modules" TargetMode="External" Id="rId248"/><Relationship Type="http://schemas.openxmlformats.org/officeDocument/2006/relationships/hyperlink" Target="https://github.com/bootstrapprx/kodoo/tree/main/modules" TargetMode="External" Id="rId249"/><Relationship Type="http://schemas.openxmlformats.org/officeDocument/2006/relationships/hyperlink" Target="https://github.com/bootstrapprx/kodoo/tree/main/modules" TargetMode="External" Id="rId250"/><Relationship Type="http://schemas.openxmlformats.org/officeDocument/2006/relationships/hyperlink" Target="https://github.com/bootstrapprx/kodoo/tree/main/modules" TargetMode="External" Id="rId251"/><Relationship Type="http://schemas.openxmlformats.org/officeDocument/2006/relationships/hyperlink" Target="https://github.com/bootstrapprx/kodoo/tree/main/modules" TargetMode="External" Id="rId252"/><Relationship Type="http://schemas.openxmlformats.org/officeDocument/2006/relationships/hyperlink" Target="https://github.com/bootstrapprx/kodoo/tree/main/modules" TargetMode="External" Id="rId253"/><Relationship Type="http://schemas.openxmlformats.org/officeDocument/2006/relationships/hyperlink" Target="https://github.com/bootstrapprx/kodoo/tree/main/modules" TargetMode="External" Id="rId254"/><Relationship Type="http://schemas.openxmlformats.org/officeDocument/2006/relationships/hyperlink" Target="https://github.com/bootstrapprx/kodoo/tree/main/modules" TargetMode="External" Id="rId255"/><Relationship Type="http://schemas.openxmlformats.org/officeDocument/2006/relationships/hyperlink" Target="https://github.com/bootstrapprx/kodoo/tree/main/modules" TargetMode="External" Id="rId256"/><Relationship Type="http://schemas.openxmlformats.org/officeDocument/2006/relationships/hyperlink" Target="https://github.com/bootstrapprx/kodoo/tree/main/modules" TargetMode="External" Id="rId257"/><Relationship Type="http://schemas.openxmlformats.org/officeDocument/2006/relationships/hyperlink" Target="https://github.com/bootstrapprx/kodoo/tree/main/modules" TargetMode="External" Id="rId258"/><Relationship Type="http://schemas.openxmlformats.org/officeDocument/2006/relationships/hyperlink" Target="https://github.com/bootstrapprx/kodoo/tree/main/modules" TargetMode="External" Id="rId259"/><Relationship Type="http://schemas.openxmlformats.org/officeDocument/2006/relationships/hyperlink" Target="https://github.com/bootstrapprx/kodoo/tree/main/modules" TargetMode="External" Id="rId260"/><Relationship Type="http://schemas.openxmlformats.org/officeDocument/2006/relationships/hyperlink" Target="https://github.com/bootstrapprx/kodoo/tree/main/modules" TargetMode="External" Id="rId261"/><Relationship Type="http://schemas.openxmlformats.org/officeDocument/2006/relationships/hyperlink" Target="https://github.com/bootstrapprx/kodoo/tree/main/modules" TargetMode="External" Id="rId262"/><Relationship Type="http://schemas.openxmlformats.org/officeDocument/2006/relationships/hyperlink" Target="https://github.com/bootstrapprx/kodoo/tree/main/modules" TargetMode="External" Id="rId263"/><Relationship Type="http://schemas.openxmlformats.org/officeDocument/2006/relationships/hyperlink" Target="https://github.com/bootstrapprx/kodoo/tree/main/modules" TargetMode="External" Id="rId264"/><Relationship Type="http://schemas.openxmlformats.org/officeDocument/2006/relationships/hyperlink" Target="https://github.com/bootstrapprx/kodoo/tree/main/modules" TargetMode="External" Id="rId265"/><Relationship Type="http://schemas.openxmlformats.org/officeDocument/2006/relationships/hyperlink" Target="https://github.com/bootstrapprx/kodoo/tree/main/modules" TargetMode="External" Id="rId266"/><Relationship Type="http://schemas.openxmlformats.org/officeDocument/2006/relationships/hyperlink" Target="https://github.com/bootstrapprx/kodoo/tree/main/modules" TargetMode="External" Id="rId267"/><Relationship Type="http://schemas.openxmlformats.org/officeDocument/2006/relationships/hyperlink" Target="https://github.com/bootstrapprx/kodoo/tree/main/modules" TargetMode="External" Id="rId268"/><Relationship Type="http://schemas.openxmlformats.org/officeDocument/2006/relationships/hyperlink" Target="https://github.com/bootstrapprx/kodoo/tree/main/modules" TargetMode="External" Id="rId269"/><Relationship Type="http://schemas.openxmlformats.org/officeDocument/2006/relationships/hyperlink" Target="https://github.com/bootstrapprx/kodoo/tree/main/modules" TargetMode="External" Id="rId270"/><Relationship Type="http://schemas.openxmlformats.org/officeDocument/2006/relationships/hyperlink" Target="https://github.com/bootstrapprx/kodoo/tree/main/modules" TargetMode="External" Id="rId271"/><Relationship Type="http://schemas.openxmlformats.org/officeDocument/2006/relationships/hyperlink" Target="https://github.com/bootstrapprx/kodoo/tree/main/modules" TargetMode="External" Id="rId272"/><Relationship Type="http://schemas.openxmlformats.org/officeDocument/2006/relationships/hyperlink" Target="https://github.com/bootstrapprx/kodoo/tree/main/modules" TargetMode="External" Id="rId273"/><Relationship Type="http://schemas.openxmlformats.org/officeDocument/2006/relationships/hyperlink" Target="https://github.com/bootstrapprx/kodoo/tree/main/modules" TargetMode="External" Id="rId274"/><Relationship Type="http://schemas.openxmlformats.org/officeDocument/2006/relationships/hyperlink" Target="https://github.com/bootstrapprx/kodoo/tree/main/modules" TargetMode="External" Id="rId275"/><Relationship Type="http://schemas.openxmlformats.org/officeDocument/2006/relationships/hyperlink" Target="https://github.com/bootstrapprx/kodoo/tree/main/modules" TargetMode="External" Id="rId276"/><Relationship Type="http://schemas.openxmlformats.org/officeDocument/2006/relationships/hyperlink" Target="https://github.com/bootstrapprx/kodoo/tree/main/modules" TargetMode="External" Id="rId277"/><Relationship Type="http://schemas.openxmlformats.org/officeDocument/2006/relationships/hyperlink" Target="https://github.com/bootstrapprx/kodoo/tree/main/modules" TargetMode="External" Id="rId278"/><Relationship Type="http://schemas.openxmlformats.org/officeDocument/2006/relationships/hyperlink" Target="https://github.com/bootstrapprx/kodoo/tree/main/modules" TargetMode="External" Id="rId279"/><Relationship Type="http://schemas.openxmlformats.org/officeDocument/2006/relationships/hyperlink" Target="https://github.com/bootstrapprx/kodoo/tree/main/modules" TargetMode="External" Id="rId280"/><Relationship Type="http://schemas.openxmlformats.org/officeDocument/2006/relationships/hyperlink" Target="https://github.com/bootstrapprx/kodoo/tree/main/modules" TargetMode="External" Id="rId281"/><Relationship Type="http://schemas.openxmlformats.org/officeDocument/2006/relationships/hyperlink" Target="https://github.com/bootstrapprx/kodoo/tree/main/modules" TargetMode="External" Id="rId282"/><Relationship Type="http://schemas.openxmlformats.org/officeDocument/2006/relationships/hyperlink" Target="https://github.com/bootstrapprx/kodoo/tree/main/modules" TargetMode="External" Id="rId283"/><Relationship Type="http://schemas.openxmlformats.org/officeDocument/2006/relationships/hyperlink" Target="https://github.com/bootstrapprx/kodoo/tree/main/modules" TargetMode="External" Id="rId284"/><Relationship Type="http://schemas.openxmlformats.org/officeDocument/2006/relationships/hyperlink" Target="https://github.com/bootstrapprx/kodoo/tree/main/modules" TargetMode="External" Id="rId285"/><Relationship Type="http://schemas.openxmlformats.org/officeDocument/2006/relationships/hyperlink" Target="https://github.com/bootstrapprx/kodoo/tree/main/modules" TargetMode="External" Id="rId286"/><Relationship Type="http://schemas.openxmlformats.org/officeDocument/2006/relationships/hyperlink" Target="https://github.com/bootstrapprx/kodoo/tree/main/modules" TargetMode="External" Id="rId287"/><Relationship Type="http://schemas.openxmlformats.org/officeDocument/2006/relationships/hyperlink" Target="https://github.com/bootstrapprx/kodoo/tree/main/modules" TargetMode="External" Id="rId288"/><Relationship Type="http://schemas.openxmlformats.org/officeDocument/2006/relationships/hyperlink" Target="https://github.com/bootstrapprx/kodoo/tree/main/modules" TargetMode="External" Id="rId289"/><Relationship Type="http://schemas.openxmlformats.org/officeDocument/2006/relationships/hyperlink" Target="https://github.com/bootstrapprx/kodoo/tree/main/modules" TargetMode="External" Id="rId290"/><Relationship Type="http://schemas.openxmlformats.org/officeDocument/2006/relationships/hyperlink" Target="https://github.com/bootstrapprx/kodoo/tree/main/modules" TargetMode="External" Id="rId291"/><Relationship Type="http://schemas.openxmlformats.org/officeDocument/2006/relationships/hyperlink" Target="https://github.com/bootstrapprx/kodoo/tree/main/modules" TargetMode="External" Id="rId292"/><Relationship Type="http://schemas.openxmlformats.org/officeDocument/2006/relationships/hyperlink" Target="https://github.com/bootstrapprx/kodoo/tree/main/modules" TargetMode="External" Id="rId293"/><Relationship Type="http://schemas.openxmlformats.org/officeDocument/2006/relationships/hyperlink" Target="https://github.com/bootstrapprx/kodoo/tree/main/modules" TargetMode="External" Id="rId294"/><Relationship Type="http://schemas.openxmlformats.org/officeDocument/2006/relationships/hyperlink" Target="https://github.com/bootstrapprx/kodoo/tree/main/modules" TargetMode="External" Id="rId295"/><Relationship Type="http://schemas.openxmlformats.org/officeDocument/2006/relationships/hyperlink" Target="https://github.com/bootstrapprx/kodoo/tree/main/modules" TargetMode="External" Id="rId296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bootstrapprx/kodoo/tree/main/modules/accounting" TargetMode="External" Id="rId1"/><Relationship Type="http://schemas.openxmlformats.org/officeDocument/2006/relationships/hyperlink" Target="https://github.com/bootstrapprx/kodoo/tree/main/modules/people" TargetMode="External" Id="rId2"/><Relationship Type="http://schemas.openxmlformats.org/officeDocument/2006/relationships/hyperlink" Target="https://github.com/bootstrapprx/kodoo/tree/main/modules/contests" TargetMode="External" Id="rId3"/><Relationship Type="http://schemas.openxmlformats.org/officeDocument/2006/relationships/hyperlink" Target="https://github.com/bootstrapprx/kodoo/tree/main/modules/knowledge" TargetMode="External" Id="rId4"/><Relationship Type="http://schemas.openxmlformats.org/officeDocument/2006/relationships/hyperlink" Target="https://github.com/bootstrapprx/kodoo/tree/main/modules/admin-bi" TargetMode="External" Id="rId5"/><Relationship Type="http://schemas.openxmlformats.org/officeDocument/2006/relationships/hyperlink" Target="https://github.com/bootstrapprx/kodoo/tree/main/modules/project-manager" TargetMode="External" Id="rId6"/><Relationship Type="http://schemas.openxmlformats.org/officeDocument/2006/relationships/hyperlink" Target="https://github.com/bootstrapprx/kodoo/tree/main/modules/proposals" TargetMode="External" Id="rId7"/><Relationship Type="http://schemas.openxmlformats.org/officeDocument/2006/relationships/hyperlink" Target="https://github.com/bootstrapprx/kodoo/tree/main/modules/_template" TargetMode="External" Id="rId8"/><Relationship Type="http://schemas.openxmlformats.org/officeDocument/2006/relationships/hyperlink" Target="https://github.com/bootstrapprx/kodoo/tree/main/apps/kalkulisto" TargetMode="External" Id="rId9"/><Relationship Type="http://schemas.openxmlformats.org/officeDocument/2006/relationships/hyperlink" Target="https://github.com/bootstrapprx/kodoo/tree/main/apps/kalkulisto-tui" TargetMode="External" Id="rId10"/><Relationship Type="http://schemas.openxmlformats.org/officeDocument/2006/relationships/hyperlink" Target="https://github.com/bootstrapprx/kodoo/tree/main/context/application-architecture.md" TargetMode="External" Id="rId11"/><Relationship Type="http://schemas.openxmlformats.org/officeDocument/2006/relationships/hyperlink" Target="https://github.com/bootstrapprx/kodoo/tree/main/context/application-architecture.md" TargetMode="External" Id="rId1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27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9" customWidth="1" style="49" min="1" max="1"/>
    <col width="110" customWidth="1" style="49" min="2" max="2"/>
    <col width="100" customWidth="1" style="49" min="3" max="3"/>
  </cols>
  <sheetData>
    <row r="1" ht="30" customHeight="1" s="50">
      <c r="A1" s="51" t="inlineStr">
        <is>
          <t>Kodoo — guia do roadmap revisado</t>
        </is>
      </c>
      <c r="B1" s="52" t="n"/>
    </row>
    <row r="2" ht="15" customHeight="1" s="50">
      <c r="A2" s="53" t="n"/>
      <c r="B2" s="53" t="n"/>
    </row>
    <row r="3" ht="33.75" customHeight="1" s="50">
      <c r="A3" s="54" t="inlineStr">
        <is>
          <t>Princípio</t>
        </is>
      </c>
      <c r="B3" s="55" t="inlineStr">
        <is>
          <t>Roadmap alinhado às fases do repositório bootstrapprx/kodoo, separado do inventário legado de telas/funções.</t>
        </is>
      </c>
    </row>
    <row r="4" ht="33.75" customHeight="1" s="50">
      <c r="A4" s="56" t="inlineStr">
        <is>
          <t>Fonte de verdade</t>
        </is>
      </c>
      <c r="B4" s="53" t="inlineStr">
        <is>
          <t>context/roadmap.md define F0–F6 e A1; context/domain-app-migration.md e context/application-architecture.md refinam o estado contábil e as aplicações.</t>
        </is>
      </c>
    </row>
    <row r="5" ht="33.75" customHeight="1" s="50">
      <c r="A5" s="54" t="inlineStr">
        <is>
          <t>Como usar</t>
        </is>
      </c>
      <c r="B5" s="55" t="inlineStr">
        <is>
          <t>Comece pela aba Roadmap. Mude Estado inicial/Estado atual apenas após conferir código, testes e documentação. Registre evidências clicáveis ou comandos reproduzíveis.</t>
        </is>
      </c>
    </row>
    <row r="6" ht="33.75" customHeight="1" s="50">
      <c r="A6" s="56" t="inlineStr">
        <is>
          <t>Importante</t>
        </is>
      </c>
      <c r="B6" s="53" t="inlineStr">
        <is>
          <t>Os status da planilha original não foram confirmados contra o código; foram preservados como dados legados e rotulados explicitamente como não verificados.</t>
        </is>
      </c>
    </row>
    <row r="7" ht="33.75" customHeight="1" s="50">
      <c r="A7" s="54" t="inlineStr">
        <is>
          <t>Fases</t>
        </is>
      </c>
      <c r="B7" s="55" t="inlineStr">
        <is>
          <t>A aba Fases contém a taxonomia do repositório. F0–F6 não devem ser interpretadas como as fases antigas da planilha.</t>
        </is>
      </c>
    </row>
    <row r="8" ht="33.75" customHeight="1" s="50">
      <c r="A8" s="56" t="inlineStr">
        <is>
          <t>Inventário — Telas</t>
        </is>
      </c>
      <c r="B8" s="53" t="inlineStr">
        <is>
          <t>O catálogo original foi preservado. A coluna Fase catálogo antigo mantém o valor anterior; preencha Fase Kodoo (reclassificar) após análise individual.</t>
        </is>
      </c>
    </row>
    <row r="9" ht="33.75" customHeight="1" s="50">
      <c r="A9" s="54" t="inlineStr">
        <is>
          <t>Inventário — Funções</t>
        </is>
      </c>
      <c r="B9" s="55" t="inlineStr">
        <is>
          <t>O catálogo original foi preservado. A coluna Fase catálogo antigo mantém o valor anterior; preencha Fase Kodoo (reclassificar) após análise individual.</t>
        </is>
      </c>
    </row>
    <row r="10" ht="33.75" customHeight="1" s="50">
      <c r="A10" s="56" t="inlineStr">
        <is>
          <t>Gates de aceite</t>
        </is>
      </c>
      <c r="B10" s="53" t="inlineStr">
        <is>
          <t>Checklist transversal de definição de pronto. Aplique por capacidade e marque N/A com justificativa quando uma superfície não se aplicar.</t>
        </is>
      </c>
    </row>
    <row r="11" ht="33.75" customHeight="1" s="50">
      <c r="A11" s="54" t="inlineStr">
        <is>
          <t>Auditoria</t>
        </is>
      </c>
      <c r="B11" s="55" t="inlineStr">
        <is>
          <t>Registra os principais riscos de planejamento encontrados ao comparar a planilha com a documentação do repositório.</t>
        </is>
      </c>
    </row>
    <row r="12" ht="33.75" customHeight="1" s="50">
      <c r="A12" s="56" t="inlineStr">
        <is>
          <t>Limite desta versão</t>
        </is>
      </c>
      <c r="B12" s="53" t="inlineStr">
        <is>
          <t>É uma revisão documental, não uma auditoria completa de cada linha de código. Estados iniciais são hipóteses baseadas nos documentos consultados; valide contra o HEAD atual.</t>
        </is>
      </c>
    </row>
    <row r="13" ht="33.75" customHeight="1" s="50">
      <c r="A13" s="54" t="inlineStr">
        <is>
          <t>Repositório</t>
        </is>
      </c>
      <c r="B13" s="57" t="inlineStr">
        <is>
          <t>https://github.com/bootstrapprx/kodoo</t>
        </is>
      </c>
    </row>
    <row r="14" ht="33.75" customHeight="1" s="50">
      <c r="A14" s="56" t="inlineStr">
        <is>
          <t>Documentos principais</t>
        </is>
      </c>
      <c r="B14" s="57" t="inlineStr">
        <is>
          <t>https://github.com/bootstrapprx/kodoo/blob/main/context/roadmap.md</t>
        </is>
      </c>
    </row>
    <row r="15" ht="33.75" customHeight="1" s="50">
      <c r="A15" s="54" t="inlineStr">
        <is>
          <t>Migração contábil</t>
        </is>
      </c>
      <c r="B15" s="57" t="inlineStr">
        <is>
          <t>https://github.com/bootstrapprx/kodoo/blob/main/context/domain-app-migration.md</t>
        </is>
      </c>
    </row>
    <row r="16" ht="33.75" customHeight="1" s="50">
      <c r="A16" s="56" t="inlineStr">
        <is>
          <t>Arquitetura de aplicações</t>
        </is>
      </c>
      <c r="B16" s="57" t="inlineStr">
        <is>
          <t>https://github.com/bootstrapprx/kodoo/blob/main/context/application-architecture.md</t>
        </is>
      </c>
    </row>
    <row r="17" ht="45" customHeight="1" s="50">
      <c r="A17" s="56" t="inlineStr">
        <is>
          <t>English naming</t>
        </is>
      </c>
      <c r="B17" s="53" t="inlineStr">
        <is>
          <t>Aba Funções inclui identificadores propostos em inglês e mapeamento para módulo/submódulo pai. Os identificadores são traduções do catálogo antigo, não símbolos confirmados no código.</t>
        </is>
      </c>
    </row>
    <row r="18" ht="45" customHeight="1" s="50">
      <c r="A18" s="56" t="inlineStr">
        <is>
          <t>Módulos incompletos</t>
        </is>
      </c>
      <c r="B18" s="53" t="inlineStr">
        <is>
          <t>Use a aba Modules para ver módulos/apps, status documental, lacunas e links diretos ao repositório. Diretório existente não significa módulo completo.</t>
        </is>
      </c>
    </row>
    <row r="19" ht="45" customHeight="1" s="50">
      <c r="A19" s="56" t="inlineStr">
        <is>
          <t>Hierarchy mapping</t>
        </is>
      </c>
      <c r="B19" s="53" t="inlineStr">
        <is>
          <t>Module ownership is proposed where exact code ownership was not proven. Use Mapping Confidence and Repository Link to guide verification.</t>
        </is>
      </c>
    </row>
    <row r="20" ht="15" customHeight="1" s="50">
      <c r="A20" s="56" t="inlineStr">
        <is>
          <t>Versão</t>
        </is>
      </c>
      <c r="B20" s="53" t="inlineStr">
        <is>
          <t>v2 — adiciona Painel (gráficos dinâmicos), Constants &amp; Enums, Metrics &amp; Formulas, Projections &amp; Dashboards, Dependencies, Decisões pendentes e Racional (Constantes); corrige gráficos quebrados do Roadmap.</t>
        </is>
      </c>
    </row>
    <row r="21" ht="28.35" customHeight="1" s="50">
      <c r="A21" s="56" t="inlineStr">
        <is>
          <t>Painel</t>
        </is>
      </c>
      <c r="B21" s="53" t="inlineStr">
        <is>
          <t>Visão gráfica calculada por fórmulas. Não edite o Painel: altere os dados nas abas de origem (Roadmap → Current Status; definições → Implementation Status; Dependencies; Gates).</t>
        </is>
      </c>
    </row>
    <row r="22" ht="15" customHeight="1" s="50">
      <c r="A22" s="56" t="inlineStr">
        <is>
          <t>Constantes e projeções</t>
        </is>
      </c>
      <c r="B22" s="53" t="inlineStr">
        <is>
          <t>Constants &amp; Enums, Metrics &amp; Formulas e Projections &amp; Dashboards guardam UMA definição canônica por item. Linhas iniciais são propostas, não código existente. Dashboard apenas compõe métricas; projeção nunca é saldo contábil oficial.</t>
        </is>
      </c>
    </row>
    <row r="23" ht="15" customHeight="1" s="50">
      <c r="A23" s="56" t="inlineStr">
        <is>
          <t>Dependencies</t>
        </is>
      </c>
      <c r="B23" s="53" t="inlineStr">
        <is>
          <t>Relaciona definições, funções (FN-), telas (T-), itens do roadmap (RM-) e módulos. A coluna Valid? acusa IDs inexistentes; contagens Depends on/Used by aparecem em cada inventário.</t>
        </is>
      </c>
    </row>
    <row r="24" ht="15" customHeight="1" s="50">
      <c r="A24" s="56" t="inlineStr">
        <is>
          <t>Decisões pendentes</t>
        </is>
      </c>
      <c r="B24" s="53" t="inlineStr">
        <is>
          <t>Registra proprietários indefinidos (ex.: orçamento) em vez de inventar localização. Itens "Aberta" aparecem no Painel.</t>
        </is>
      </c>
    </row>
    <row r="25" ht="15" customHeight="1" s="50">
      <c r="A25" s="56" t="inlineStr">
        <is>
          <t>Racional (Constantes)</t>
        </is>
      </c>
      <c r="B25" s="53" t="inlineStr">
        <is>
          <t>Resposta recebida sobre incluir constantes/métricas/projeções, preservada com mapeamento para as abas.</t>
        </is>
      </c>
    </row>
    <row r="26" ht="15" customHeight="1" s="50">
      <c r="A26" s="56" t="inlineStr">
        <is>
          <t>Current Status (Roadmap)</t>
        </is>
      </c>
      <c r="B26" s="53" t="inlineStr">
        <is>
          <t>Nova coluna no Roadmap (lista suspensa). Começa em "A validar" para todos os itens; o Painel mede o progresso a partir dela.</t>
        </is>
      </c>
    </row>
    <row r="27" ht="23.25" customHeight="1" s="50">
      <c r="A27" s="56" t="inlineStr">
        <is>
          <t>Health (inventários)</t>
        </is>
      </c>
      <c r="B27" s="53" t="inlineStr">
        <is>
          <t>⚠ lacuna de evidência/código · ◐ proprietário pendente · ○ sem relações em Dependencies · ✔ OK.</t>
        </is>
      </c>
    </row>
    <row r="29" ht="15" customHeight="1" s="50"/>
    <row r="30" ht="23.25" customHeight="1" s="50"/>
    <row r="31" ht="23.25" customHeight="1" s="50"/>
    <row r="32" ht="23.25" customHeight="1" s="50"/>
    <row r="33" ht="15" customHeight="1" s="50"/>
    <row r="35" ht="15" customHeight="1" s="50"/>
    <row r="36" ht="15" customHeight="1" s="50"/>
    <row r="37" ht="15" customHeight="1" s="50"/>
    <row r="38" ht="15" customHeight="1" s="50"/>
    <row r="40" ht="15" customHeight="1" s="50"/>
    <row r="41" ht="15" customHeight="1" s="50"/>
    <row r="42" ht="15" customHeight="1" s="50"/>
    <row r="43" ht="15" customHeight="1" s="50"/>
    <row r="44" ht="15" customHeight="1" s="50"/>
    <row r="45" ht="15" customHeight="1" s="50"/>
    <row r="46" ht="15" customHeight="1" s="50"/>
    <row r="47" ht="15" customHeight="1" s="50"/>
  </sheetData>
  <hyperlinks>
    <hyperlink xmlns:r="http://schemas.openxmlformats.org/officeDocument/2006/relationships" ref="B13" display="https://github.com/bootstrapprx/kodoo" r:id="rId1"/>
    <hyperlink xmlns:r="http://schemas.openxmlformats.org/officeDocument/2006/relationships" ref="B14" display="https://github.com/bootstrapprx/kodoo/blob/main/context/roadmap.md" r:id="rId2"/>
    <hyperlink xmlns:r="http://schemas.openxmlformats.org/officeDocument/2006/relationships" ref="B15" display="https://github.com/bootstrapprx/kodoo/blob/main/context/domain-app-migration.md" r:id="rId3"/>
    <hyperlink xmlns:r="http://schemas.openxmlformats.org/officeDocument/2006/relationships" ref="B16" display="https://github.com/bootstrapprx/kodoo/blob/main/context/application-architecture.md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7365D"/>
    <outlinePr summaryBelow="1" summaryRight="1"/>
    <pageSetUpPr fitToPage="1"/>
  </sheetPr>
  <dimension ref="A1:W12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9" min="1" max="1"/>
    <col width="12.5" customWidth="1" style="49" min="2" max="11"/>
    <col width="3" customWidth="1" style="49" min="12" max="12"/>
    <col width="24" customWidth="1" style="49" min="13" max="13"/>
    <col width="12.5" customWidth="1" style="49" min="14" max="23"/>
  </cols>
  <sheetData>
    <row r="1" ht="30" customHeight="1" s="50">
      <c r="A1" s="58" t="inlineStr">
        <is>
          <t>Kodoo — painel de acompanhamento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</row>
    <row r="2" ht="15" customHeight="1" s="50">
      <c r="A2" s="60" t="inlineStr">
        <is>
          <t>Tudo aqui é calculado por fórmulas a partir das outras abas — não edite o Painel. Atualize Current Status (Roadmap), Implementation Status (definições), Dependencies e Gates; os números e gráficos acompanham.</t>
        </is>
      </c>
    </row>
    <row r="4" ht="15" customHeight="1" s="50">
      <c r="A4" s="61" t="inlineStr">
        <is>
          <t>ITENS DO ROADMAP</t>
        </is>
      </c>
      <c r="B4" s="61" t="inlineStr">
        <is>
          <t>% ROADMAP CONCLUÍDO</t>
        </is>
      </c>
      <c r="C4" s="62" t="n"/>
      <c r="D4" s="61" t="inlineStr">
        <is>
          <t>P0 AINDA ABERTOS</t>
        </is>
      </c>
      <c r="E4" s="62" t="n"/>
      <c r="F4" s="61" t="inlineStr">
        <is>
          <t>GATES DE ACEITE ATENDIDOS</t>
        </is>
      </c>
      <c r="G4" s="62" t="n"/>
      <c r="H4" s="63" t="inlineStr">
        <is>
          <t>Como ler
• Roadmap, gates e definições começam em "A validar"/"Planned": é um estado honesto, não uma falha.
• Sem prova (código, teste, CI) o status não sobe.
• Alertas ⚠ aparecem nos inventários (coluna Health).</t>
        </is>
      </c>
    </row>
    <row r="5" ht="33.75" customHeight="1" s="50">
      <c r="A5" s="64">
        <f>COUNTA(Roadmap!$A$6:$A$200)</f>
        <v/>
      </c>
      <c r="B5" s="65">
        <f>IFERROR(COUNTIF(Roadmap!$M$6:$M$200,"Concluído")/(COUNTA(Roadmap!$A$6:$A$200)-COUNTIF(Roadmap!$M$6:$M$200,"Não se aplica")),0)</f>
        <v/>
      </c>
      <c r="C5" s="66" t="n"/>
      <c r="D5" s="64">
        <f>COUNTIFS(Roadmap!$F$6:$F$200,"P0",Roadmap!$M$6:$M$200,"&lt;&gt;Concluído")</f>
        <v/>
      </c>
      <c r="E5" s="66" t="n"/>
      <c r="F5" s="65">
        <f>IFERROR(COUNTIF('Gates de aceite'!$E$6:$E$18,"Concluído")/(COUNTA('Gates de aceite'!$E$6:$E$18)-COUNTIF('Gates de aceite'!$E$6:$E$18,"Não se aplica")),0)</f>
        <v/>
      </c>
      <c r="G5" s="66" t="n"/>
    </row>
    <row r="6" ht="15" customHeight="1" s="50">
      <c r="A6" s="67">
        <f>COUNTIF(Roadmap!$M$6:$M$200,"Concluído")&amp;" concluídos"</f>
        <v/>
      </c>
      <c r="B6" s="67">
        <f>COUNTIF(Roadmap!$M$6:$M$200,"Em andamento")&amp;" em andamento"</f>
        <v/>
      </c>
      <c r="C6" s="68" t="n"/>
      <c r="D6" s="67">
        <f>"de "&amp;COUNTIF(Roadmap!$F$6:$F$200,"P0")&amp;" itens P0"</f>
        <v/>
      </c>
      <c r="E6" s="68" t="n"/>
      <c r="F6" s="67">
        <f>COUNTIF('Gates de aceite'!$E$6:$E$18,"Concluído")&amp;" de "&amp;COUNTA('Gates de aceite'!$E$6:$E$18)&amp;" gates"</f>
        <v/>
      </c>
      <c r="G6" s="68" t="n"/>
    </row>
    <row r="7" ht="15" customHeight="1" s="50"/>
    <row r="8" ht="22.35" customHeight="1" s="50">
      <c r="A8" s="61" t="inlineStr">
        <is>
          <t>DEFINIÇÕES CATALOGADAS</t>
        </is>
      </c>
      <c r="B8" s="61" t="inlineStr">
        <is>
          <t>% IMPLEMENTADAS / VERIFICADAS</t>
        </is>
      </c>
      <c r="C8" s="62" t="n"/>
      <c r="D8" s="61" t="inlineStr">
        <is>
          <t>DECISÕES ABERTAS</t>
        </is>
      </c>
      <c r="E8" s="62" t="n"/>
      <c r="F8" s="61" t="inlineStr">
        <is>
          <t>ALERTAS DE INTEGRIDADE</t>
        </is>
      </c>
      <c r="G8" s="62" t="n"/>
    </row>
    <row r="9" ht="33.75" customHeight="1" s="50">
      <c r="A9" s="64">
        <f>COUNTA('Constants &amp; Enums'!$A$5:$A$200)+COUNTA('Metrics &amp; Formulas'!$A$5:$A$200)+COUNTA('Projections &amp; Dashboards'!$A$5:$A$200)</f>
        <v/>
      </c>
      <c r="B9" s="65">
        <f>IFERROR((COUNTIF('Constants &amp; Enums'!$I$5:$I$200,"Implemented")+COUNTIF('Metrics &amp; Formulas'!$I$5:$I$200,"Implemented")+COUNTIF('Projections &amp; Dashboards'!$I$5:$I$200,"Implemented")+COUNTIF('Constants &amp; Enums'!$I$5:$I$200,"Verified")+COUNTIF('Metrics &amp; Formulas'!$I$5:$I$200,"Verified")+COUNTIF('Projections &amp; Dashboards'!$I$5:$I$200,"Verified"))/(COUNTA('Constants &amp; Enums'!$A$5:$A$200)+COUNTA('Metrics &amp; Formulas'!$A$5:$A$200)+COUNTA('Projections &amp; Dashboards'!$A$5:$A$200)),0)</f>
        <v/>
      </c>
      <c r="C9" s="66" t="n"/>
      <c r="D9" s="64">
        <f>COUNTIF('Decisões pendentes'!$H$5:$H$104,"Aberta")</f>
        <v/>
      </c>
      <c r="E9" s="66" t="n"/>
      <c r="F9" s="64">
        <f>COUNTIF(Dependencies!$I$5:$I$300,"✖*")+COUNTIF('Constants &amp; Enums'!$T$5:$T$200,"⚠*")+COUNTIF('Metrics &amp; Formulas'!$T$5:$T$200,"⚠*")+COUNTIF('Projections &amp; Dashboards'!$T$5:$T$200,"⚠*")</f>
        <v/>
      </c>
      <c r="G9" s="66" t="n"/>
    </row>
    <row r="10" ht="22.35" customHeight="1" s="50">
      <c r="A10" s="67">
        <f>"constantes, métricas, projeções e dashboards"</f>
        <v/>
      </c>
      <c r="B10" s="67">
        <f>"Verified: "&amp;(COUNTIF('Constants &amp; Enums'!$I$5:$I$200,"Verified")+COUNTIF('Metrics &amp; Formulas'!$I$5:$I$200,"Verified")+COUNTIF('Projections &amp; Dashboards'!$I$5:$I$200,"Verified"))</f>
        <v/>
      </c>
      <c r="C10" s="68" t="n"/>
      <c r="D10" s="67">
        <f>"proprietários / localização pendentes"</f>
        <v/>
      </c>
      <c r="E10" s="68" t="n"/>
      <c r="F10" s="67">
        <f>"IDs inexistentes, sem link ou sem evidência"</f>
        <v/>
      </c>
      <c r="G10" s="68" t="n"/>
    </row>
    <row r="12" ht="19.5" customHeight="1" s="50">
      <c r="A12" s="69" t="inlineStr">
        <is>
          <t>1 · Roadmap por fase e estado</t>
        </is>
      </c>
      <c r="B12" s="70" t="n"/>
      <c r="C12" s="70" t="n"/>
      <c r="D12" s="70" t="n"/>
      <c r="E12" s="70" t="n"/>
      <c r="F12" s="70" t="n"/>
      <c r="G12" s="70" t="n"/>
      <c r="H12" s="70" t="n"/>
      <c r="I12" s="70" t="n"/>
      <c r="J12" s="70" t="n"/>
      <c r="M12" s="69" t="inlineStr">
        <is>
          <t>2 · Gates de aceite por estado</t>
        </is>
      </c>
      <c r="N12" s="70" t="n"/>
      <c r="O12" s="70" t="n"/>
    </row>
    <row r="13" ht="31.5" customHeight="1" s="50">
      <c r="A13" s="71" t="inlineStr">
        <is>
          <t>Fase</t>
        </is>
      </c>
      <c r="B13" s="71" t="inlineStr">
        <is>
          <t>A validar</t>
        </is>
      </c>
      <c r="C13" s="71" t="inlineStr">
        <is>
          <t>Não iniciado</t>
        </is>
      </c>
      <c r="D13" s="71" t="inlineStr">
        <is>
          <t>Em andamento</t>
        </is>
      </c>
      <c r="E13" s="71" t="inlineStr">
        <is>
          <t>Parcial</t>
        </is>
      </c>
      <c r="F13" s="71" t="inlineStr">
        <is>
          <t>Concluído</t>
        </is>
      </c>
      <c r="G13" s="71" t="inlineStr">
        <is>
          <t>Bloqueado</t>
        </is>
      </c>
      <c r="H13" s="71" t="inlineStr">
        <is>
          <t>Não se aplica</t>
        </is>
      </c>
      <c r="I13" s="71" t="inlineStr">
        <is>
          <t>Total</t>
        </is>
      </c>
      <c r="J13" s="71" t="inlineStr">
        <is>
          <t>% concluído</t>
        </is>
      </c>
      <c r="M13" s="71" t="inlineStr">
        <is>
          <t>Estado</t>
        </is>
      </c>
      <c r="N13" s="71" t="inlineStr">
        <is>
          <t>Gates</t>
        </is>
      </c>
      <c r="O13" s="71" t="inlineStr">
        <is>
          <t>%</t>
        </is>
      </c>
    </row>
    <row r="14" ht="18" customHeight="1" s="50">
      <c r="A14" s="72" t="inlineStr">
        <is>
          <t>F0</t>
        </is>
      </c>
      <c r="B14" s="73">
        <f>COUNTIFS(Roadmap!$B$6:$B$200,$A14,Roadmap!$M$6:$M$200,B$13)</f>
        <v/>
      </c>
      <c r="C14" s="73">
        <f>COUNTIFS(Roadmap!$B$6:$B$200,$A14,Roadmap!$M$6:$M$200,C$13)</f>
        <v/>
      </c>
      <c r="D14" s="73">
        <f>COUNTIFS(Roadmap!$B$6:$B$200,$A14,Roadmap!$M$6:$M$200,D$13)</f>
        <v/>
      </c>
      <c r="E14" s="73">
        <f>COUNTIFS(Roadmap!$B$6:$B$200,$A14,Roadmap!$M$6:$M$200,E$13)</f>
        <v/>
      </c>
      <c r="F14" s="73">
        <f>COUNTIFS(Roadmap!$B$6:$B$200,$A14,Roadmap!$M$6:$M$200,F$13)</f>
        <v/>
      </c>
      <c r="G14" s="73">
        <f>COUNTIFS(Roadmap!$B$6:$B$200,$A14,Roadmap!$M$6:$M$200,G$13)</f>
        <v/>
      </c>
      <c r="H14" s="73">
        <f>COUNTIFS(Roadmap!$B$6:$B$200,$A14,Roadmap!$M$6:$M$200,H$13)</f>
        <v/>
      </c>
      <c r="I14" s="74">
        <f>SUM(B14:H14)</f>
        <v/>
      </c>
      <c r="J14" s="75">
        <f>IFERROR(F14/(I14-H14),0)</f>
        <v/>
      </c>
      <c r="M14" s="72" t="inlineStr">
        <is>
          <t>A validar</t>
        </is>
      </c>
      <c r="N14" s="73">
        <f>COUNTIF('Gates de aceite'!$E$6:$E$18,M14)</f>
        <v/>
      </c>
      <c r="O14" s="75">
        <f>IFERROR(N14/N$20,0)</f>
        <v/>
      </c>
    </row>
    <row r="15" ht="18" customHeight="1" s="50">
      <c r="A15" s="72" t="inlineStr">
        <is>
          <t>F1</t>
        </is>
      </c>
      <c r="B15" s="73">
        <f>COUNTIFS(Roadmap!$B$6:$B$200,$A15,Roadmap!$M$6:$M$200,B$13)</f>
        <v/>
      </c>
      <c r="C15" s="73">
        <f>COUNTIFS(Roadmap!$B$6:$B$200,$A15,Roadmap!$M$6:$M$200,C$13)</f>
        <v/>
      </c>
      <c r="D15" s="73">
        <f>COUNTIFS(Roadmap!$B$6:$B$200,$A15,Roadmap!$M$6:$M$200,D$13)</f>
        <v/>
      </c>
      <c r="E15" s="73">
        <f>COUNTIFS(Roadmap!$B$6:$B$200,$A15,Roadmap!$M$6:$M$200,E$13)</f>
        <v/>
      </c>
      <c r="F15" s="73">
        <f>COUNTIFS(Roadmap!$B$6:$B$200,$A15,Roadmap!$M$6:$M$200,F$13)</f>
        <v/>
      </c>
      <c r="G15" s="73">
        <f>COUNTIFS(Roadmap!$B$6:$B$200,$A15,Roadmap!$M$6:$M$200,G$13)</f>
        <v/>
      </c>
      <c r="H15" s="73">
        <f>COUNTIFS(Roadmap!$B$6:$B$200,$A15,Roadmap!$M$6:$M$200,H$13)</f>
        <v/>
      </c>
      <c r="I15" s="74">
        <f>SUM(B15:H15)</f>
        <v/>
      </c>
      <c r="J15" s="75">
        <f>IFERROR(F15/(I15-H15),0)</f>
        <v/>
      </c>
      <c r="M15" s="72" t="inlineStr">
        <is>
          <t>Não iniciado</t>
        </is>
      </c>
      <c r="N15" s="73">
        <f>COUNTIF('Gates de aceite'!$E$6:$E$18,M15)</f>
        <v/>
      </c>
      <c r="O15" s="75">
        <f>IFERROR(N15/N$20,0)</f>
        <v/>
      </c>
    </row>
    <row r="16" ht="18" customHeight="1" s="50">
      <c r="A16" s="72" t="inlineStr">
        <is>
          <t>F2</t>
        </is>
      </c>
      <c r="B16" s="73">
        <f>COUNTIFS(Roadmap!$B$6:$B$200,$A16,Roadmap!$M$6:$M$200,B$13)</f>
        <v/>
      </c>
      <c r="C16" s="73">
        <f>COUNTIFS(Roadmap!$B$6:$B$200,$A16,Roadmap!$M$6:$M$200,C$13)</f>
        <v/>
      </c>
      <c r="D16" s="73">
        <f>COUNTIFS(Roadmap!$B$6:$B$200,$A16,Roadmap!$M$6:$M$200,D$13)</f>
        <v/>
      </c>
      <c r="E16" s="73">
        <f>COUNTIFS(Roadmap!$B$6:$B$200,$A16,Roadmap!$M$6:$M$200,E$13)</f>
        <v/>
      </c>
      <c r="F16" s="73">
        <f>COUNTIFS(Roadmap!$B$6:$B$200,$A16,Roadmap!$M$6:$M$200,F$13)</f>
        <v/>
      </c>
      <c r="G16" s="73">
        <f>COUNTIFS(Roadmap!$B$6:$B$200,$A16,Roadmap!$M$6:$M$200,G$13)</f>
        <v/>
      </c>
      <c r="H16" s="73">
        <f>COUNTIFS(Roadmap!$B$6:$B$200,$A16,Roadmap!$M$6:$M$200,H$13)</f>
        <v/>
      </c>
      <c r="I16" s="74">
        <f>SUM(B16:H16)</f>
        <v/>
      </c>
      <c r="J16" s="75">
        <f>IFERROR(F16/(I16-H16),0)</f>
        <v/>
      </c>
      <c r="M16" s="72" t="inlineStr">
        <is>
          <t>Em andamento</t>
        </is>
      </c>
      <c r="N16" s="73">
        <f>COUNTIF('Gates de aceite'!$E$6:$E$18,M16)</f>
        <v/>
      </c>
      <c r="O16" s="75">
        <f>IFERROR(N16/N$20,0)</f>
        <v/>
      </c>
    </row>
    <row r="17" ht="18" customHeight="1" s="50">
      <c r="A17" s="72" t="inlineStr">
        <is>
          <t>F3</t>
        </is>
      </c>
      <c r="B17" s="73">
        <f>COUNTIFS(Roadmap!$B$6:$B$200,$A17,Roadmap!$M$6:$M$200,B$13)</f>
        <v/>
      </c>
      <c r="C17" s="73">
        <f>COUNTIFS(Roadmap!$B$6:$B$200,$A17,Roadmap!$M$6:$M$200,C$13)</f>
        <v/>
      </c>
      <c r="D17" s="73">
        <f>COUNTIFS(Roadmap!$B$6:$B$200,$A17,Roadmap!$M$6:$M$200,D$13)</f>
        <v/>
      </c>
      <c r="E17" s="73">
        <f>COUNTIFS(Roadmap!$B$6:$B$200,$A17,Roadmap!$M$6:$M$200,E$13)</f>
        <v/>
      </c>
      <c r="F17" s="73">
        <f>COUNTIFS(Roadmap!$B$6:$B$200,$A17,Roadmap!$M$6:$M$200,F$13)</f>
        <v/>
      </c>
      <c r="G17" s="73">
        <f>COUNTIFS(Roadmap!$B$6:$B$200,$A17,Roadmap!$M$6:$M$200,G$13)</f>
        <v/>
      </c>
      <c r="H17" s="73">
        <f>COUNTIFS(Roadmap!$B$6:$B$200,$A17,Roadmap!$M$6:$M$200,H$13)</f>
        <v/>
      </c>
      <c r="I17" s="74">
        <f>SUM(B17:H17)</f>
        <v/>
      </c>
      <c r="J17" s="75">
        <f>IFERROR(F17/(I17-H17),0)</f>
        <v/>
      </c>
      <c r="M17" s="72" t="inlineStr">
        <is>
          <t>Concluído</t>
        </is>
      </c>
      <c r="N17" s="73">
        <f>COUNTIF('Gates de aceite'!$E$6:$E$18,M17)</f>
        <v/>
      </c>
      <c r="O17" s="75">
        <f>IFERROR(N17/N$20,0)</f>
        <v/>
      </c>
    </row>
    <row r="18" ht="18" customHeight="1" s="50">
      <c r="A18" s="72" t="inlineStr">
        <is>
          <t>F4</t>
        </is>
      </c>
      <c r="B18" s="73">
        <f>COUNTIFS(Roadmap!$B$6:$B$200,$A18,Roadmap!$M$6:$M$200,B$13)</f>
        <v/>
      </c>
      <c r="C18" s="73">
        <f>COUNTIFS(Roadmap!$B$6:$B$200,$A18,Roadmap!$M$6:$M$200,C$13)</f>
        <v/>
      </c>
      <c r="D18" s="73">
        <f>COUNTIFS(Roadmap!$B$6:$B$200,$A18,Roadmap!$M$6:$M$200,D$13)</f>
        <v/>
      </c>
      <c r="E18" s="73">
        <f>COUNTIFS(Roadmap!$B$6:$B$200,$A18,Roadmap!$M$6:$M$200,E$13)</f>
        <v/>
      </c>
      <c r="F18" s="73">
        <f>COUNTIFS(Roadmap!$B$6:$B$200,$A18,Roadmap!$M$6:$M$200,F$13)</f>
        <v/>
      </c>
      <c r="G18" s="73">
        <f>COUNTIFS(Roadmap!$B$6:$B$200,$A18,Roadmap!$M$6:$M$200,G$13)</f>
        <v/>
      </c>
      <c r="H18" s="73">
        <f>COUNTIFS(Roadmap!$B$6:$B$200,$A18,Roadmap!$M$6:$M$200,H$13)</f>
        <v/>
      </c>
      <c r="I18" s="74">
        <f>SUM(B18:H18)</f>
        <v/>
      </c>
      <c r="J18" s="75">
        <f>IFERROR(F18/(I18-H18),0)</f>
        <v/>
      </c>
      <c r="M18" s="72" t="inlineStr">
        <is>
          <t>Bloqueado</t>
        </is>
      </c>
      <c r="N18" s="73">
        <f>COUNTIF('Gates de aceite'!$E$6:$E$18,M18)</f>
        <v/>
      </c>
      <c r="O18" s="75">
        <f>IFERROR(N18/N$20,0)</f>
        <v/>
      </c>
    </row>
    <row r="19" ht="18" customHeight="1" s="50">
      <c r="A19" s="72" t="inlineStr">
        <is>
          <t>F5</t>
        </is>
      </c>
      <c r="B19" s="73">
        <f>COUNTIFS(Roadmap!$B$6:$B$200,$A19,Roadmap!$M$6:$M$200,B$13)</f>
        <v/>
      </c>
      <c r="C19" s="73">
        <f>COUNTIFS(Roadmap!$B$6:$B$200,$A19,Roadmap!$M$6:$M$200,C$13)</f>
        <v/>
      </c>
      <c r="D19" s="73">
        <f>COUNTIFS(Roadmap!$B$6:$B$200,$A19,Roadmap!$M$6:$M$200,D$13)</f>
        <v/>
      </c>
      <c r="E19" s="73">
        <f>COUNTIFS(Roadmap!$B$6:$B$200,$A19,Roadmap!$M$6:$M$200,E$13)</f>
        <v/>
      </c>
      <c r="F19" s="73">
        <f>COUNTIFS(Roadmap!$B$6:$B$200,$A19,Roadmap!$M$6:$M$200,F$13)</f>
        <v/>
      </c>
      <c r="G19" s="73">
        <f>COUNTIFS(Roadmap!$B$6:$B$200,$A19,Roadmap!$M$6:$M$200,G$13)</f>
        <v/>
      </c>
      <c r="H19" s="73">
        <f>COUNTIFS(Roadmap!$B$6:$B$200,$A19,Roadmap!$M$6:$M$200,H$13)</f>
        <v/>
      </c>
      <c r="I19" s="74">
        <f>SUM(B19:H19)</f>
        <v/>
      </c>
      <c r="J19" s="75">
        <f>IFERROR(F19/(I19-H19),0)</f>
        <v/>
      </c>
      <c r="M19" s="72" t="inlineStr">
        <is>
          <t>Não se aplica</t>
        </is>
      </c>
      <c r="N19" s="73">
        <f>COUNTIF('Gates de aceite'!$E$6:$E$18,M19)</f>
        <v/>
      </c>
      <c r="O19" s="75">
        <f>IFERROR(N19/N$20,0)</f>
        <v/>
      </c>
    </row>
    <row r="20" ht="18" customHeight="1" s="50">
      <c r="A20" s="72" t="inlineStr">
        <is>
          <t>F6</t>
        </is>
      </c>
      <c r="B20" s="73">
        <f>COUNTIFS(Roadmap!$B$6:$B$200,$A20,Roadmap!$M$6:$M$200,B$13)</f>
        <v/>
      </c>
      <c r="C20" s="73">
        <f>COUNTIFS(Roadmap!$B$6:$B$200,$A20,Roadmap!$M$6:$M$200,C$13)</f>
        <v/>
      </c>
      <c r="D20" s="73">
        <f>COUNTIFS(Roadmap!$B$6:$B$200,$A20,Roadmap!$M$6:$M$200,D$13)</f>
        <v/>
      </c>
      <c r="E20" s="73">
        <f>COUNTIFS(Roadmap!$B$6:$B$200,$A20,Roadmap!$M$6:$M$200,E$13)</f>
        <v/>
      </c>
      <c r="F20" s="73">
        <f>COUNTIFS(Roadmap!$B$6:$B$200,$A20,Roadmap!$M$6:$M$200,F$13)</f>
        <v/>
      </c>
      <c r="G20" s="73">
        <f>COUNTIFS(Roadmap!$B$6:$B$200,$A20,Roadmap!$M$6:$M$200,G$13)</f>
        <v/>
      </c>
      <c r="H20" s="73">
        <f>COUNTIFS(Roadmap!$B$6:$B$200,$A20,Roadmap!$M$6:$M$200,H$13)</f>
        <v/>
      </c>
      <c r="I20" s="74">
        <f>SUM(B20:H20)</f>
        <v/>
      </c>
      <c r="J20" s="75">
        <f>IFERROR(F20/(I20-H20),0)</f>
        <v/>
      </c>
      <c r="M20" s="76" t="inlineStr">
        <is>
          <t>Total</t>
        </is>
      </c>
      <c r="N20" s="77">
        <f>SUM(N14:N19)</f>
        <v/>
      </c>
      <c r="O20" s="78">
        <f>SUM(O14:O19)</f>
        <v/>
      </c>
    </row>
    <row r="21" ht="18" customHeight="1" s="50">
      <c r="A21" s="72" t="inlineStr">
        <is>
          <t>A1</t>
        </is>
      </c>
      <c r="B21" s="73">
        <f>COUNTIFS(Roadmap!$B$6:$B$200,$A21,Roadmap!$M$6:$M$200,B$13)</f>
        <v/>
      </c>
      <c r="C21" s="73">
        <f>COUNTIFS(Roadmap!$B$6:$B$200,$A21,Roadmap!$M$6:$M$200,C$13)</f>
        <v/>
      </c>
      <c r="D21" s="73">
        <f>COUNTIFS(Roadmap!$B$6:$B$200,$A21,Roadmap!$M$6:$M$200,D$13)</f>
        <v/>
      </c>
      <c r="E21" s="73">
        <f>COUNTIFS(Roadmap!$B$6:$B$200,$A21,Roadmap!$M$6:$M$200,E$13)</f>
        <v/>
      </c>
      <c r="F21" s="73">
        <f>COUNTIFS(Roadmap!$B$6:$B$200,$A21,Roadmap!$M$6:$M$200,F$13)</f>
        <v/>
      </c>
      <c r="G21" s="73">
        <f>COUNTIFS(Roadmap!$B$6:$B$200,$A21,Roadmap!$M$6:$M$200,G$13)</f>
        <v/>
      </c>
      <c r="H21" s="73">
        <f>COUNTIFS(Roadmap!$B$6:$B$200,$A21,Roadmap!$M$6:$M$200,H$13)</f>
        <v/>
      </c>
      <c r="I21" s="74">
        <f>SUM(B21:H21)</f>
        <v/>
      </c>
      <c r="J21" s="75">
        <f>IFERROR(F21/(I21-H21),0)</f>
        <v/>
      </c>
    </row>
    <row r="22" ht="18" customHeight="1" s="50">
      <c r="A22" s="72" t="inlineStr">
        <is>
          <t>Transversal</t>
        </is>
      </c>
      <c r="B22" s="73">
        <f>COUNTIFS(Roadmap!$B$6:$B$200,$A22,Roadmap!$M$6:$M$200,B$13)</f>
        <v/>
      </c>
      <c r="C22" s="73">
        <f>COUNTIFS(Roadmap!$B$6:$B$200,$A22,Roadmap!$M$6:$M$200,C$13)</f>
        <v/>
      </c>
      <c r="D22" s="73">
        <f>COUNTIFS(Roadmap!$B$6:$B$200,$A22,Roadmap!$M$6:$M$200,D$13)</f>
        <v/>
      </c>
      <c r="E22" s="73">
        <f>COUNTIFS(Roadmap!$B$6:$B$200,$A22,Roadmap!$M$6:$M$200,E$13)</f>
        <v/>
      </c>
      <c r="F22" s="73">
        <f>COUNTIFS(Roadmap!$B$6:$B$200,$A22,Roadmap!$M$6:$M$200,F$13)</f>
        <v/>
      </c>
      <c r="G22" s="73">
        <f>COUNTIFS(Roadmap!$B$6:$B$200,$A22,Roadmap!$M$6:$M$200,G$13)</f>
        <v/>
      </c>
      <c r="H22" s="73">
        <f>COUNTIFS(Roadmap!$B$6:$B$200,$A22,Roadmap!$M$6:$M$200,H$13)</f>
        <v/>
      </c>
      <c r="I22" s="74">
        <f>SUM(B22:H22)</f>
        <v/>
      </c>
      <c r="J22" s="75">
        <f>IFERROR(F22/(I22-H22),0)</f>
        <v/>
      </c>
    </row>
    <row r="23" ht="18" customHeight="1" s="50">
      <c r="A23" s="76" t="inlineStr">
        <is>
          <t>Total</t>
        </is>
      </c>
      <c r="B23" s="77">
        <f>SUM(B14:B22)</f>
        <v/>
      </c>
      <c r="C23" s="77">
        <f>SUM(C14:C22)</f>
        <v/>
      </c>
      <c r="D23" s="77">
        <f>SUM(D14:D22)</f>
        <v/>
      </c>
      <c r="E23" s="77">
        <f>SUM(E14:E22)</f>
        <v/>
      </c>
      <c r="F23" s="77">
        <f>SUM(F14:F22)</f>
        <v/>
      </c>
      <c r="G23" s="77">
        <f>SUM(G14:G22)</f>
        <v/>
      </c>
      <c r="H23" s="77">
        <f>SUM(H14:H22)</f>
        <v/>
      </c>
      <c r="I23" s="77">
        <f>SUM(I14:I22)</f>
        <v/>
      </c>
      <c r="J23" s="78">
        <f>IFERROR(F23/(I23-H23),0)</f>
        <v/>
      </c>
    </row>
    <row r="44" ht="19.5" customHeight="1" s="50">
      <c r="A44" s="69" t="inlineStr">
        <is>
          <t>3 · Definições por tipo e status de implementação</t>
        </is>
      </c>
      <c r="B44" s="70" t="n"/>
      <c r="C44" s="70" t="n"/>
      <c r="D44" s="70" t="n"/>
      <c r="E44" s="70" t="n"/>
      <c r="F44" s="70" t="n"/>
      <c r="G44" s="70" t="n"/>
      <c r="M44" s="69" t="inlineStr">
        <is>
          <t>4 · Definições por módulo pai</t>
        </is>
      </c>
      <c r="N44" s="70" t="n"/>
      <c r="O44" s="70" t="n"/>
      <c r="P44" s="70" t="n"/>
      <c r="Q44" s="70" t="n"/>
    </row>
    <row r="45" ht="31.5" customHeight="1" s="50">
      <c r="A45" s="71" t="inlineStr">
        <is>
          <t>Tipo</t>
        </is>
      </c>
      <c r="B45" s="71" t="inlineStr">
        <is>
          <t>Planned</t>
        </is>
      </c>
      <c r="C45" s="71" t="inlineStr">
        <is>
          <t>Partial</t>
        </is>
      </c>
      <c r="D45" s="71" t="inlineStr">
        <is>
          <t>Implemented</t>
        </is>
      </c>
      <c r="E45" s="71" t="inlineStr">
        <is>
          <t>Verified</t>
        </is>
      </c>
      <c r="F45" s="71" t="inlineStr">
        <is>
          <t>Total</t>
        </is>
      </c>
      <c r="G45" s="71" t="inlineStr">
        <is>
          <t>% impl./verif.</t>
        </is>
      </c>
      <c r="M45" s="71" t="inlineStr">
        <is>
          <t>Módulo pai</t>
        </is>
      </c>
      <c r="N45" s="71" t="inlineStr">
        <is>
          <t>Constants &amp; Enums</t>
        </is>
      </c>
      <c r="O45" s="71" t="inlineStr">
        <is>
          <t>Metrics &amp; Formulas</t>
        </is>
      </c>
      <c r="P45" s="71" t="inlineStr">
        <is>
          <t>Projections &amp; Dashboards</t>
        </is>
      </c>
      <c r="Q45" s="71" t="inlineStr">
        <is>
          <t>Total</t>
        </is>
      </c>
    </row>
    <row r="46" ht="18" customHeight="1" s="50">
      <c r="A46" s="72" t="inlineStr">
        <is>
          <t>DomainConstant</t>
        </is>
      </c>
      <c r="B46" s="73">
        <f>COUNTIFS('Constants &amp; Enums'!$C$5:$C$200,$A46,'Constants &amp; Enums'!$I$5:$I$200,B$45)+COUNTIFS('Metrics &amp; Formulas'!$C$5:$C$200,$A46,'Metrics &amp; Formulas'!$I$5:$I$200,B$45)+COUNTIFS('Projections &amp; Dashboards'!$C$5:$C$200,$A46,'Projections &amp; Dashboards'!$I$5:$I$200,B$45)</f>
        <v/>
      </c>
      <c r="C46" s="73">
        <f>COUNTIFS('Constants &amp; Enums'!$C$5:$C$200,$A46,'Constants &amp; Enums'!$I$5:$I$200,C$45)+COUNTIFS('Metrics &amp; Formulas'!$C$5:$C$200,$A46,'Metrics &amp; Formulas'!$I$5:$I$200,C$45)+COUNTIFS('Projections &amp; Dashboards'!$C$5:$C$200,$A46,'Projections &amp; Dashboards'!$I$5:$I$200,C$45)</f>
        <v/>
      </c>
      <c r="D46" s="73">
        <f>COUNTIFS('Constants &amp; Enums'!$C$5:$C$200,$A46,'Constants &amp; Enums'!$I$5:$I$200,D$45)+COUNTIFS('Metrics &amp; Formulas'!$C$5:$C$200,$A46,'Metrics &amp; Formulas'!$I$5:$I$200,D$45)+COUNTIFS('Projections &amp; Dashboards'!$C$5:$C$200,$A46,'Projections &amp; Dashboards'!$I$5:$I$200,D$45)</f>
        <v/>
      </c>
      <c r="E46" s="73">
        <f>COUNTIFS('Constants &amp; Enums'!$C$5:$C$200,$A46,'Constants &amp; Enums'!$I$5:$I$200,E$45)+COUNTIFS('Metrics &amp; Formulas'!$C$5:$C$200,$A46,'Metrics &amp; Formulas'!$I$5:$I$200,E$45)+COUNTIFS('Projections &amp; Dashboards'!$C$5:$C$200,$A46,'Projections &amp; Dashboards'!$I$5:$I$200,E$45)</f>
        <v/>
      </c>
      <c r="F46" s="74">
        <f>SUM(B46:E46)</f>
        <v/>
      </c>
      <c r="G46" s="75">
        <f>IFERROR((D46+E46)/F46,0)</f>
        <v/>
      </c>
      <c r="M46" s="72">
        <f>Listas!P5</f>
        <v/>
      </c>
      <c r="N46" s="73">
        <f>COUNTIF('Constants &amp; Enums'!$D$5:$D$200,$M46)</f>
        <v/>
      </c>
      <c r="O46" s="73">
        <f>COUNTIF('Metrics &amp; Formulas'!$D$5:$D$200,$M46)</f>
        <v/>
      </c>
      <c r="P46" s="73">
        <f>COUNTIF('Projections &amp; Dashboards'!$D$5:$D$200,$M46)</f>
        <v/>
      </c>
      <c r="Q46" s="74">
        <f>SUM(N46:P46)</f>
        <v/>
      </c>
    </row>
    <row r="47" ht="18" customHeight="1" s="50">
      <c r="A47" s="72" t="inlineStr">
        <is>
          <t>Enum</t>
        </is>
      </c>
      <c r="B47" s="73">
        <f>COUNTIFS('Constants &amp; Enums'!$C$5:$C$200,$A47,'Constants &amp; Enums'!$I$5:$I$200,B$45)+COUNTIFS('Metrics &amp; Formulas'!$C$5:$C$200,$A47,'Metrics &amp; Formulas'!$I$5:$I$200,B$45)+COUNTIFS('Projections &amp; Dashboards'!$C$5:$C$200,$A47,'Projections &amp; Dashboards'!$I$5:$I$200,B$45)</f>
        <v/>
      </c>
      <c r="C47" s="73">
        <f>COUNTIFS('Constants &amp; Enums'!$C$5:$C$200,$A47,'Constants &amp; Enums'!$I$5:$I$200,C$45)+COUNTIFS('Metrics &amp; Formulas'!$C$5:$C$200,$A47,'Metrics &amp; Formulas'!$I$5:$I$200,C$45)+COUNTIFS('Projections &amp; Dashboards'!$C$5:$C$200,$A47,'Projections &amp; Dashboards'!$I$5:$I$200,C$45)</f>
        <v/>
      </c>
      <c r="D47" s="73">
        <f>COUNTIFS('Constants &amp; Enums'!$C$5:$C$200,$A47,'Constants &amp; Enums'!$I$5:$I$200,D$45)+COUNTIFS('Metrics &amp; Formulas'!$C$5:$C$200,$A47,'Metrics &amp; Formulas'!$I$5:$I$200,D$45)+COUNTIFS('Projections &amp; Dashboards'!$C$5:$C$200,$A47,'Projections &amp; Dashboards'!$I$5:$I$200,D$45)</f>
        <v/>
      </c>
      <c r="E47" s="73">
        <f>COUNTIFS('Constants &amp; Enums'!$C$5:$C$200,$A47,'Constants &amp; Enums'!$I$5:$I$200,E$45)+COUNTIFS('Metrics &amp; Formulas'!$C$5:$C$200,$A47,'Metrics &amp; Formulas'!$I$5:$I$200,E$45)+COUNTIFS('Projections &amp; Dashboards'!$C$5:$C$200,$A47,'Projections &amp; Dashboards'!$I$5:$I$200,E$45)</f>
        <v/>
      </c>
      <c r="F47" s="74">
        <f>SUM(B47:E47)</f>
        <v/>
      </c>
      <c r="G47" s="75">
        <f>IFERROR((D47+E47)/F47,0)</f>
        <v/>
      </c>
      <c r="M47" s="72">
        <f>Listas!P6</f>
        <v/>
      </c>
      <c r="N47" s="73">
        <f>COUNTIF('Constants &amp; Enums'!$D$5:$D$200,$M47)</f>
        <v/>
      </c>
      <c r="O47" s="73">
        <f>COUNTIF('Metrics &amp; Formulas'!$D$5:$D$200,$M47)</f>
        <v/>
      </c>
      <c r="P47" s="73">
        <f>COUNTIF('Projections &amp; Dashboards'!$D$5:$D$200,$M47)</f>
        <v/>
      </c>
      <c r="Q47" s="74">
        <f>SUM(N47:P47)</f>
        <v/>
      </c>
    </row>
    <row r="48" ht="18" customHeight="1" s="50">
      <c r="A48" s="72" t="inlineStr">
        <is>
          <t>Policy</t>
        </is>
      </c>
      <c r="B48" s="73">
        <f>COUNTIFS('Constants &amp; Enums'!$C$5:$C$200,$A48,'Constants &amp; Enums'!$I$5:$I$200,B$45)+COUNTIFS('Metrics &amp; Formulas'!$C$5:$C$200,$A48,'Metrics &amp; Formulas'!$I$5:$I$200,B$45)+COUNTIFS('Projections &amp; Dashboards'!$C$5:$C$200,$A48,'Projections &amp; Dashboards'!$I$5:$I$200,B$45)</f>
        <v/>
      </c>
      <c r="C48" s="73">
        <f>COUNTIFS('Constants &amp; Enums'!$C$5:$C$200,$A48,'Constants &amp; Enums'!$I$5:$I$200,C$45)+COUNTIFS('Metrics &amp; Formulas'!$C$5:$C$200,$A48,'Metrics &amp; Formulas'!$I$5:$I$200,C$45)+COUNTIFS('Projections &amp; Dashboards'!$C$5:$C$200,$A48,'Projections &amp; Dashboards'!$I$5:$I$200,C$45)</f>
        <v/>
      </c>
      <c r="D48" s="73">
        <f>COUNTIFS('Constants &amp; Enums'!$C$5:$C$200,$A48,'Constants &amp; Enums'!$I$5:$I$200,D$45)+COUNTIFS('Metrics &amp; Formulas'!$C$5:$C$200,$A48,'Metrics &amp; Formulas'!$I$5:$I$200,D$45)+COUNTIFS('Projections &amp; Dashboards'!$C$5:$C$200,$A48,'Projections &amp; Dashboards'!$I$5:$I$200,D$45)</f>
        <v/>
      </c>
      <c r="E48" s="73">
        <f>COUNTIFS('Constants &amp; Enums'!$C$5:$C$200,$A48,'Constants &amp; Enums'!$I$5:$I$200,E$45)+COUNTIFS('Metrics &amp; Formulas'!$C$5:$C$200,$A48,'Metrics &amp; Formulas'!$I$5:$I$200,E$45)+COUNTIFS('Projections &amp; Dashboards'!$C$5:$C$200,$A48,'Projections &amp; Dashboards'!$I$5:$I$200,E$45)</f>
        <v/>
      </c>
      <c r="F48" s="74">
        <f>SUM(B48:E48)</f>
        <v/>
      </c>
      <c r="G48" s="75">
        <f>IFERROR((D48+E48)/F48,0)</f>
        <v/>
      </c>
      <c r="M48" s="72">
        <f>Listas!P7</f>
        <v/>
      </c>
      <c r="N48" s="73">
        <f>COUNTIF('Constants &amp; Enums'!$D$5:$D$200,$M48)</f>
        <v/>
      </c>
      <c r="O48" s="73">
        <f>COUNTIF('Metrics &amp; Formulas'!$D$5:$D$200,$M48)</f>
        <v/>
      </c>
      <c r="P48" s="73">
        <f>COUNTIF('Projections &amp; Dashboards'!$D$5:$D$200,$M48)</f>
        <v/>
      </c>
      <c r="Q48" s="74">
        <f>SUM(N48:P48)</f>
        <v/>
      </c>
    </row>
    <row r="49" ht="18" customHeight="1" s="50">
      <c r="A49" s="72" t="inlineStr">
        <is>
          <t>Metric</t>
        </is>
      </c>
      <c r="B49" s="73">
        <f>COUNTIFS('Constants &amp; Enums'!$C$5:$C$200,$A49,'Constants &amp; Enums'!$I$5:$I$200,B$45)+COUNTIFS('Metrics &amp; Formulas'!$C$5:$C$200,$A49,'Metrics &amp; Formulas'!$I$5:$I$200,B$45)+COUNTIFS('Projections &amp; Dashboards'!$C$5:$C$200,$A49,'Projections &amp; Dashboards'!$I$5:$I$200,B$45)</f>
        <v/>
      </c>
      <c r="C49" s="73">
        <f>COUNTIFS('Constants &amp; Enums'!$C$5:$C$200,$A49,'Constants &amp; Enums'!$I$5:$I$200,C$45)+COUNTIFS('Metrics &amp; Formulas'!$C$5:$C$200,$A49,'Metrics &amp; Formulas'!$I$5:$I$200,C$45)+COUNTIFS('Projections &amp; Dashboards'!$C$5:$C$200,$A49,'Projections &amp; Dashboards'!$I$5:$I$200,C$45)</f>
        <v/>
      </c>
      <c r="D49" s="73">
        <f>COUNTIFS('Constants &amp; Enums'!$C$5:$C$200,$A49,'Constants &amp; Enums'!$I$5:$I$200,D$45)+COUNTIFS('Metrics &amp; Formulas'!$C$5:$C$200,$A49,'Metrics &amp; Formulas'!$I$5:$I$200,D$45)+COUNTIFS('Projections &amp; Dashboards'!$C$5:$C$200,$A49,'Projections &amp; Dashboards'!$I$5:$I$200,D$45)</f>
        <v/>
      </c>
      <c r="E49" s="73">
        <f>COUNTIFS('Constants &amp; Enums'!$C$5:$C$200,$A49,'Constants &amp; Enums'!$I$5:$I$200,E$45)+COUNTIFS('Metrics &amp; Formulas'!$C$5:$C$200,$A49,'Metrics &amp; Formulas'!$I$5:$I$200,E$45)+COUNTIFS('Projections &amp; Dashboards'!$C$5:$C$200,$A49,'Projections &amp; Dashboards'!$I$5:$I$200,E$45)</f>
        <v/>
      </c>
      <c r="F49" s="74">
        <f>SUM(B49:E49)</f>
        <v/>
      </c>
      <c r="G49" s="75">
        <f>IFERROR((D49+E49)/F49,0)</f>
        <v/>
      </c>
      <c r="M49" s="72">
        <f>Listas!P8</f>
        <v/>
      </c>
      <c r="N49" s="73">
        <f>COUNTIF('Constants &amp; Enums'!$D$5:$D$200,$M49)</f>
        <v/>
      </c>
      <c r="O49" s="73">
        <f>COUNTIF('Metrics &amp; Formulas'!$D$5:$D$200,$M49)</f>
        <v/>
      </c>
      <c r="P49" s="73">
        <f>COUNTIF('Projections &amp; Dashboards'!$D$5:$D$200,$M49)</f>
        <v/>
      </c>
      <c r="Q49" s="74">
        <f>SUM(N49:P49)</f>
        <v/>
      </c>
    </row>
    <row r="50" ht="18" customHeight="1" s="50">
      <c r="A50" s="72" t="inlineStr">
        <is>
          <t>Projection</t>
        </is>
      </c>
      <c r="B50" s="73">
        <f>COUNTIFS('Constants &amp; Enums'!$C$5:$C$200,$A50,'Constants &amp; Enums'!$I$5:$I$200,B$45)+COUNTIFS('Metrics &amp; Formulas'!$C$5:$C$200,$A50,'Metrics &amp; Formulas'!$I$5:$I$200,B$45)+COUNTIFS('Projections &amp; Dashboards'!$C$5:$C$200,$A50,'Projections &amp; Dashboards'!$I$5:$I$200,B$45)</f>
        <v/>
      </c>
      <c r="C50" s="73">
        <f>COUNTIFS('Constants &amp; Enums'!$C$5:$C$200,$A50,'Constants &amp; Enums'!$I$5:$I$200,C$45)+COUNTIFS('Metrics &amp; Formulas'!$C$5:$C$200,$A50,'Metrics &amp; Formulas'!$I$5:$I$200,C$45)+COUNTIFS('Projections &amp; Dashboards'!$C$5:$C$200,$A50,'Projections &amp; Dashboards'!$I$5:$I$200,C$45)</f>
        <v/>
      </c>
      <c r="D50" s="73">
        <f>COUNTIFS('Constants &amp; Enums'!$C$5:$C$200,$A50,'Constants &amp; Enums'!$I$5:$I$200,D$45)+COUNTIFS('Metrics &amp; Formulas'!$C$5:$C$200,$A50,'Metrics &amp; Formulas'!$I$5:$I$200,D$45)+COUNTIFS('Projections &amp; Dashboards'!$C$5:$C$200,$A50,'Projections &amp; Dashboards'!$I$5:$I$200,D$45)</f>
        <v/>
      </c>
      <c r="E50" s="73">
        <f>COUNTIFS('Constants &amp; Enums'!$C$5:$C$200,$A50,'Constants &amp; Enums'!$I$5:$I$200,E$45)+COUNTIFS('Metrics &amp; Formulas'!$C$5:$C$200,$A50,'Metrics &amp; Formulas'!$I$5:$I$200,E$45)+COUNTIFS('Projections &amp; Dashboards'!$C$5:$C$200,$A50,'Projections &amp; Dashboards'!$I$5:$I$200,E$45)</f>
        <v/>
      </c>
      <c r="F50" s="74">
        <f>SUM(B50:E50)</f>
        <v/>
      </c>
      <c r="G50" s="75">
        <f>IFERROR((D50+E50)/F50,0)</f>
        <v/>
      </c>
      <c r="M50" s="72">
        <f>Listas!P9</f>
        <v/>
      </c>
      <c r="N50" s="73">
        <f>COUNTIF('Constants &amp; Enums'!$D$5:$D$200,$M50)</f>
        <v/>
      </c>
      <c r="O50" s="73">
        <f>COUNTIF('Metrics &amp; Formulas'!$D$5:$D$200,$M50)</f>
        <v/>
      </c>
      <c r="P50" s="73">
        <f>COUNTIF('Projections &amp; Dashboards'!$D$5:$D$200,$M50)</f>
        <v/>
      </c>
      <c r="Q50" s="74">
        <f>SUM(N50:P50)</f>
        <v/>
      </c>
    </row>
    <row r="51" ht="18" customHeight="1" s="50">
      <c r="A51" s="72" t="inlineStr">
        <is>
          <t>Dashboard</t>
        </is>
      </c>
      <c r="B51" s="73">
        <f>COUNTIFS('Constants &amp; Enums'!$C$5:$C$200,$A51,'Constants &amp; Enums'!$I$5:$I$200,B$45)+COUNTIFS('Metrics &amp; Formulas'!$C$5:$C$200,$A51,'Metrics &amp; Formulas'!$I$5:$I$200,B$45)+COUNTIFS('Projections &amp; Dashboards'!$C$5:$C$200,$A51,'Projections &amp; Dashboards'!$I$5:$I$200,B$45)</f>
        <v/>
      </c>
      <c r="C51" s="73">
        <f>COUNTIFS('Constants &amp; Enums'!$C$5:$C$200,$A51,'Constants &amp; Enums'!$I$5:$I$200,C$45)+COUNTIFS('Metrics &amp; Formulas'!$C$5:$C$200,$A51,'Metrics &amp; Formulas'!$I$5:$I$200,C$45)+COUNTIFS('Projections &amp; Dashboards'!$C$5:$C$200,$A51,'Projections &amp; Dashboards'!$I$5:$I$200,C$45)</f>
        <v/>
      </c>
      <c r="D51" s="73">
        <f>COUNTIFS('Constants &amp; Enums'!$C$5:$C$200,$A51,'Constants &amp; Enums'!$I$5:$I$200,D$45)+COUNTIFS('Metrics &amp; Formulas'!$C$5:$C$200,$A51,'Metrics &amp; Formulas'!$I$5:$I$200,D$45)+COUNTIFS('Projections &amp; Dashboards'!$C$5:$C$200,$A51,'Projections &amp; Dashboards'!$I$5:$I$200,D$45)</f>
        <v/>
      </c>
      <c r="E51" s="73">
        <f>COUNTIFS('Constants &amp; Enums'!$C$5:$C$200,$A51,'Constants &amp; Enums'!$I$5:$I$200,E$45)+COUNTIFS('Metrics &amp; Formulas'!$C$5:$C$200,$A51,'Metrics &amp; Formulas'!$I$5:$I$200,E$45)+COUNTIFS('Projections &amp; Dashboards'!$C$5:$C$200,$A51,'Projections &amp; Dashboards'!$I$5:$I$200,E$45)</f>
        <v/>
      </c>
      <c r="F51" s="74">
        <f>SUM(B51:E51)</f>
        <v/>
      </c>
      <c r="G51" s="75">
        <f>IFERROR((D51+E51)/F51,0)</f>
        <v/>
      </c>
      <c r="M51" s="72">
        <f>Listas!P10</f>
        <v/>
      </c>
      <c r="N51" s="73">
        <f>COUNTIF('Constants &amp; Enums'!$D$5:$D$200,$M51)</f>
        <v/>
      </c>
      <c r="O51" s="73">
        <f>COUNTIF('Metrics &amp; Formulas'!$D$5:$D$200,$M51)</f>
        <v/>
      </c>
      <c r="P51" s="73">
        <f>COUNTIF('Projections &amp; Dashboards'!$D$5:$D$200,$M51)</f>
        <v/>
      </c>
      <c r="Q51" s="74">
        <f>SUM(N51:P51)</f>
        <v/>
      </c>
    </row>
    <row r="52" ht="18" customHeight="1" s="50">
      <c r="A52" s="76" t="inlineStr">
        <is>
          <t>Total</t>
        </is>
      </c>
      <c r="B52" s="77">
        <f>SUM(B46:B51)</f>
        <v/>
      </c>
      <c r="C52" s="77">
        <f>SUM(C46:C51)</f>
        <v/>
      </c>
      <c r="D52" s="77">
        <f>SUM(D46:D51)</f>
        <v/>
      </c>
      <c r="E52" s="77">
        <f>SUM(E46:E51)</f>
        <v/>
      </c>
      <c r="F52" s="77">
        <f>SUM(F46:F51)</f>
        <v/>
      </c>
      <c r="G52" s="78">
        <f>IFERROR((D52+E52)/F52,0)</f>
        <v/>
      </c>
      <c r="M52" s="72">
        <f>Listas!P11</f>
        <v/>
      </c>
      <c r="N52" s="73">
        <f>COUNTIF('Constants &amp; Enums'!$D$5:$D$200,$M52)</f>
        <v/>
      </c>
      <c r="O52" s="73">
        <f>COUNTIF('Metrics &amp; Formulas'!$D$5:$D$200,$M52)</f>
        <v/>
      </c>
      <c r="P52" s="73">
        <f>COUNTIF('Projections &amp; Dashboards'!$D$5:$D$200,$M52)</f>
        <v/>
      </c>
      <c r="Q52" s="74">
        <f>SUM(N52:P52)</f>
        <v/>
      </c>
    </row>
    <row r="53" ht="18" customHeight="1" s="50">
      <c r="M53" s="72">
        <f>Listas!P12</f>
        <v/>
      </c>
      <c r="N53" s="73">
        <f>COUNTIF('Constants &amp; Enums'!$D$5:$D$200,$M53)</f>
        <v/>
      </c>
      <c r="O53" s="73">
        <f>COUNTIF('Metrics &amp; Formulas'!$D$5:$D$200,$M53)</f>
        <v/>
      </c>
      <c r="P53" s="73">
        <f>COUNTIF('Projections &amp; Dashboards'!$D$5:$D$200,$M53)</f>
        <v/>
      </c>
      <c r="Q53" s="74">
        <f>SUM(N53:P53)</f>
        <v/>
      </c>
    </row>
    <row r="54" ht="18" customHeight="1" s="50">
      <c r="M54" s="72">
        <f>Listas!P13</f>
        <v/>
      </c>
      <c r="N54" s="73">
        <f>COUNTIF('Constants &amp; Enums'!$D$5:$D$200,$M54)</f>
        <v/>
      </c>
      <c r="O54" s="73">
        <f>COUNTIF('Metrics &amp; Formulas'!$D$5:$D$200,$M54)</f>
        <v/>
      </c>
      <c r="P54" s="73">
        <f>COUNTIF('Projections &amp; Dashboards'!$D$5:$D$200,$M54)</f>
        <v/>
      </c>
      <c r="Q54" s="74">
        <f>SUM(N54:P54)</f>
        <v/>
      </c>
    </row>
    <row r="55" ht="18" customHeight="1" s="50">
      <c r="M55" s="72">
        <f>Listas!P14</f>
        <v/>
      </c>
      <c r="N55" s="73">
        <f>COUNTIF('Constants &amp; Enums'!$D$5:$D$200,$M55)</f>
        <v/>
      </c>
      <c r="O55" s="73">
        <f>COUNTIF('Metrics &amp; Formulas'!$D$5:$D$200,$M55)</f>
        <v/>
      </c>
      <c r="P55" s="73">
        <f>COUNTIF('Projections &amp; Dashboards'!$D$5:$D$200,$M55)</f>
        <v/>
      </c>
      <c r="Q55" s="74">
        <f>SUM(N55:P55)</f>
        <v/>
      </c>
    </row>
    <row r="56" ht="18" customHeight="1" s="50">
      <c r="M56" s="72">
        <f>Listas!P15</f>
        <v/>
      </c>
      <c r="N56" s="73">
        <f>COUNTIF('Constants &amp; Enums'!$D$5:$D$200,$M56)</f>
        <v/>
      </c>
      <c r="O56" s="73">
        <f>COUNTIF('Metrics &amp; Formulas'!$D$5:$D$200,$M56)</f>
        <v/>
      </c>
      <c r="P56" s="73">
        <f>COUNTIF('Projections &amp; Dashboards'!$D$5:$D$200,$M56)</f>
        <v/>
      </c>
      <c r="Q56" s="74">
        <f>SUM(N56:P56)</f>
        <v/>
      </c>
    </row>
    <row r="57" ht="18" customHeight="1" s="50">
      <c r="M57" s="72">
        <f>Listas!P16</f>
        <v/>
      </c>
      <c r="N57" s="73">
        <f>COUNTIF('Constants &amp; Enums'!$D$5:$D$200,$M57)</f>
        <v/>
      </c>
      <c r="O57" s="73">
        <f>COUNTIF('Metrics &amp; Formulas'!$D$5:$D$200,$M57)</f>
        <v/>
      </c>
      <c r="P57" s="73">
        <f>COUNTIF('Projections &amp; Dashboards'!$D$5:$D$200,$M57)</f>
        <v/>
      </c>
      <c r="Q57" s="74">
        <f>SUM(N57:P57)</f>
        <v/>
      </c>
    </row>
    <row r="58" ht="18" customHeight="1" s="50">
      <c r="M58" s="76" t="inlineStr">
        <is>
          <t>Total</t>
        </is>
      </c>
      <c r="N58" s="77">
        <f>SUM(N46:N57)</f>
        <v/>
      </c>
      <c r="O58" s="77">
        <f>SUM(O46:O57)</f>
        <v/>
      </c>
      <c r="P58" s="77">
        <f>SUM(P46:P57)</f>
        <v/>
      </c>
      <c r="Q58" s="77">
        <f>SUM(Q46:Q57)</f>
        <v/>
      </c>
    </row>
    <row r="76" ht="19.5" customHeight="1" s="50">
      <c r="A76" s="69" t="inlineStr">
        <is>
          <t>5 · Telas por fase legada e status (inventário original)</t>
        </is>
      </c>
      <c r="B76" s="70" t="n"/>
      <c r="C76" s="70" t="n"/>
      <c r="D76" s="70" t="n"/>
      <c r="E76" s="70" t="n"/>
      <c r="F76" s="70" t="n"/>
      <c r="M76" s="69" t="inlineStr">
        <is>
          <t>6 · Funções por fase legada e status (inventário original)</t>
        </is>
      </c>
      <c r="N76" s="70" t="n"/>
      <c r="O76" s="70" t="n"/>
      <c r="P76" s="70" t="n"/>
      <c r="Q76" s="70" t="n"/>
      <c r="R76" s="70" t="n"/>
    </row>
    <row r="77" ht="31.5" customHeight="1" s="50">
      <c r="A77" s="71" t="inlineStr">
        <is>
          <t>Fase (legado)</t>
        </is>
      </c>
      <c r="B77" s="71" t="inlineStr">
        <is>
          <t>Existe</t>
        </is>
      </c>
      <c r="C77" s="71" t="inlineStr">
        <is>
          <t>Em andamento</t>
        </is>
      </c>
      <c r="D77" s="71" t="inlineStr">
        <is>
          <t>Planejada</t>
        </is>
      </c>
      <c r="E77" s="71" t="inlineStr">
        <is>
          <t>Descartada</t>
        </is>
      </c>
      <c r="F77" s="71" t="inlineStr">
        <is>
          <t>Total</t>
        </is>
      </c>
      <c r="M77" s="71" t="inlineStr">
        <is>
          <t>Fase (legado)</t>
        </is>
      </c>
      <c r="N77" s="71" t="inlineStr">
        <is>
          <t>Existe</t>
        </is>
      </c>
      <c r="O77" s="71" t="inlineStr">
        <is>
          <t>Em andamento</t>
        </is>
      </c>
      <c r="P77" s="71" t="inlineStr">
        <is>
          <t>Planejada</t>
        </is>
      </c>
      <c r="Q77" s="71" t="inlineStr">
        <is>
          <t>Descartada</t>
        </is>
      </c>
      <c r="R77" s="71" t="inlineStr">
        <is>
          <t>Total</t>
        </is>
      </c>
    </row>
    <row r="78" ht="18" customHeight="1" s="50">
      <c r="A78" s="72" t="inlineStr">
        <is>
          <t>F0</t>
        </is>
      </c>
      <c r="B78" s="73">
        <f>COUNTIFS(Telas!$H$5:$H$400,$A78,Telas!$J$5:$J$400,B$77)</f>
        <v/>
      </c>
      <c r="C78" s="73">
        <f>COUNTIFS(Telas!$H$5:$H$400,$A78,Telas!$J$5:$J$400,C$77)</f>
        <v/>
      </c>
      <c r="D78" s="73">
        <f>COUNTIFS(Telas!$H$5:$H$400,$A78,Telas!$J$5:$J$400,D$77)</f>
        <v/>
      </c>
      <c r="E78" s="73">
        <f>COUNTIFS(Telas!$H$5:$H$400,$A78,Telas!$J$5:$J$400,E$77)</f>
        <v/>
      </c>
      <c r="F78" s="74">
        <f>SUM(B78:E78)</f>
        <v/>
      </c>
      <c r="M78" s="72" t="inlineStr">
        <is>
          <t>F0</t>
        </is>
      </c>
      <c r="N78" s="73">
        <f>COUNTIFS(Funções!$F$5:$F$300,$M78,Funções!$H$5:$H$300,N$77)</f>
        <v/>
      </c>
      <c r="O78" s="73">
        <f>COUNTIFS(Funções!$F$5:$F$300,$M78,Funções!$H$5:$H$300,O$77)</f>
        <v/>
      </c>
      <c r="P78" s="73">
        <f>COUNTIFS(Funções!$F$5:$F$300,$M78,Funções!$H$5:$H$300,P$77)</f>
        <v/>
      </c>
      <c r="Q78" s="73">
        <f>COUNTIFS(Funções!$F$5:$F$300,$M78,Funções!$H$5:$H$300,Q$77)</f>
        <v/>
      </c>
      <c r="R78" s="74">
        <f>SUM(N78:Q78)</f>
        <v/>
      </c>
    </row>
    <row r="79" ht="18" customHeight="1" s="50">
      <c r="A79" s="72" t="inlineStr">
        <is>
          <t>F1</t>
        </is>
      </c>
      <c r="B79" s="73">
        <f>COUNTIFS(Telas!$H$5:$H$400,$A79,Telas!$J$5:$J$400,B$77)</f>
        <v/>
      </c>
      <c r="C79" s="73">
        <f>COUNTIFS(Telas!$H$5:$H$400,$A79,Telas!$J$5:$J$400,C$77)</f>
        <v/>
      </c>
      <c r="D79" s="73">
        <f>COUNTIFS(Telas!$H$5:$H$400,$A79,Telas!$J$5:$J$400,D$77)</f>
        <v/>
      </c>
      <c r="E79" s="73">
        <f>COUNTIFS(Telas!$H$5:$H$400,$A79,Telas!$J$5:$J$400,E$77)</f>
        <v/>
      </c>
      <c r="F79" s="74">
        <f>SUM(B79:E79)</f>
        <v/>
      </c>
      <c r="M79" s="72" t="inlineStr">
        <is>
          <t>F1</t>
        </is>
      </c>
      <c r="N79" s="73">
        <f>COUNTIFS(Funções!$F$5:$F$300,$M79,Funções!$H$5:$H$300,N$77)</f>
        <v/>
      </c>
      <c r="O79" s="73">
        <f>COUNTIFS(Funções!$F$5:$F$300,$M79,Funções!$H$5:$H$300,O$77)</f>
        <v/>
      </c>
      <c r="P79" s="73">
        <f>COUNTIFS(Funções!$F$5:$F$300,$M79,Funções!$H$5:$H$300,P$77)</f>
        <v/>
      </c>
      <c r="Q79" s="73">
        <f>COUNTIFS(Funções!$F$5:$F$300,$M79,Funções!$H$5:$H$300,Q$77)</f>
        <v/>
      </c>
      <c r="R79" s="74">
        <f>SUM(N79:Q79)</f>
        <v/>
      </c>
    </row>
    <row r="80" ht="18" customHeight="1" s="50">
      <c r="A80" s="72" t="inlineStr">
        <is>
          <t>F2</t>
        </is>
      </c>
      <c r="B80" s="73">
        <f>COUNTIFS(Telas!$H$5:$H$400,$A80,Telas!$J$5:$J$400,B$77)</f>
        <v/>
      </c>
      <c r="C80" s="73">
        <f>COUNTIFS(Telas!$H$5:$H$400,$A80,Telas!$J$5:$J$400,C$77)</f>
        <v/>
      </c>
      <c r="D80" s="73">
        <f>COUNTIFS(Telas!$H$5:$H$400,$A80,Telas!$J$5:$J$400,D$77)</f>
        <v/>
      </c>
      <c r="E80" s="73">
        <f>COUNTIFS(Telas!$H$5:$H$400,$A80,Telas!$J$5:$J$400,E$77)</f>
        <v/>
      </c>
      <c r="F80" s="74">
        <f>SUM(B80:E80)</f>
        <v/>
      </c>
      <c r="M80" s="72" t="inlineStr">
        <is>
          <t>F2</t>
        </is>
      </c>
      <c r="N80" s="73">
        <f>COUNTIFS(Funções!$F$5:$F$300,$M80,Funções!$H$5:$H$300,N$77)</f>
        <v/>
      </c>
      <c r="O80" s="73">
        <f>COUNTIFS(Funções!$F$5:$F$300,$M80,Funções!$H$5:$H$300,O$77)</f>
        <v/>
      </c>
      <c r="P80" s="73">
        <f>COUNTIFS(Funções!$F$5:$F$300,$M80,Funções!$H$5:$H$300,P$77)</f>
        <v/>
      </c>
      <c r="Q80" s="73">
        <f>COUNTIFS(Funções!$F$5:$F$300,$M80,Funções!$H$5:$H$300,Q$77)</f>
        <v/>
      </c>
      <c r="R80" s="74">
        <f>SUM(N80:Q80)</f>
        <v/>
      </c>
    </row>
    <row r="81" ht="18" customHeight="1" s="50">
      <c r="A81" s="72" t="inlineStr">
        <is>
          <t>F3</t>
        </is>
      </c>
      <c r="B81" s="73">
        <f>COUNTIFS(Telas!$H$5:$H$400,$A81,Telas!$J$5:$J$400,B$77)</f>
        <v/>
      </c>
      <c r="C81" s="73">
        <f>COUNTIFS(Telas!$H$5:$H$400,$A81,Telas!$J$5:$J$400,C$77)</f>
        <v/>
      </c>
      <c r="D81" s="73">
        <f>COUNTIFS(Telas!$H$5:$H$400,$A81,Telas!$J$5:$J$400,D$77)</f>
        <v/>
      </c>
      <c r="E81" s="73">
        <f>COUNTIFS(Telas!$H$5:$H$400,$A81,Telas!$J$5:$J$400,E$77)</f>
        <v/>
      </c>
      <c r="F81" s="74">
        <f>SUM(B81:E81)</f>
        <v/>
      </c>
      <c r="M81" s="72" t="inlineStr">
        <is>
          <t>F3</t>
        </is>
      </c>
      <c r="N81" s="73">
        <f>COUNTIFS(Funções!$F$5:$F$300,$M81,Funções!$H$5:$H$300,N$77)</f>
        <v/>
      </c>
      <c r="O81" s="73">
        <f>COUNTIFS(Funções!$F$5:$F$300,$M81,Funções!$H$5:$H$300,O$77)</f>
        <v/>
      </c>
      <c r="P81" s="73">
        <f>COUNTIFS(Funções!$F$5:$F$300,$M81,Funções!$H$5:$H$300,P$77)</f>
        <v/>
      </c>
      <c r="Q81" s="73">
        <f>COUNTIFS(Funções!$F$5:$F$300,$M81,Funções!$H$5:$H$300,Q$77)</f>
        <v/>
      </c>
      <c r="R81" s="74">
        <f>SUM(N81:Q81)</f>
        <v/>
      </c>
    </row>
    <row r="82" ht="18" customHeight="1" s="50">
      <c r="A82" s="72" t="inlineStr">
        <is>
          <t>F4</t>
        </is>
      </c>
      <c r="B82" s="73">
        <f>COUNTIFS(Telas!$H$5:$H$400,$A82,Telas!$J$5:$J$400,B$77)</f>
        <v/>
      </c>
      <c r="C82" s="73">
        <f>COUNTIFS(Telas!$H$5:$H$400,$A82,Telas!$J$5:$J$400,C$77)</f>
        <v/>
      </c>
      <c r="D82" s="73">
        <f>COUNTIFS(Telas!$H$5:$H$400,$A82,Telas!$J$5:$J$400,D$77)</f>
        <v/>
      </c>
      <c r="E82" s="73">
        <f>COUNTIFS(Telas!$H$5:$H$400,$A82,Telas!$J$5:$J$400,E$77)</f>
        <v/>
      </c>
      <c r="F82" s="74">
        <f>SUM(B82:E82)</f>
        <v/>
      </c>
      <c r="M82" s="72" t="inlineStr">
        <is>
          <t>F4</t>
        </is>
      </c>
      <c r="N82" s="73">
        <f>COUNTIFS(Funções!$F$5:$F$300,$M82,Funções!$H$5:$H$300,N$77)</f>
        <v/>
      </c>
      <c r="O82" s="73">
        <f>COUNTIFS(Funções!$F$5:$F$300,$M82,Funções!$H$5:$H$300,O$77)</f>
        <v/>
      </c>
      <c r="P82" s="73">
        <f>COUNTIFS(Funções!$F$5:$F$300,$M82,Funções!$H$5:$H$300,P$77)</f>
        <v/>
      </c>
      <c r="Q82" s="73">
        <f>COUNTIFS(Funções!$F$5:$F$300,$M82,Funções!$H$5:$H$300,Q$77)</f>
        <v/>
      </c>
      <c r="R82" s="74">
        <f>SUM(N82:Q82)</f>
        <v/>
      </c>
    </row>
    <row r="83" ht="18" customHeight="1" s="50">
      <c r="A83" s="72" t="inlineStr">
        <is>
          <t>F5</t>
        </is>
      </c>
      <c r="B83" s="73">
        <f>COUNTIFS(Telas!$H$5:$H$400,$A83,Telas!$J$5:$J$400,B$77)</f>
        <v/>
      </c>
      <c r="C83" s="73">
        <f>COUNTIFS(Telas!$H$5:$H$400,$A83,Telas!$J$5:$J$400,C$77)</f>
        <v/>
      </c>
      <c r="D83" s="73">
        <f>COUNTIFS(Telas!$H$5:$H$400,$A83,Telas!$J$5:$J$400,D$77)</f>
        <v/>
      </c>
      <c r="E83" s="73">
        <f>COUNTIFS(Telas!$H$5:$H$400,$A83,Telas!$J$5:$J$400,E$77)</f>
        <v/>
      </c>
      <c r="F83" s="74">
        <f>SUM(B83:E83)</f>
        <v/>
      </c>
      <c r="M83" s="72" t="inlineStr">
        <is>
          <t>F5</t>
        </is>
      </c>
      <c r="N83" s="73">
        <f>COUNTIFS(Funções!$F$5:$F$300,$M83,Funções!$H$5:$H$300,N$77)</f>
        <v/>
      </c>
      <c r="O83" s="73">
        <f>COUNTIFS(Funções!$F$5:$F$300,$M83,Funções!$H$5:$H$300,O$77)</f>
        <v/>
      </c>
      <c r="P83" s="73">
        <f>COUNTIFS(Funções!$F$5:$F$300,$M83,Funções!$H$5:$H$300,P$77)</f>
        <v/>
      </c>
      <c r="Q83" s="73">
        <f>COUNTIFS(Funções!$F$5:$F$300,$M83,Funções!$H$5:$H$300,Q$77)</f>
        <v/>
      </c>
      <c r="R83" s="74">
        <f>SUM(N83:Q83)</f>
        <v/>
      </c>
    </row>
    <row r="84" ht="18" customHeight="1" s="50">
      <c r="A84" s="72" t="inlineStr">
        <is>
          <t>F6</t>
        </is>
      </c>
      <c r="B84" s="73">
        <f>COUNTIFS(Telas!$H$5:$H$400,$A84,Telas!$J$5:$J$400,B$77)</f>
        <v/>
      </c>
      <c r="C84" s="73">
        <f>COUNTIFS(Telas!$H$5:$H$400,$A84,Telas!$J$5:$J$400,C$77)</f>
        <v/>
      </c>
      <c r="D84" s="73">
        <f>COUNTIFS(Telas!$H$5:$H$400,$A84,Telas!$J$5:$J$400,D$77)</f>
        <v/>
      </c>
      <c r="E84" s="73">
        <f>COUNTIFS(Telas!$H$5:$H$400,$A84,Telas!$J$5:$J$400,E$77)</f>
        <v/>
      </c>
      <c r="F84" s="74">
        <f>SUM(B84:E84)</f>
        <v/>
      </c>
      <c r="M84" s="72" t="inlineStr">
        <is>
          <t>F6</t>
        </is>
      </c>
      <c r="N84" s="73">
        <f>COUNTIFS(Funções!$F$5:$F$300,$M84,Funções!$H$5:$H$300,N$77)</f>
        <v/>
      </c>
      <c r="O84" s="73">
        <f>COUNTIFS(Funções!$F$5:$F$300,$M84,Funções!$H$5:$H$300,O$77)</f>
        <v/>
      </c>
      <c r="P84" s="73">
        <f>COUNTIFS(Funções!$F$5:$F$300,$M84,Funções!$H$5:$H$300,P$77)</f>
        <v/>
      </c>
      <c r="Q84" s="73">
        <f>COUNTIFS(Funções!$F$5:$F$300,$M84,Funções!$H$5:$H$300,Q$77)</f>
        <v/>
      </c>
      <c r="R84" s="74">
        <f>SUM(N84:Q84)</f>
        <v/>
      </c>
    </row>
    <row r="85" ht="18" customHeight="1" s="50">
      <c r="A85" s="76" t="inlineStr">
        <is>
          <t>Total</t>
        </is>
      </c>
      <c r="B85" s="77">
        <f>SUM(B78:B84)</f>
        <v/>
      </c>
      <c r="C85" s="77">
        <f>SUM(C78:C84)</f>
        <v/>
      </c>
      <c r="D85" s="77">
        <f>SUM(D78:D84)</f>
        <v/>
      </c>
      <c r="E85" s="77">
        <f>SUM(E78:E84)</f>
        <v/>
      </c>
      <c r="F85" s="77">
        <f>SUM(F78:F84)</f>
        <v/>
      </c>
      <c r="M85" s="76" t="inlineStr">
        <is>
          <t>Total</t>
        </is>
      </c>
      <c r="N85" s="77">
        <f>SUM(N78:N84)</f>
        <v/>
      </c>
      <c r="O85" s="77">
        <f>SUM(O78:O84)</f>
        <v/>
      </c>
      <c r="P85" s="77">
        <f>SUM(P78:P84)</f>
        <v/>
      </c>
      <c r="Q85" s="77">
        <f>SUM(Q78:Q84)</f>
        <v/>
      </c>
      <c r="R85" s="77">
        <f>SUM(R78:R84)</f>
        <v/>
      </c>
    </row>
    <row r="108" ht="19.5" customHeight="1" s="50">
      <c r="A108" s="69" t="inlineStr">
        <is>
          <t>7 · Matriz de dependências (de → para)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M108" s="69" t="inlineStr">
        <is>
          <t>8 · Módulos por nível de confiança (aba Modules)</t>
        </is>
      </c>
      <c r="N108" s="70" t="n"/>
      <c r="O108" s="70" t="n"/>
    </row>
    <row r="109" ht="31.5" customHeight="1" s="50">
      <c r="A109" s="71" t="inlineStr">
        <is>
          <t>De \ Para</t>
        </is>
      </c>
      <c r="B109" s="71" t="inlineStr">
        <is>
          <t>Constant</t>
        </is>
      </c>
      <c r="C109" s="71" t="inlineStr">
        <is>
          <t>Enum</t>
        </is>
      </c>
      <c r="D109" s="71" t="inlineStr">
        <is>
          <t>Policy</t>
        </is>
      </c>
      <c r="E109" s="71" t="inlineStr">
        <is>
          <t>Metric</t>
        </is>
      </c>
      <c r="F109" s="71" t="inlineStr">
        <is>
          <t>Projection</t>
        </is>
      </c>
      <c r="G109" s="71" t="inlineStr">
        <is>
          <t>Dashboard</t>
        </is>
      </c>
      <c r="H109" s="71" t="inlineStr">
        <is>
          <t>Function</t>
        </is>
      </c>
      <c r="I109" s="71" t="inlineStr">
        <is>
          <t>Screen</t>
        </is>
      </c>
      <c r="J109" s="71" t="inlineStr">
        <is>
          <t>Roadmap item</t>
        </is>
      </c>
      <c r="K109" s="71" t="inlineStr">
        <is>
          <t>Module / area</t>
        </is>
      </c>
      <c r="M109" s="71" t="inlineStr">
        <is>
          <t>Nível</t>
        </is>
      </c>
      <c r="N109" s="71" t="inlineStr">
        <is>
          <t>Módulos</t>
        </is>
      </c>
      <c r="O109" s="71" t="inlineStr">
        <is>
          <t>Critério (COUNTIF)</t>
        </is>
      </c>
    </row>
    <row r="110" ht="18" customHeight="1" s="50">
      <c r="A110" s="72" t="inlineStr">
        <is>
          <t>Constant</t>
        </is>
      </c>
      <c r="B110" s="73">
        <f>COUNTIFS(Dependencies!$D$5:$D$300,$A110,Dependencies!$H$5:$H$300,B$109)</f>
        <v/>
      </c>
      <c r="C110" s="73">
        <f>COUNTIFS(Dependencies!$D$5:$D$300,$A110,Dependencies!$H$5:$H$300,C$109)</f>
        <v/>
      </c>
      <c r="D110" s="73">
        <f>COUNTIFS(Dependencies!$D$5:$D$300,$A110,Dependencies!$H$5:$H$300,D$109)</f>
        <v/>
      </c>
      <c r="E110" s="73">
        <f>COUNTIFS(Dependencies!$D$5:$D$300,$A110,Dependencies!$H$5:$H$300,E$109)</f>
        <v/>
      </c>
      <c r="F110" s="73">
        <f>COUNTIFS(Dependencies!$D$5:$D$300,$A110,Dependencies!$H$5:$H$300,F$109)</f>
        <v/>
      </c>
      <c r="G110" s="73">
        <f>COUNTIFS(Dependencies!$D$5:$D$300,$A110,Dependencies!$H$5:$H$300,G$109)</f>
        <v/>
      </c>
      <c r="H110" s="73">
        <f>COUNTIFS(Dependencies!$D$5:$D$300,$A110,Dependencies!$H$5:$H$300,H$109)</f>
        <v/>
      </c>
      <c r="I110" s="73">
        <f>COUNTIFS(Dependencies!$D$5:$D$300,$A110,Dependencies!$H$5:$H$300,I$109)</f>
        <v/>
      </c>
      <c r="J110" s="73">
        <f>COUNTIFS(Dependencies!$D$5:$D$300,$A110,Dependencies!$H$5:$H$300,J$109)</f>
        <v/>
      </c>
      <c r="K110" s="73">
        <f>COUNTIFS(Dependencies!$D$5:$D$300,$A110,Dependencies!$H$5:$H$300,K$109)</f>
        <v/>
      </c>
      <c r="M110" s="72" t="inlineStr">
        <is>
          <t>Documentado</t>
        </is>
      </c>
      <c r="N110" s="73">
        <f>COUNTIF(Modules!$I$5:$I$100,O110)</f>
        <v/>
      </c>
      <c r="O110" s="79" t="inlineStr">
        <is>
          <t>Documented*</t>
        </is>
      </c>
    </row>
    <row r="111" ht="18" customHeight="1" s="50">
      <c r="A111" s="72" t="inlineStr">
        <is>
          <t>Enum</t>
        </is>
      </c>
      <c r="B111" s="73">
        <f>COUNTIFS(Dependencies!$D$5:$D$300,$A111,Dependencies!$H$5:$H$300,B$109)</f>
        <v/>
      </c>
      <c r="C111" s="73">
        <f>COUNTIFS(Dependencies!$D$5:$D$300,$A111,Dependencies!$H$5:$H$300,C$109)</f>
        <v/>
      </c>
      <c r="D111" s="73">
        <f>COUNTIFS(Dependencies!$D$5:$D$300,$A111,Dependencies!$H$5:$H$300,D$109)</f>
        <v/>
      </c>
      <c r="E111" s="73">
        <f>COUNTIFS(Dependencies!$D$5:$D$300,$A111,Dependencies!$H$5:$H$300,E$109)</f>
        <v/>
      </c>
      <c r="F111" s="73">
        <f>COUNTIFS(Dependencies!$D$5:$D$300,$A111,Dependencies!$H$5:$H$300,F$109)</f>
        <v/>
      </c>
      <c r="G111" s="73">
        <f>COUNTIFS(Dependencies!$D$5:$D$300,$A111,Dependencies!$H$5:$H$300,G$109)</f>
        <v/>
      </c>
      <c r="H111" s="73">
        <f>COUNTIFS(Dependencies!$D$5:$D$300,$A111,Dependencies!$H$5:$H$300,H$109)</f>
        <v/>
      </c>
      <c r="I111" s="73">
        <f>COUNTIFS(Dependencies!$D$5:$D$300,$A111,Dependencies!$H$5:$H$300,I$109)</f>
        <v/>
      </c>
      <c r="J111" s="73">
        <f>COUNTIFS(Dependencies!$D$5:$D$300,$A111,Dependencies!$H$5:$H$300,J$109)</f>
        <v/>
      </c>
      <c r="K111" s="73">
        <f>COUNTIFS(Dependencies!$D$5:$D$300,$A111,Dependencies!$H$5:$H$300,K$109)</f>
        <v/>
      </c>
      <c r="M111" s="72" t="inlineStr">
        <is>
          <t>Precisa de auditoria</t>
        </is>
      </c>
      <c r="N111" s="73">
        <f>COUNTIF(Modules!$I$5:$I$100,O111)</f>
        <v/>
      </c>
      <c r="O111" s="79" t="inlineStr">
        <is>
          <t>Needs code audit</t>
        </is>
      </c>
    </row>
    <row r="112" ht="18" customHeight="1" s="50">
      <c r="A112" s="72" t="inlineStr">
        <is>
          <t>Policy</t>
        </is>
      </c>
      <c r="B112" s="73">
        <f>COUNTIFS(Dependencies!$D$5:$D$300,$A112,Dependencies!$H$5:$H$300,B$109)</f>
        <v/>
      </c>
      <c r="C112" s="73">
        <f>COUNTIFS(Dependencies!$D$5:$D$300,$A112,Dependencies!$H$5:$H$300,C$109)</f>
        <v/>
      </c>
      <c r="D112" s="73">
        <f>COUNTIFS(Dependencies!$D$5:$D$300,$A112,Dependencies!$H$5:$H$300,D$109)</f>
        <v/>
      </c>
      <c r="E112" s="73">
        <f>COUNTIFS(Dependencies!$D$5:$D$300,$A112,Dependencies!$H$5:$H$300,E$109)</f>
        <v/>
      </c>
      <c r="F112" s="73">
        <f>COUNTIFS(Dependencies!$D$5:$D$300,$A112,Dependencies!$H$5:$H$300,F$109)</f>
        <v/>
      </c>
      <c r="G112" s="73">
        <f>COUNTIFS(Dependencies!$D$5:$D$300,$A112,Dependencies!$H$5:$H$300,G$109)</f>
        <v/>
      </c>
      <c r="H112" s="73">
        <f>COUNTIFS(Dependencies!$D$5:$D$300,$A112,Dependencies!$H$5:$H$300,H$109)</f>
        <v/>
      </c>
      <c r="I112" s="73">
        <f>COUNTIFS(Dependencies!$D$5:$D$300,$A112,Dependencies!$H$5:$H$300,I$109)</f>
        <v/>
      </c>
      <c r="J112" s="73">
        <f>COUNTIFS(Dependencies!$D$5:$D$300,$A112,Dependencies!$H$5:$H$300,J$109)</f>
        <v/>
      </c>
      <c r="K112" s="73">
        <f>COUNTIFS(Dependencies!$D$5:$D$300,$A112,Dependencies!$H$5:$H$300,K$109)</f>
        <v/>
      </c>
      <c r="M112" s="72" t="inlineStr">
        <is>
          <t>Planejado / pendente</t>
        </is>
      </c>
      <c r="N112" s="73">
        <f>COUNTIF(Modules!$I$5:$I$100,O112)</f>
        <v/>
      </c>
      <c r="O112" s="79" t="inlineStr">
        <is>
          <t>Planned*</t>
        </is>
      </c>
    </row>
    <row r="113" ht="18" customHeight="1" s="50">
      <c r="A113" s="72" t="inlineStr">
        <is>
          <t>Metric</t>
        </is>
      </c>
      <c r="B113" s="73">
        <f>COUNTIFS(Dependencies!$D$5:$D$300,$A113,Dependencies!$H$5:$H$300,B$109)</f>
        <v/>
      </c>
      <c r="C113" s="73">
        <f>COUNTIFS(Dependencies!$D$5:$D$300,$A113,Dependencies!$H$5:$H$300,C$109)</f>
        <v/>
      </c>
      <c r="D113" s="73">
        <f>COUNTIFS(Dependencies!$D$5:$D$300,$A113,Dependencies!$H$5:$H$300,D$109)</f>
        <v/>
      </c>
      <c r="E113" s="73">
        <f>COUNTIFS(Dependencies!$D$5:$D$300,$A113,Dependencies!$H$5:$H$300,E$109)</f>
        <v/>
      </c>
      <c r="F113" s="73">
        <f>COUNTIFS(Dependencies!$D$5:$D$300,$A113,Dependencies!$H$5:$H$300,F$109)</f>
        <v/>
      </c>
      <c r="G113" s="73">
        <f>COUNTIFS(Dependencies!$D$5:$D$300,$A113,Dependencies!$H$5:$H$300,G$109)</f>
        <v/>
      </c>
      <c r="H113" s="73">
        <f>COUNTIFS(Dependencies!$D$5:$D$300,$A113,Dependencies!$H$5:$H$300,H$109)</f>
        <v/>
      </c>
      <c r="I113" s="73">
        <f>COUNTIFS(Dependencies!$D$5:$D$300,$A113,Dependencies!$H$5:$H$300,I$109)</f>
        <v/>
      </c>
      <c r="J113" s="73">
        <f>COUNTIFS(Dependencies!$D$5:$D$300,$A113,Dependencies!$H$5:$H$300,J$109)</f>
        <v/>
      </c>
      <c r="K113" s="73">
        <f>COUNTIFS(Dependencies!$D$5:$D$300,$A113,Dependencies!$H$5:$H$300,K$109)</f>
        <v/>
      </c>
      <c r="M113" s="72" t="inlineStr">
        <is>
          <t>Template</t>
        </is>
      </c>
      <c r="N113" s="73">
        <f>COUNTIF(Modules!$I$5:$I$100,O113)</f>
        <v/>
      </c>
      <c r="O113" s="79" t="inlineStr">
        <is>
          <t>Template</t>
        </is>
      </c>
    </row>
    <row r="114" ht="18" customHeight="1" s="50">
      <c r="A114" s="72" t="inlineStr">
        <is>
          <t>Projection</t>
        </is>
      </c>
      <c r="B114" s="73">
        <f>COUNTIFS(Dependencies!$D$5:$D$300,$A114,Dependencies!$H$5:$H$300,B$109)</f>
        <v/>
      </c>
      <c r="C114" s="73">
        <f>COUNTIFS(Dependencies!$D$5:$D$300,$A114,Dependencies!$H$5:$H$300,C$109)</f>
        <v/>
      </c>
      <c r="D114" s="73">
        <f>COUNTIFS(Dependencies!$D$5:$D$300,$A114,Dependencies!$H$5:$H$300,D$109)</f>
        <v/>
      </c>
      <c r="E114" s="73">
        <f>COUNTIFS(Dependencies!$D$5:$D$300,$A114,Dependencies!$H$5:$H$300,E$109)</f>
        <v/>
      </c>
      <c r="F114" s="73">
        <f>COUNTIFS(Dependencies!$D$5:$D$300,$A114,Dependencies!$H$5:$H$300,F$109)</f>
        <v/>
      </c>
      <c r="G114" s="73">
        <f>COUNTIFS(Dependencies!$D$5:$D$300,$A114,Dependencies!$H$5:$H$300,G$109)</f>
        <v/>
      </c>
      <c r="H114" s="73">
        <f>COUNTIFS(Dependencies!$D$5:$D$300,$A114,Dependencies!$H$5:$H$300,H$109)</f>
        <v/>
      </c>
      <c r="I114" s="73">
        <f>COUNTIFS(Dependencies!$D$5:$D$300,$A114,Dependencies!$H$5:$H$300,I$109)</f>
        <v/>
      </c>
      <c r="J114" s="73">
        <f>COUNTIFS(Dependencies!$D$5:$D$300,$A114,Dependencies!$H$5:$H$300,J$109)</f>
        <v/>
      </c>
      <c r="K114" s="73">
        <f>COUNTIFS(Dependencies!$D$5:$D$300,$A114,Dependencies!$H$5:$H$300,K$109)</f>
        <v/>
      </c>
    </row>
    <row r="115" ht="18" customHeight="1" s="50">
      <c r="A115" s="72" t="inlineStr">
        <is>
          <t>Dashboard</t>
        </is>
      </c>
      <c r="B115" s="73">
        <f>COUNTIFS(Dependencies!$D$5:$D$300,$A115,Dependencies!$H$5:$H$300,B$109)</f>
        <v/>
      </c>
      <c r="C115" s="73">
        <f>COUNTIFS(Dependencies!$D$5:$D$300,$A115,Dependencies!$H$5:$H$300,C$109)</f>
        <v/>
      </c>
      <c r="D115" s="73">
        <f>COUNTIFS(Dependencies!$D$5:$D$300,$A115,Dependencies!$H$5:$H$300,D$109)</f>
        <v/>
      </c>
      <c r="E115" s="73">
        <f>COUNTIFS(Dependencies!$D$5:$D$300,$A115,Dependencies!$H$5:$H$300,E$109)</f>
        <v/>
      </c>
      <c r="F115" s="73">
        <f>COUNTIFS(Dependencies!$D$5:$D$300,$A115,Dependencies!$H$5:$H$300,F$109)</f>
        <v/>
      </c>
      <c r="G115" s="73">
        <f>COUNTIFS(Dependencies!$D$5:$D$300,$A115,Dependencies!$H$5:$H$300,G$109)</f>
        <v/>
      </c>
      <c r="H115" s="73">
        <f>COUNTIFS(Dependencies!$D$5:$D$300,$A115,Dependencies!$H$5:$H$300,H$109)</f>
        <v/>
      </c>
      <c r="I115" s="73">
        <f>COUNTIFS(Dependencies!$D$5:$D$300,$A115,Dependencies!$H$5:$H$300,I$109)</f>
        <v/>
      </c>
      <c r="J115" s="73">
        <f>COUNTIFS(Dependencies!$D$5:$D$300,$A115,Dependencies!$H$5:$H$300,J$109)</f>
        <v/>
      </c>
      <c r="K115" s="73">
        <f>COUNTIFS(Dependencies!$D$5:$D$300,$A115,Dependencies!$H$5:$H$300,K$109)</f>
        <v/>
      </c>
    </row>
    <row r="116" ht="18" customHeight="1" s="50">
      <c r="A116" s="72" t="inlineStr">
        <is>
          <t>Function</t>
        </is>
      </c>
      <c r="B116" s="73">
        <f>COUNTIFS(Dependencies!$D$5:$D$300,$A116,Dependencies!$H$5:$H$300,B$109)</f>
        <v/>
      </c>
      <c r="C116" s="73">
        <f>COUNTIFS(Dependencies!$D$5:$D$300,$A116,Dependencies!$H$5:$H$300,C$109)</f>
        <v/>
      </c>
      <c r="D116" s="73">
        <f>COUNTIFS(Dependencies!$D$5:$D$300,$A116,Dependencies!$H$5:$H$300,D$109)</f>
        <v/>
      </c>
      <c r="E116" s="73">
        <f>COUNTIFS(Dependencies!$D$5:$D$300,$A116,Dependencies!$H$5:$H$300,E$109)</f>
        <v/>
      </c>
      <c r="F116" s="73">
        <f>COUNTIFS(Dependencies!$D$5:$D$300,$A116,Dependencies!$H$5:$H$300,F$109)</f>
        <v/>
      </c>
      <c r="G116" s="73">
        <f>COUNTIFS(Dependencies!$D$5:$D$300,$A116,Dependencies!$H$5:$H$300,G$109)</f>
        <v/>
      </c>
      <c r="H116" s="73">
        <f>COUNTIFS(Dependencies!$D$5:$D$300,$A116,Dependencies!$H$5:$H$300,H$109)</f>
        <v/>
      </c>
      <c r="I116" s="73">
        <f>COUNTIFS(Dependencies!$D$5:$D$300,$A116,Dependencies!$H$5:$H$300,I$109)</f>
        <v/>
      </c>
      <c r="J116" s="73">
        <f>COUNTIFS(Dependencies!$D$5:$D$300,$A116,Dependencies!$H$5:$H$300,J$109)</f>
        <v/>
      </c>
      <c r="K116" s="73">
        <f>COUNTIFS(Dependencies!$D$5:$D$300,$A116,Dependencies!$H$5:$H$300,K$109)</f>
        <v/>
      </c>
    </row>
    <row r="117" ht="18" customHeight="1" s="50">
      <c r="A117" s="72" t="inlineStr">
        <is>
          <t>Screen</t>
        </is>
      </c>
      <c r="B117" s="73">
        <f>COUNTIFS(Dependencies!$D$5:$D$300,$A117,Dependencies!$H$5:$H$300,B$109)</f>
        <v/>
      </c>
      <c r="C117" s="73">
        <f>COUNTIFS(Dependencies!$D$5:$D$300,$A117,Dependencies!$H$5:$H$300,C$109)</f>
        <v/>
      </c>
      <c r="D117" s="73">
        <f>COUNTIFS(Dependencies!$D$5:$D$300,$A117,Dependencies!$H$5:$H$300,D$109)</f>
        <v/>
      </c>
      <c r="E117" s="73">
        <f>COUNTIFS(Dependencies!$D$5:$D$300,$A117,Dependencies!$H$5:$H$300,E$109)</f>
        <v/>
      </c>
      <c r="F117" s="73">
        <f>COUNTIFS(Dependencies!$D$5:$D$300,$A117,Dependencies!$H$5:$H$300,F$109)</f>
        <v/>
      </c>
      <c r="G117" s="73">
        <f>COUNTIFS(Dependencies!$D$5:$D$300,$A117,Dependencies!$H$5:$H$300,G$109)</f>
        <v/>
      </c>
      <c r="H117" s="73">
        <f>COUNTIFS(Dependencies!$D$5:$D$300,$A117,Dependencies!$H$5:$H$300,H$109)</f>
        <v/>
      </c>
      <c r="I117" s="73">
        <f>COUNTIFS(Dependencies!$D$5:$D$300,$A117,Dependencies!$H$5:$H$300,I$109)</f>
        <v/>
      </c>
      <c r="J117" s="73">
        <f>COUNTIFS(Dependencies!$D$5:$D$300,$A117,Dependencies!$H$5:$H$300,J$109)</f>
        <v/>
      </c>
      <c r="K117" s="73">
        <f>COUNTIFS(Dependencies!$D$5:$D$300,$A117,Dependencies!$H$5:$H$300,K$109)</f>
        <v/>
      </c>
    </row>
    <row r="118" ht="18" customHeight="1" s="50">
      <c r="A118" s="72" t="inlineStr">
        <is>
          <t>Roadmap item</t>
        </is>
      </c>
      <c r="B118" s="73">
        <f>COUNTIFS(Dependencies!$D$5:$D$300,$A118,Dependencies!$H$5:$H$300,B$109)</f>
        <v/>
      </c>
      <c r="C118" s="73">
        <f>COUNTIFS(Dependencies!$D$5:$D$300,$A118,Dependencies!$H$5:$H$300,C$109)</f>
        <v/>
      </c>
      <c r="D118" s="73">
        <f>COUNTIFS(Dependencies!$D$5:$D$300,$A118,Dependencies!$H$5:$H$300,D$109)</f>
        <v/>
      </c>
      <c r="E118" s="73">
        <f>COUNTIFS(Dependencies!$D$5:$D$300,$A118,Dependencies!$H$5:$H$300,E$109)</f>
        <v/>
      </c>
      <c r="F118" s="73">
        <f>COUNTIFS(Dependencies!$D$5:$D$300,$A118,Dependencies!$H$5:$H$300,F$109)</f>
        <v/>
      </c>
      <c r="G118" s="73">
        <f>COUNTIFS(Dependencies!$D$5:$D$300,$A118,Dependencies!$H$5:$H$300,G$109)</f>
        <v/>
      </c>
      <c r="H118" s="73">
        <f>COUNTIFS(Dependencies!$D$5:$D$300,$A118,Dependencies!$H$5:$H$300,H$109)</f>
        <v/>
      </c>
      <c r="I118" s="73">
        <f>COUNTIFS(Dependencies!$D$5:$D$300,$A118,Dependencies!$H$5:$H$300,I$109)</f>
        <v/>
      </c>
      <c r="J118" s="73">
        <f>COUNTIFS(Dependencies!$D$5:$D$300,$A118,Dependencies!$H$5:$H$300,J$109)</f>
        <v/>
      </c>
      <c r="K118" s="73">
        <f>COUNTIFS(Dependencies!$D$5:$D$300,$A118,Dependencies!$H$5:$H$300,K$109)</f>
        <v/>
      </c>
    </row>
    <row r="119" ht="18" customHeight="1" s="50">
      <c r="A119" s="72" t="inlineStr">
        <is>
          <t>Module / area</t>
        </is>
      </c>
      <c r="B119" s="73">
        <f>COUNTIFS(Dependencies!$D$5:$D$300,$A119,Dependencies!$H$5:$H$300,B$109)</f>
        <v/>
      </c>
      <c r="C119" s="73">
        <f>COUNTIFS(Dependencies!$D$5:$D$300,$A119,Dependencies!$H$5:$H$300,C$109)</f>
        <v/>
      </c>
      <c r="D119" s="73">
        <f>COUNTIFS(Dependencies!$D$5:$D$300,$A119,Dependencies!$H$5:$H$300,D$109)</f>
        <v/>
      </c>
      <c r="E119" s="73">
        <f>COUNTIFS(Dependencies!$D$5:$D$300,$A119,Dependencies!$H$5:$H$300,E$109)</f>
        <v/>
      </c>
      <c r="F119" s="73">
        <f>COUNTIFS(Dependencies!$D$5:$D$300,$A119,Dependencies!$H$5:$H$300,F$109)</f>
        <v/>
      </c>
      <c r="G119" s="73">
        <f>COUNTIFS(Dependencies!$D$5:$D$300,$A119,Dependencies!$H$5:$H$300,G$109)</f>
        <v/>
      </c>
      <c r="H119" s="73">
        <f>COUNTIFS(Dependencies!$D$5:$D$300,$A119,Dependencies!$H$5:$H$300,H$109)</f>
        <v/>
      </c>
      <c r="I119" s="73">
        <f>COUNTIFS(Dependencies!$D$5:$D$300,$A119,Dependencies!$H$5:$H$300,I$109)</f>
        <v/>
      </c>
      <c r="J119" s="73">
        <f>COUNTIFS(Dependencies!$D$5:$D$300,$A119,Dependencies!$H$5:$H$300,J$109)</f>
        <v/>
      </c>
      <c r="K119" s="73">
        <f>COUNTIFS(Dependencies!$D$5:$D$300,$A119,Dependencies!$H$5:$H$300,K$109)</f>
        <v/>
      </c>
    </row>
    <row r="120" ht="15" customHeight="1" s="50">
      <c r="A120" s="60" t="inlineStr">
        <is>
          <t>Linhas = tipo de origem; colunas = tipo de destino. Células mais escuras concentram mais relações — bons pontos de atenção para dependências ocultas.</t>
        </is>
      </c>
    </row>
  </sheetData>
  <mergeCells count="19">
    <mergeCell ref="F4:G4"/>
    <mergeCell ref="D10:E10"/>
    <mergeCell ref="F10:G10"/>
    <mergeCell ref="F6:G6"/>
    <mergeCell ref="D6:E6"/>
    <mergeCell ref="F5:G5"/>
    <mergeCell ref="B8:C8"/>
    <mergeCell ref="F8:G8"/>
    <mergeCell ref="B10:C10"/>
    <mergeCell ref="H4:K10"/>
    <mergeCell ref="D4:E4"/>
    <mergeCell ref="B9:C9"/>
    <mergeCell ref="D9:E9"/>
    <mergeCell ref="F9:G9"/>
    <mergeCell ref="D8:E8"/>
    <mergeCell ref="B6:C6"/>
    <mergeCell ref="B5:C5"/>
    <mergeCell ref="D5:E5"/>
    <mergeCell ref="B4:C4"/>
  </mergeCells>
  <conditionalFormatting sqref="F9">
    <cfRule type="cellIs" rank="0" priority="2" equalAverage="0" operator="greaterThan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</conditionalFormatting>
  <conditionalFormatting sqref="J14:J22">
    <cfRule type="dataBar" priority="4">
      <dataBar minLength="10" maxLength="90" showValue="1">
        <cfvo type="num" val="0"/>
        <cfvo type="num" val="1"/>
        <color rgb="FF3FB27F"/>
      </dataBar>
    </cfRule>
  </conditionalFormatting>
  <conditionalFormatting sqref="O14:O19">
    <cfRule type="dataBar" priority="5">
      <dataBar minLength="10" maxLength="90" showValue="1">
        <cfvo type="num" val="0"/>
        <cfvo type="num" val="1"/>
        <color rgb="FF4F8EF7"/>
      </dataBar>
    </cfRule>
  </conditionalFormatting>
  <conditionalFormatting sqref="G46:G51">
    <cfRule type="dataBar" priority="6">
      <dataBar minLength="10" maxLength="90" showValue="1">
        <cfvo type="num" val="0"/>
        <cfvo type="num" val="1"/>
        <color rgb="FF3FB27F"/>
      </dataBar>
    </cfRule>
  </conditionalFormatting>
  <conditionalFormatting sqref="B110:K119">
    <cfRule type="colorScale" priority="7">
      <colorScale>
        <cfvo type="num" val="0"/>
        <cfvo type="max" val="0"/>
        <color rgb="FFFFFFFF"/>
        <color rgb="FF4F8EF7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N31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9" min="1" max="1"/>
    <col width="13" customWidth="1" style="49" min="2" max="2"/>
    <col width="25" customWidth="1" style="49" min="3" max="3"/>
    <col width="39" customWidth="1" style="49" min="4" max="4"/>
    <col width="58" customWidth="1" style="49" min="5" max="5"/>
    <col width="12" customWidth="1" style="49" min="6" max="6"/>
    <col width="27" customWidth="1" style="49" min="7" max="7"/>
    <col width="20" customWidth="1" style="49" min="8" max="8"/>
    <col width="34" customWidth="1" style="49" min="9" max="9"/>
    <col width="37" customWidth="1" style="49" min="10" max="10"/>
    <col width="18" customWidth="1" style="49" min="11" max="11"/>
    <col width="15" customWidth="1" style="49" min="12" max="12"/>
    <col width="20" customWidth="1" style="49" min="13" max="13"/>
    <col width="36" customWidth="1" style="49" min="14" max="14"/>
  </cols>
  <sheetData>
    <row r="1" ht="30" customHeight="1" s="50">
      <c r="A1" s="51" t="inlineStr">
        <is>
          <t>Kodoo — roadmap revisado orientado por evidência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</row>
    <row r="2" ht="15" customHeight="1" s="50">
      <c r="A2" s="53" t="inlineStr">
        <is>
          <t>Este plano segue as fases do repositório, não as fases legadas do catálogo de telas/funções. Estados iniciais são hipóteses da auditoria documental, não declaração de conclusão do código.</t>
        </is>
      </c>
    </row>
    <row r="3" ht="55.2" customHeight="1" s="50">
      <c r="A3" s="53" t="inlineStr">
        <is>
          <t>Repositório</t>
        </is>
      </c>
      <c r="B3" s="53" t="inlineStr">
        <is>
          <t>https://github.com/bootstrapprx/kodoo</t>
        </is>
      </c>
      <c r="C3" s="53" t="inlineStr">
        <is>
          <t>Docs base</t>
        </is>
      </c>
      <c r="D3" s="53" t="inlineStr">
        <is>
          <t>context/roadmap.md (21/09/2026); context/domain-app-migration.md e context/application-architecture.md (19/10/2026)</t>
        </is>
      </c>
      <c r="M3" s="60" t="inlineStr">
        <is>
          <t>Atualize o Current Status somente após conferir código, testes e CI.</t>
        </is>
      </c>
    </row>
    <row r="4" ht="15" customHeight="1" s="50"/>
    <row r="5" ht="48" customHeight="1" s="50">
      <c r="A5" s="80" t="inlineStr">
        <is>
          <t>ID</t>
        </is>
      </c>
      <c r="B5" s="80" t="inlineStr">
        <is>
          <t>Repository Phase</t>
        </is>
      </c>
      <c r="C5" s="80" t="inlineStr">
        <is>
          <t>Workstream</t>
        </is>
      </c>
      <c r="D5" s="80" t="inlineStr">
        <is>
          <t>Deliverable / Work Item</t>
        </is>
      </c>
      <c r="E5" s="80" t="inlineStr">
        <is>
          <t>Definition of Done / Acceptance Criteria</t>
        </is>
      </c>
      <c r="F5" s="80" t="inlineStr">
        <is>
          <t>Priority</t>
        </is>
      </c>
      <c r="G5" s="80" t="inlineStr">
        <is>
          <t>Initial Status</t>
        </is>
      </c>
      <c r="H5" s="80" t="inlineStr">
        <is>
          <t>Dependencies</t>
        </is>
      </c>
      <c r="I5" s="80" t="inlineStr">
        <is>
          <t>Required Evidence</t>
        </is>
      </c>
      <c r="J5" s="80" t="inlineStr">
        <is>
          <t>Source / Notes</t>
        </is>
      </c>
      <c r="K5" s="80" t="inlineStr">
        <is>
          <t>Owner</t>
        </is>
      </c>
      <c r="L5" s="80" t="inlineStr">
        <is>
          <t>Target</t>
        </is>
      </c>
      <c r="M5" s="80" t="inlineStr">
        <is>
          <t>Current Status</t>
        </is>
      </c>
      <c r="N5" s="80" t="inlineStr">
        <is>
          <t>Evidence Link / Path / Command</t>
        </is>
      </c>
    </row>
    <row r="6" ht="15" customHeight="1" s="50">
      <c r="A6" s="53" t="inlineStr">
        <is>
          <t>RM-001</t>
        </is>
      </c>
      <c r="B6" s="53" t="inlineStr">
        <is>
          <t>F0</t>
        </is>
      </c>
      <c r="C6" s="53" t="inlineStr">
        <is>
          <t>Governança do roadmap</t>
        </is>
      </c>
      <c r="D6" s="53" t="inlineStr">
        <is>
          <t>Confirmar decisões de execução/provisionamento e registrar as decisões abertas.</t>
        </is>
      </c>
      <c r="E6" s="53" t="inlineStr">
        <is>
          <t>Cada decisão tem valor escolhido, justificativa, responsável e consequência técnica; docs/scripts refletem a decisão.</t>
        </is>
      </c>
      <c r="F6" s="53" t="inlineStr">
        <is>
          <t>P0</t>
        </is>
      </c>
      <c r="G6" s="53" t="inlineStr">
        <is>
          <t>A validar</t>
        </is>
      </c>
      <c r="H6" s="53" t="inlineStr">
        <is>
          <t>—</t>
        </is>
      </c>
      <c r="I6" s="53" t="inlineStr">
        <is>
          <t>Registro de decisões + execução em ambiente limpo</t>
        </is>
      </c>
      <c r="J6" s="53" t="inlineStr">
        <is>
          <t>context/roadmap.md</t>
        </is>
      </c>
      <c r="K6" s="53" t="n"/>
      <c r="L6" s="53" t="n"/>
      <c r="M6" s="53" t="inlineStr">
        <is>
          <t>A validar</t>
        </is>
      </c>
      <c r="N6" s="53" t="n"/>
    </row>
    <row r="7" ht="30" customHeight="1" s="50">
      <c r="A7" s="53" t="inlineStr">
        <is>
          <t>RM-002</t>
        </is>
      </c>
      <c r="B7" s="53" t="inlineStr">
        <is>
          <t>F1</t>
        </is>
      </c>
      <c r="C7" s="53" t="inlineStr">
        <is>
          <t>Banco e migrações</t>
        </is>
      </c>
      <c r="D7" s="53" t="inlineStr">
        <is>
          <t>Validar bootstrap de papéis PostgreSQL, ownership, migrations e checks SQL em ambiente limpo.</t>
        </is>
      </c>
      <c r="E7" s="53" t="inlineStr">
        <is>
          <t>Pipeline reproduzível desde banco vazio; papéis e ownership corretos; falhas de migration/check impedem avanço.</t>
        </is>
      </c>
      <c r="F7" s="53" t="inlineStr">
        <is>
          <t>P0</t>
        </is>
      </c>
      <c r="G7" s="53" t="inlineStr">
        <is>
          <t>Parcial/documentado; validar HEAD</t>
        </is>
      </c>
      <c r="H7" s="53" t="inlineStr">
        <is>
          <t>RM-001</t>
        </is>
      </c>
      <c r="I7" s="53" t="inlineStr">
        <is>
          <t>Log CI + execução local documentada</t>
        </is>
      </c>
      <c r="J7" s="53" t="inlineStr">
        <is>
          <t>context/roadmap.md; .github/workflows/ci.yml</t>
        </is>
      </c>
      <c r="K7" s="53" t="n"/>
      <c r="L7" s="53" t="n"/>
      <c r="M7" s="53" t="inlineStr">
        <is>
          <t>A validar</t>
        </is>
      </c>
      <c r="N7" s="53" t="n"/>
    </row>
    <row r="8" ht="15" customHeight="1" s="50">
      <c r="A8" s="53" t="inlineStr">
        <is>
          <t>RM-003</t>
        </is>
      </c>
      <c r="B8" s="53" t="inlineStr">
        <is>
          <t>F2</t>
        </is>
      </c>
      <c r="C8" s="53" t="inlineStr">
        <is>
          <t>Identidade e escopo</t>
        </is>
      </c>
      <c r="D8" s="53" t="inlineStr">
        <is>
          <t>Fechar contrato de ator, organização ativa e propagação de contexto em todas as entradas relevantes.</t>
        </is>
      </c>
      <c r="E8" s="53" t="inlineStr">
        <is>
          <t>Contexto ausente/malformado é rejeitado; autorização aplicada no servidor, não apenas na UI; sem vazamento entre organizações.</t>
        </is>
      </c>
      <c r="F8" s="53" t="inlineStr">
        <is>
          <t>P0</t>
        </is>
      </c>
      <c r="G8" s="53" t="inlineStr">
        <is>
          <t>Implementado no primeiro slice; aceite CI pendente</t>
        </is>
      </c>
      <c r="H8" s="53" t="inlineStr">
        <is>
          <t>RM-002</t>
        </is>
      </c>
      <c r="I8" s="53" t="inlineStr">
        <is>
          <t>Testes de contexto Rust + SQL F2; API auth remains F3</t>
        </is>
      </c>
      <c r="J8" s="53" t="inlineStr">
        <is>
          <t>context/roadmap.md; context/identity-isolation.md; context/f2-authorization-matrix.md</t>
        </is>
      </c>
      <c r="K8" s="53" t="n"/>
      <c r="L8" s="53" t="n"/>
      <c r="M8" s="53" t="inlineStr">
        <is>
          <t>Em andamento</t>
        </is>
      </c>
      <c r="N8" s="53" t="inlineStr">
        <is>
          <t>crates/kodoo-core; crates/kodoo-postgres/tests/identity_context.rs; tests/database/0005-f2-isolation.sql</t>
        </is>
      </c>
    </row>
    <row r="9" ht="15" customHeight="1" s="50">
      <c r="A9" s="53" t="inlineStr">
        <is>
          <t>RM-004</t>
        </is>
      </c>
      <c r="B9" s="53" t="inlineStr">
        <is>
          <t>F2</t>
        </is>
      </c>
      <c r="C9" s="53" t="inlineStr">
        <is>
          <t>Autorização e isolamento</t>
        </is>
      </c>
      <c r="D9" s="53" t="inlineStr">
        <is>
          <t>Criar matriz de permissões por ação e validar acesso cruzado entre organizações.</t>
        </is>
      </c>
      <c r="E9" s="53" t="inlineStr">
        <is>
          <t>Ações permitidas/negadas documentadas; testes provam negação por padrão e isolamento de dados em sucesso, erro e rollback.</t>
        </is>
      </c>
      <c r="F9" s="53" t="inlineStr">
        <is>
          <t>P0</t>
        </is>
      </c>
      <c r="G9" s="53" t="inlineStr">
        <is>
          <t>Implementado no primeiro slice; aceite CI pendente</t>
        </is>
      </c>
      <c r="H9" s="53" t="inlineStr">
        <is>
          <t>RM-003</t>
        </is>
      </c>
      <c r="I9" s="53" t="inlineStr">
        <is>
          <t>Matriz por operação + negação por padrão + isolamento cross-org</t>
        </is>
      </c>
      <c r="J9" s="53" t="inlineStr">
        <is>
          <t>context/f2-authorization-matrix.md; schema/postgresql/migrations/0041-restrictive-worker-rls.sql</t>
        </is>
      </c>
      <c r="K9" s="53" t="n"/>
      <c r="L9" s="53" t="n"/>
      <c r="M9" s="53" t="inlineStr">
        <is>
          <t>Em andamento</t>
        </is>
      </c>
      <c r="N9" s="53" t="inlineStr">
        <is>
          <t>schema/postgresql/checks/0002-f2-worker-scope.sql; tests/database/0005-f2-isolation.sql</t>
        </is>
      </c>
    </row>
    <row r="10" ht="15" customHeight="1" s="50">
      <c r="A10" s="53" t="inlineStr">
        <is>
          <t>RM-005</t>
        </is>
      </c>
      <c r="B10" s="53" t="inlineStr">
        <is>
          <t>F3</t>
        </is>
      </c>
      <c r="C10" s="53" t="inlineStr">
        <is>
          <t>Fatia vertical nativa</t>
        </is>
      </c>
      <c r="D10" s="53" t="inlineStr">
        <is>
          <t>Escolher uma operação de negócio estreita e concluí-la ponta a ponta com persistência durável.</t>
        </is>
      </c>
      <c r="E10" s="53" t="inlineStr">
        <is>
          <t>API, domínio/use case, PostgreSQL, autorização, auditoria, CLI e testes representam a mesma regra; sem estado em memória como fonte de verdade.</t>
        </is>
      </c>
      <c r="F10" s="53" t="inlineStr">
        <is>
          <t>P0</t>
        </is>
      </c>
      <c r="G10" s="53" t="inlineStr">
        <is>
          <t>Implementado na fatia Project Manager; aceite CI pendente</t>
        </is>
      </c>
      <c r="H10" s="53" t="inlineStr">
        <is>
          <t>RM-003; RM-004</t>
        </is>
      </c>
      <c r="I10" s="53" t="inlineStr">
        <is>
          <t>Teste SQL F3 + API/caso de uso + CLI/MCP; workspace CI pendente</t>
        </is>
      </c>
      <c r="J10" s="53" t="inlineStr">
        <is>
          <t>context/f3-project-manager.md; tests/database/0006-f3-project-manager.sql</t>
        </is>
      </c>
      <c r="K10" s="53" t="n"/>
      <c r="L10" s="53" t="n"/>
      <c r="M10" s="53" t="inlineStr">
        <is>
          <t>Em andamento</t>
        </is>
      </c>
      <c r="N10" s="53" t="inlineStr">
        <is>
          <t>modules/project-manager; crates/kodoo-postgres/src/project_manager.rs; backend/src/api.rs</t>
        </is>
      </c>
    </row>
    <row r="11" ht="15" customHeight="1" s="50">
      <c r="A11" s="53" t="inlineStr">
        <is>
          <t>RM-006</t>
        </is>
      </c>
      <c r="B11" s="53" t="inlineStr">
        <is>
          <t>F3</t>
        </is>
      </c>
      <c r="C11" s="53" t="inlineStr">
        <is>
          <t>Auditoria e transições</t>
        </is>
      </c>
      <c r="D11" s="53" t="inlineStr">
        <is>
          <t>Formalizar eventos auditáveis e transições inválidas da primeira fatia.</t>
        </is>
      </c>
      <c r="E11" s="53" t="inlineStr">
        <is>
          <t>Cada mutação relevante deixa evidência; transições inválidas e chamadas não autorizadas falham com erro estável e teste.</t>
        </is>
      </c>
      <c r="F11" s="53" t="inlineStr">
        <is>
          <t>P1</t>
        </is>
      </c>
      <c r="G11" s="53" t="inlineStr">
        <is>
          <t>Auditoria e transições implementadas; aceite CI pendente</t>
        </is>
      </c>
      <c r="H11" s="53" t="inlineStr">
        <is>
          <t>RM-005</t>
        </is>
      </c>
      <c r="I11" s="53" t="inlineStr">
        <is>
          <t>Migração 0042 + teste de transição inválida e auditoria same-transaction</t>
        </is>
      </c>
      <c r="J11" s="53" t="inlineStr">
        <is>
          <t>schema/postgresql/migrations/0042-project-manager-audit.sql; tests/database/0006-f3-project-manager.sql</t>
        </is>
      </c>
      <c r="K11" s="53" t="n"/>
      <c r="L11" s="53" t="n"/>
      <c r="M11" s="53" t="inlineStr">
        <is>
          <t>Em andamento</t>
        </is>
      </c>
      <c r="N11" s="53" t="inlineStr">
        <is>
          <t>audit.event; administration.record_event; project_manager.transition_task</t>
        </is>
      </c>
    </row>
    <row r="12" ht="15" customHeight="1" s="50">
      <c r="A12" s="53" t="inlineStr">
        <is>
          <t>RM-007</t>
        </is>
      </c>
      <c r="B12" s="53" t="inlineStr">
        <is>
          <t>F4</t>
        </is>
      </c>
      <c r="C12" s="53" t="inlineStr">
        <is>
          <t>Outbox e worker</t>
        </is>
      </c>
      <c r="D12" s="53" t="inlineStr">
        <is>
          <t>Fechar ciclo de vida de efeitos externos: agendamento, retry, deduplicação e recuperação.</t>
        </is>
      </c>
      <c r="E12" s="53" t="inlineStr">
        <is>
          <t>Falhas temporárias, timeout ambíguo e entregas duplicadas são testados; estado final e reprocessamento são determinísticos.</t>
        </is>
      </c>
      <c r="F12" s="53" t="inlineStr">
        <is>
          <t>P1</t>
        </is>
      </c>
      <c r="G12" s="53" t="inlineStr">
        <is>
          <t>Infra parcial/documentada</t>
        </is>
      </c>
      <c r="H12" s="53" t="inlineStr">
        <is>
          <t>RM-005</t>
        </is>
      </c>
      <c r="I12" s="53" t="inlineStr">
        <is>
          <t>Testes de falha/duplicação/retomada em stack real</t>
        </is>
      </c>
      <c r="J12" s="53" t="inlineStr">
        <is>
          <t>context/roadmap.md</t>
        </is>
      </c>
      <c r="K12" s="53" t="n"/>
      <c r="L12" s="53" t="n"/>
      <c r="M12" s="53" t="inlineStr">
        <is>
          <t>A validar</t>
        </is>
      </c>
      <c r="N12" s="53" t="n"/>
    </row>
    <row r="13" ht="41.75" customHeight="1" s="50">
      <c r="A13" s="53" t="inlineStr">
        <is>
          <t>RM-008</t>
        </is>
      </c>
      <c r="B13" s="53" t="inlineStr">
        <is>
          <t>F4</t>
        </is>
      </c>
      <c r="C13" s="53" t="inlineStr">
        <is>
          <t>Integrações concretas</t>
        </is>
      </c>
      <c r="D13" s="53" t="inlineStr">
        <is>
          <t>Listar providers reais e implementar dispatchers faltantes sem espalhar regra de domínio.</t>
        </is>
      </c>
      <c r="E13" s="53" t="inlineStr">
        <is>
          <t>Cada provider tem contrato, configuração segura, timeout, retry, idempotência e testes de contrato.</t>
        </is>
      </c>
      <c r="F13" s="53" t="inlineStr">
        <is>
          <t>P2</t>
        </is>
      </c>
      <c r="G13" s="53" t="inlineStr">
        <is>
          <t>Pendente/documentado</t>
        </is>
      </c>
      <c r="H13" s="53" t="inlineStr">
        <is>
          <t>RM-007</t>
        </is>
      </c>
      <c r="I13" s="53" t="inlineStr">
        <is>
          <t>Testes de contrato e configuração de exemplo sem segredos</t>
        </is>
      </c>
      <c r="J13" s="53" t="inlineStr">
        <is>
          <t>context/roadmap.md</t>
        </is>
      </c>
      <c r="K13" s="53" t="n"/>
      <c r="L13" s="53" t="n"/>
      <c r="M13" s="53" t="inlineStr">
        <is>
          <t>A validar</t>
        </is>
      </c>
      <c r="N13" s="53" t="n"/>
    </row>
    <row r="14" ht="15" customHeight="1" s="50">
      <c r="A14" s="53" t="inlineStr">
        <is>
          <t>RM-009</t>
        </is>
      </c>
      <c r="B14" s="53" t="inlineStr">
        <is>
          <t>F5</t>
        </is>
      </c>
      <c r="C14" s="53" t="inlineStr">
        <is>
          <t>Inventário de origem</t>
        </is>
      </c>
      <c r="D14" s="53" t="inlineStr">
        <is>
          <t>Inventariar dados, fluxos e dependências do sistema de origem antes de desenhar importação.</t>
        </is>
      </c>
      <c r="E14" s="53" t="inlineStr">
        <is>
          <t>Inventário versionado; cada entidade tem volume, proprietário, mapeamento, qualidade e regra de reconciliação.</t>
        </is>
      </c>
      <c r="F14" s="53" t="inlineStr">
        <is>
          <t>P1</t>
        </is>
      </c>
      <c r="G14" s="53" t="inlineStr">
        <is>
          <t>Pendente/documentado</t>
        </is>
      </c>
      <c r="H14" s="53" t="inlineStr">
        <is>
          <t>RM-005</t>
        </is>
      </c>
      <c r="I14" s="53" t="inlineStr">
        <is>
          <t>Relatório de inventário revisável</t>
        </is>
      </c>
      <c r="J14" s="53" t="inlineStr">
        <is>
          <t>context/roadmap.md</t>
        </is>
      </c>
      <c r="K14" s="53" t="n"/>
      <c r="L14" s="53" t="n"/>
      <c r="M14" s="53" t="inlineStr">
        <is>
          <t>A validar</t>
        </is>
      </c>
      <c r="N14" s="53" t="n"/>
    </row>
    <row r="15" ht="30" customHeight="1" s="50">
      <c r="A15" s="53" t="inlineStr">
        <is>
          <t>RM-010</t>
        </is>
      </c>
      <c r="B15" s="53" t="inlineStr">
        <is>
          <t>F5</t>
        </is>
      </c>
      <c r="C15" s="53" t="inlineStr">
        <is>
          <t>Ensaio de importação</t>
        </is>
      </c>
      <c r="D15" s="53" t="inlineStr">
        <is>
          <t>Construir ensaio repetível e determinístico com proveniência e reconciliação.</t>
        </is>
      </c>
      <c r="E15" s="53" t="inlineStr">
        <is>
          <t>Importar duas vezes produz resultado controlado; divergências são explicadas; proveniência por registro; plano de correção/rollback documentado.</t>
        </is>
      </c>
      <c r="F15" s="53" t="inlineStr">
        <is>
          <t>P1</t>
        </is>
      </c>
      <c r="G15" s="53" t="inlineStr">
        <is>
          <t>Pendente/documentado</t>
        </is>
      </c>
      <c r="H15" s="53" t="inlineStr">
        <is>
          <t>RM-009</t>
        </is>
      </c>
      <c r="I15" s="53" t="inlineStr">
        <is>
          <t>Relatório de dry-run + fixtures representativas</t>
        </is>
      </c>
      <c r="J15" s="53" t="inlineStr">
        <is>
          <t>context/roadmap.md</t>
        </is>
      </c>
      <c r="K15" s="53" t="n"/>
      <c r="L15" s="53" t="n"/>
      <c r="M15" s="53" t="inlineStr">
        <is>
          <t>A validar</t>
        </is>
      </c>
      <c r="N15" s="53" t="n"/>
    </row>
    <row r="16" ht="15" customHeight="1" s="50">
      <c r="A16" s="53" t="inlineStr">
        <is>
          <t>RM-011</t>
        </is>
      </c>
      <c r="B16" s="53" t="inlineStr">
        <is>
          <t>F5</t>
        </is>
      </c>
      <c r="C16" s="53" t="inlineStr">
        <is>
          <t>Adaptador Odoo restrito</t>
        </is>
      </c>
      <c r="D16" s="53" t="inlineStr">
        <is>
          <t>Definir e testar o contrato mínimo de compatibilidade necessário para migração.</t>
        </is>
      </c>
      <c r="E16" s="53" t="inlineStr">
        <is>
          <t>Adaptador limitado a contratos explícitos; sem replicar arquitetura do legado; testes de contrato e limites de uso.</t>
        </is>
      </c>
      <c r="F16" s="53" t="inlineStr">
        <is>
          <t>P2</t>
        </is>
      </c>
      <c r="G16" s="53" t="inlineStr">
        <is>
          <t>Pendente/documentado</t>
        </is>
      </c>
      <c r="H16" s="53" t="inlineStr">
        <is>
          <t>RM-009; RM-010</t>
        </is>
      </c>
      <c r="I16" s="53" t="inlineStr">
        <is>
          <t>Contrato versionado + testes de contrato</t>
        </is>
      </c>
      <c r="J16" s="53" t="inlineStr">
        <is>
          <t>README.md; context/roadmap.md</t>
        </is>
      </c>
      <c r="K16" s="53" t="n"/>
      <c r="L16" s="53" t="n"/>
      <c r="M16" s="53" t="inlineStr">
        <is>
          <t>A validar</t>
        </is>
      </c>
      <c r="N16" s="53" t="n"/>
    </row>
    <row r="17" ht="15" customHeight="1" s="50">
      <c r="A17" s="53" t="inlineStr">
        <is>
          <t>RM-012</t>
        </is>
      </c>
      <c r="B17" s="53" t="inlineStr">
        <is>
          <t>F6</t>
        </is>
      </c>
      <c r="C17" s="53" t="inlineStr">
        <is>
          <t>Cutover e fencing</t>
        </is>
      </c>
      <c r="D17" s="53" t="inlineStr">
        <is>
          <t>Desenhar e ensaiar corte controlado com bloqueio de escrita no sistema antigo.</t>
        </is>
      </c>
      <c r="E17" s="53" t="inlineStr">
        <is>
          <t>Fencing demonstrado; nenhuma escrita concorrente obsoleta; reconciliação antes/depois; recuperação testada sem perder escrita aceita.</t>
        </is>
      </c>
      <c r="F17" s="53" t="inlineStr">
        <is>
          <t>P1</t>
        </is>
      </c>
      <c r="G17" s="53" t="inlineStr">
        <is>
          <t>Pendente/documentado</t>
        </is>
      </c>
      <c r="H17" s="53" t="inlineStr">
        <is>
          <t>RM-010; RM-011</t>
        </is>
      </c>
      <c r="I17" s="53" t="inlineStr">
        <is>
          <t>Ensaio completo com relatório de reconciliação</t>
        </is>
      </c>
      <c r="J17" s="53" t="inlineStr">
        <is>
          <t>context/roadmap.md</t>
        </is>
      </c>
      <c r="K17" s="53" t="n"/>
      <c r="L17" s="53" t="n"/>
      <c r="M17" s="53" t="inlineStr">
        <is>
          <t>A validar</t>
        </is>
      </c>
      <c r="N17" s="53" t="n"/>
    </row>
    <row r="18" ht="15" customHeight="1" s="50">
      <c r="A18" s="53" t="inlineStr">
        <is>
          <t>RM-013</t>
        </is>
      </c>
      <c r="B18" s="53" t="inlineStr">
        <is>
          <t>A1</t>
        </is>
      </c>
      <c r="C18" s="53" t="inlineStr">
        <is>
          <t>Autoridade do ledger</t>
        </is>
      </c>
      <c r="D18" s="53" t="inlineStr">
        <is>
          <t>Verificar que TigerBeetle é autoridade contábil e só é acessado pelo módulo de contabilidade.</t>
        </is>
      </c>
      <c r="E18" s="53" t="inlineStr">
        <is>
          <t>Limite arquitetural respeitado; nenhum acesso a TigerBeetle por kodoo-core/outros módulos; testes/CI protegem a regra.</t>
        </is>
      </c>
      <c r="F18" s="53" t="inlineStr">
        <is>
          <t>P0</t>
        </is>
      </c>
      <c r="G18" s="53" t="inlineStr">
        <is>
          <t>Regra arquitetural documentada; validar código atual</t>
        </is>
      </c>
      <c r="H18" s="53" t="inlineStr">
        <is>
          <t>RM-002</t>
        </is>
      </c>
      <c r="I18" s="53" t="inlineStr">
        <is>
          <t>Busca de dependências + teste/checagem estrutural</t>
        </is>
      </c>
      <c r="J18" s="53" t="inlineStr">
        <is>
          <t>README.md; context/application-architecture.md</t>
        </is>
      </c>
      <c r="K18" s="53" t="n"/>
      <c r="L18" s="53" t="n"/>
      <c r="M18" s="53" t="inlineStr">
        <is>
          <t>A validar</t>
        </is>
      </c>
      <c r="N18" s="53" t="n"/>
    </row>
    <row r="19" ht="15" customHeight="1" s="50">
      <c r="A19" s="53" t="inlineStr">
        <is>
          <t>RM-014</t>
        </is>
      </c>
      <c r="B19" s="53" t="inlineStr">
        <is>
          <t>A1</t>
        </is>
      </c>
      <c r="C19" s="53" t="inlineStr">
        <is>
          <t>Postagem e reversão</t>
        </is>
      </c>
      <c r="D19" s="53" t="inlineStr">
        <is>
          <t>Fechar ciclos de períodos, lançamentos, lotes, estornos e fechamento ainda com TODOs.</t>
        </is>
      </c>
      <c r="E19" s="53" t="inlineStr">
        <is>
          <t>Invariantes de partidas dobradas; idempotência e correções sem apagar histórico; casos de período fechado cobertos.</t>
        </is>
      </c>
      <c r="F19" s="53" t="inlineStr">
        <is>
          <t>P0</t>
        </is>
      </c>
      <c r="G19" s="53" t="inlineStr">
        <is>
          <t>Parcial; há lacunas/TODOs documentados</t>
        </is>
      </c>
      <c r="H19" s="53" t="inlineStr">
        <is>
          <t>RM-003; RM-013</t>
        </is>
      </c>
      <c r="I19" s="53" t="inlineStr">
        <is>
          <t>Testes de domínio e integração com TigerBeetle real</t>
        </is>
      </c>
      <c r="J19" s="53" t="inlineStr">
        <is>
          <t>context/domain-app-migration.md</t>
        </is>
      </c>
      <c r="K19" s="53" t="n"/>
      <c r="L19" s="53" t="n"/>
      <c r="M19" s="53" t="inlineStr">
        <is>
          <t>A validar</t>
        </is>
      </c>
      <c r="N19" s="53" t="n"/>
    </row>
    <row r="20" ht="15" customHeight="1" s="50">
      <c r="A20" s="53" t="inlineStr">
        <is>
          <t>RM-015</t>
        </is>
      </c>
      <c r="B20" s="53" t="inlineStr">
        <is>
          <t>A1</t>
        </is>
      </c>
      <c r="C20" s="53" t="inlineStr">
        <is>
          <t>Reconciliação bancária e subledger</t>
        </is>
      </c>
      <c r="D20" s="53" t="inlineStr">
        <is>
          <t>Definir modelo de reconciliação entre extratos, subledger, diário e ledger autoritativo.</t>
        </is>
      </c>
      <c r="E20" s="53" t="inlineStr">
        <is>
          <t>Diferenças explicáveis; não há ajuste silencioso; histórico de conciliação e exceções é auditável.</t>
        </is>
      </c>
      <c r="F20" s="53" t="inlineStr">
        <is>
          <t>P1</t>
        </is>
      </c>
      <c r="G20" s="53" t="inlineStr">
        <is>
          <t>Lacuna identificada na auditoria documental</t>
        </is>
      </c>
      <c r="H20" s="53" t="inlineStr">
        <is>
          <t>RM-014</t>
        </is>
      </c>
      <c r="I20" s="53" t="inlineStr">
        <is>
          <t>Casos de aceitação com divergência e correção</t>
        </is>
      </c>
      <c r="J20" s="53" t="inlineStr">
        <is>
          <t>context/domain-app-migration.md</t>
        </is>
      </c>
      <c r="K20" s="53" t="n"/>
      <c r="L20" s="53" t="n"/>
      <c r="M20" s="53" t="inlineStr">
        <is>
          <t>A validar</t>
        </is>
      </c>
      <c r="N20" s="53" t="n"/>
    </row>
    <row r="21" ht="15" customHeight="1" s="50">
      <c r="A21" s="53" t="inlineStr">
        <is>
          <t>RM-016</t>
        </is>
      </c>
      <c r="B21" s="53" t="inlineStr">
        <is>
          <t>A1</t>
        </is>
      </c>
      <c r="C21" s="53" t="inlineStr">
        <is>
          <t>Relatórios contábeis e trilha</t>
        </is>
      </c>
      <c r="D21" s="53" t="inlineStr">
        <is>
          <t>Validar razão, balancete e demonstrações contra a fonte contábil autoritativa.</t>
        </is>
      </c>
      <c r="E21" s="53" t="inlineStr">
        <is>
          <t>Relatórios reconciliam com o ledger; filtros/intervalos definidos; trilha de auditoria permite explicar cada saldo.</t>
        </is>
      </c>
      <c r="F21" s="53" t="inlineStr">
        <is>
          <t>P1</t>
        </is>
      </c>
      <c r="G21" s="53" t="inlineStr">
        <is>
          <t>Parcial; validar read models restantes</t>
        </is>
      </c>
      <c r="H21" s="53" t="inlineStr">
        <is>
          <t>RM-014</t>
        </is>
      </c>
      <c r="I21" s="53" t="inlineStr">
        <is>
          <t>Testes de reconciliação e fixtures de aceitação</t>
        </is>
      </c>
      <c r="J21" s="53" t="inlineStr">
        <is>
          <t>context/domain-app-migration.md</t>
        </is>
      </c>
      <c r="K21" s="53" t="n"/>
      <c r="L21" s="53" t="n"/>
      <c r="M21" s="53" t="inlineStr">
        <is>
          <t>A validar</t>
        </is>
      </c>
      <c r="N21" s="53" t="n"/>
    </row>
    <row r="22" ht="15" customHeight="1" s="50">
      <c r="A22" s="53" t="inlineStr">
        <is>
          <t>RM-017</t>
        </is>
      </c>
      <c r="B22" s="53" t="inlineStr">
        <is>
          <t>A1</t>
        </is>
      </c>
      <c r="C22" s="53" t="inlineStr">
        <is>
          <t>Read models do Kalkulisto</t>
        </is>
      </c>
      <c r="D22" s="53" t="inlineStr">
        <is>
          <t>Completar os read models que faltam e integrá-los à aplicação de domínio.</t>
        </is>
      </c>
      <c r="E22" s="53" t="inlineStr">
        <is>
          <t>Estados de carregamento/vazio/erro; autorização; paginação/filtros quando aplicáveis; nenhum dado fictício em produção.</t>
        </is>
      </c>
      <c r="F22" s="53" t="inlineStr">
        <is>
          <t>P1</t>
        </is>
      </c>
      <c r="G22" s="53" t="inlineStr">
        <is>
          <t>Parcial; lacunas documentadas</t>
        </is>
      </c>
      <c r="H22" s="53" t="inlineStr">
        <is>
          <t>RM-003; RM-014; RM-016</t>
        </is>
      </c>
      <c r="I22" s="53" t="inlineStr">
        <is>
          <t>Teste UI/integração e verificação desktop real</t>
        </is>
      </c>
      <c r="J22" s="53" t="inlineStr">
        <is>
          <t>context/domain-app-migration.md; context/application-architecture.md</t>
        </is>
      </c>
      <c r="K22" s="53" t="n"/>
      <c r="L22" s="53" t="n"/>
      <c r="M22" s="53" t="inlineStr">
        <is>
          <t>A validar</t>
        </is>
      </c>
      <c r="N22" s="53" t="n"/>
    </row>
    <row r="23" ht="15" customHeight="1" s="50">
      <c r="A23" s="53" t="inlineStr">
        <is>
          <t>RM-018</t>
        </is>
      </c>
      <c r="B23" s="53" t="inlineStr">
        <is>
          <t>A1</t>
        </is>
      </c>
      <c r="C23" s="53" t="inlineStr">
        <is>
          <t>QA com stack real</t>
        </is>
      </c>
      <c r="D23" s="53" t="inlineStr">
        <is>
          <t>Definir evidência de aceitação para cada fatia contábil em Docker/stack real.</t>
        </is>
      </c>
      <c r="E23" s="53" t="inlineStr">
        <is>
          <t>Testes passam com PostgreSQL e TigerBeetle reais; falhas de rede/duplicação/recuperação relevantes cobertas; comandos reproduzíveis.</t>
        </is>
      </c>
      <c r="F23" s="53" t="inlineStr">
        <is>
          <t>P0</t>
        </is>
      </c>
      <c r="G23" s="53" t="inlineStr">
        <is>
          <t>Necessário por fatia</t>
        </is>
      </c>
      <c r="H23" s="53" t="inlineStr">
        <is>
          <t>RM-014; RM-015; RM-016</t>
        </is>
      </c>
      <c r="I23" s="53" t="inlineStr">
        <is>
          <t>Relatório QA por fatia + CI</t>
        </is>
      </c>
      <c r="J23" s="53" t="inlineStr">
        <is>
          <t>context/domain-app-migration.md; .github/workflows/ci.yml</t>
        </is>
      </c>
      <c r="K23" s="53" t="n"/>
      <c r="L23" s="53" t="n"/>
      <c r="M23" s="53" t="inlineStr">
        <is>
          <t>A validar</t>
        </is>
      </c>
      <c r="N23" s="53" t="n"/>
    </row>
    <row r="24" ht="15" customHeight="1" s="50">
      <c r="A24" s="53" t="inlineStr">
        <is>
          <t>RM-019</t>
        </is>
      </c>
      <c r="B24" s="53" t="inlineStr">
        <is>
          <t>Transversal</t>
        </is>
      </c>
      <c r="C24" s="53" t="inlineStr">
        <is>
          <t>Superfícies de produto</t>
        </is>
      </c>
      <c r="D24" s="53" t="inlineStr">
        <is>
          <t>Para cada capacidade, marcar aplicabilidade e prova em HTTP, CLI JSON/schema, MCP real, Ratatui, Direct/Dioxus e app host.</t>
        </is>
      </c>
      <c r="E24" s="53" t="inlineStr">
        <is>
          <t>Nenhuma superfície aplicável fica como stub sem ser explicitamente WIP; MCP stdio JSON-RPC testado e registrado/descobrível quando aplicável.</t>
        </is>
      </c>
      <c r="F24" s="53" t="inlineStr">
        <is>
          <t>P0</t>
        </is>
      </c>
      <c r="G24" s="53" t="inlineStr">
        <is>
          <t>Regra de completude documentada; inventário precisa mapear</t>
        </is>
      </c>
      <c r="H24" s="53" t="inlineStr">
        <is>
          <t>RM-005</t>
        </is>
      </c>
      <c r="I24" s="53" t="inlineStr">
        <is>
          <t>Matriz de superfícies por capacidade + testes por superfície</t>
        </is>
      </c>
      <c r="J24" s="53" t="inlineStr">
        <is>
          <t>AGENTS.md; MODULE_CREATION.md</t>
        </is>
      </c>
      <c r="K24" s="53" t="n"/>
      <c r="L24" s="53" t="n"/>
      <c r="M24" s="53" t="inlineStr">
        <is>
          <t>A validar</t>
        </is>
      </c>
      <c r="N24" s="53" t="n"/>
    </row>
    <row r="25" ht="15" customHeight="1" s="50">
      <c r="A25" s="53" t="inlineStr">
        <is>
          <t>RM-020</t>
        </is>
      </c>
      <c r="B25" s="53" t="inlineStr">
        <is>
          <t>Transversal</t>
        </is>
      </c>
      <c r="C25" s="53" t="inlineStr">
        <is>
          <t>CI e qualidade</t>
        </is>
      </c>
      <c r="D25" s="53" t="inlineStr">
        <is>
          <t>Usar o pipeline como gate obrigatório e separar testes de rotina dos ensaios manuais de caos/carga.</t>
        </is>
      </c>
      <c r="E25" s="53" t="inlineStr">
        <is>
          <t>Fmt, standard check, workspace tests, doctests, deny, clippy e build de app passam; caos/carga têm execução registrada quando relevantes.</t>
        </is>
      </c>
      <c r="F25" s="53" t="inlineStr">
        <is>
          <t>P1</t>
        </is>
      </c>
      <c r="G25" s="53" t="inlineStr">
        <is>
          <t>CI documentada; confirmar estado das execuções atuais</t>
        </is>
      </c>
      <c r="H25" s="53" t="inlineStr">
        <is>
          <t>RM-002</t>
        </is>
      </c>
      <c r="I25" s="53" t="inlineStr">
        <is>
          <t>Link de execução CI + relatório de testes manuais relevantes</t>
        </is>
      </c>
      <c r="J25" s="53" t="inlineStr">
        <is>
          <t>.github/workflows/ci.yml</t>
        </is>
      </c>
      <c r="K25" s="53" t="n"/>
      <c r="L25" s="53" t="n"/>
      <c r="M25" s="53" t="inlineStr">
        <is>
          <t>A validar</t>
        </is>
      </c>
      <c r="N25" s="53" t="n"/>
    </row>
    <row r="26" ht="15" customHeight="1" s="50">
      <c r="A26" s="53" t="inlineStr">
        <is>
          <t>RM-021</t>
        </is>
      </c>
      <c r="B26" s="53" t="inlineStr">
        <is>
          <t>Transversal</t>
        </is>
      </c>
      <c r="C26" s="53" t="inlineStr">
        <is>
          <t>Operação segura</t>
        </is>
      </c>
      <c r="D26" s="53" t="inlineStr">
        <is>
          <t>Revisar segredos, configuração, logs, métricas, backup/restauração e runbooks de incidente.</t>
        </is>
      </c>
      <c r="E26" s="53" t="inlineStr">
        <is>
          <t>Configuração por ambiente sem segredo versionado; logs úteis sem dados sensíveis; backup restaurado em ensaio; runbook executável.</t>
        </is>
      </c>
      <c r="F26" s="53" t="inlineStr">
        <is>
          <t>P2</t>
        </is>
      </c>
      <c r="G26" s="53" t="inlineStr">
        <is>
          <t>Gap a validar</t>
        </is>
      </c>
      <c r="H26" s="53" t="inlineStr">
        <is>
          <t>RM-002; RM-005</t>
        </is>
      </c>
      <c r="I26" s="53" t="inlineStr">
        <is>
          <t>Checklist operacional + evidência de restauração</t>
        </is>
      </c>
      <c r="J26" s="53" t="inlineStr">
        <is>
          <t>Recomendação da auditoria; confirmar docs existentes</t>
        </is>
      </c>
      <c r="K26" s="53" t="n"/>
      <c r="L26" s="53" t="n"/>
      <c r="M26" s="53" t="inlineStr">
        <is>
          <t>A validar</t>
        </is>
      </c>
      <c r="N26" s="53" t="n"/>
    </row>
    <row r="27" ht="41.75" customHeight="1" s="50">
      <c r="A27" s="53" t="inlineStr">
        <is>
          <t>RM-022</t>
        </is>
      </c>
      <c r="B27" s="53" t="inlineStr">
        <is>
          <t>Transversal</t>
        </is>
      </c>
      <c r="C27" s="53" t="inlineStr">
        <is>
          <t>Critérios de produto</t>
        </is>
      </c>
      <c r="D27" s="53" t="inlineStr">
        <is>
          <t>Definir o fluxo de usuário mínimo do Kalkulisto e critérios UX para estados de carregamento/vazio/erro.</t>
        </is>
      </c>
      <c r="E27" s="53" t="inlineStr">
        <is>
          <t>Fluxo ponta a ponta demonstrável; estados e mensagens cobertos; acessibilidade básica e comportamento de falha verificados.</t>
        </is>
      </c>
      <c r="F27" s="53" t="inlineStr">
        <is>
          <t>P1</t>
        </is>
      </c>
      <c r="G27" s="53" t="inlineStr">
        <is>
          <t>A validar com objetivo de produto</t>
        </is>
      </c>
      <c r="H27" s="53" t="inlineStr">
        <is>
          <t>RM-005; RM-017</t>
        </is>
      </c>
      <c r="I27" s="53" t="inlineStr">
        <is>
          <t>Roteiro de demonstração e checklist de aceitação</t>
        </is>
      </c>
      <c r="J27" s="53" t="inlineStr">
        <is>
          <t>context/application-architecture.md</t>
        </is>
      </c>
      <c r="K27" s="53" t="n"/>
      <c r="L27" s="53" t="n"/>
      <c r="M27" s="53" t="inlineStr">
        <is>
          <t>A validar</t>
        </is>
      </c>
      <c r="N27" s="53" t="n"/>
    </row>
    <row r="28" ht="15" customHeight="1" s="50">
      <c r="A28" s="53" t="inlineStr">
        <is>
          <t>RM-023</t>
        </is>
      </c>
      <c r="B28" s="53" t="inlineStr">
        <is>
          <t>Transversal</t>
        </is>
      </c>
      <c r="C28" s="53" t="inlineStr">
        <is>
          <t>Catálogo de constantes e enums</t>
        </is>
      </c>
      <c r="D28" s="53" t="inlineStr">
        <is>
          <t>Catalogar constantes de domínio, enums, estados permitidos e políticas na aba Constants &amp; Enums, com módulo pai e submódulo.</t>
        </is>
      </c>
      <c r="E28" s="53" t="inlineStr">
        <is>
          <t>Cada constante/enum/política tem ID estável, módulo dono, definição formal, fonte de dados, link de código e teste; valores configuráveis ficam como política, não como constante.</t>
        </is>
      </c>
      <c r="F28" s="53" t="inlineStr">
        <is>
          <t>P1</t>
        </is>
      </c>
      <c r="G28" s="53" t="inlineStr">
        <is>
          <t>A validar</t>
        </is>
      </c>
      <c r="H28" s="53" t="inlineStr">
        <is>
          <t>RM-005</t>
        </is>
      </c>
      <c r="I28" s="53" t="inlineStr">
        <is>
          <t>Registro revisado + testes de domínio por constante/enum</t>
        </is>
      </c>
      <c r="J28" s="53" t="inlineStr">
        <is>
          <t>Resposta sobre projeções (aba Racional (Constantes)); AGENTS.md</t>
        </is>
      </c>
      <c r="K28" s="53" t="n"/>
      <c r="L28" s="53" t="n"/>
      <c r="M28" s="53" t="inlineStr">
        <is>
          <t>A validar</t>
        </is>
      </c>
      <c r="N28" s="53" t="n"/>
    </row>
    <row r="29" ht="30" customHeight="1" s="50">
      <c r="A29" s="53" t="inlineStr">
        <is>
          <t>RM-024</t>
        </is>
      </c>
      <c r="B29" s="53" t="inlineStr">
        <is>
          <t>A1</t>
        </is>
      </c>
      <c r="C29" s="53" t="inlineStr">
        <is>
          <t>Métricas e fórmulas canônicas</t>
        </is>
      </c>
      <c r="D29" s="53" t="inlineStr">
        <is>
          <t>Definir uma única fórmula testável por indicador (receita postada, aging, margem, variação orçamentária) no módulo de domínio.</t>
        </is>
      </c>
      <c r="E29" s="53" t="inlineStr">
        <is>
          <t>Nenhum dashboard implementa cálculo próprio; cada métrica tem definição canônica, fonte, dimensões e teste de reconciliação com o ledger.</t>
        </is>
      </c>
      <c r="F29" s="53" t="inlineStr">
        <is>
          <t>P1</t>
        </is>
      </c>
      <c r="G29" s="53" t="inlineStr">
        <is>
          <t>A validar</t>
        </is>
      </c>
      <c r="H29" s="53" t="inlineStr">
        <is>
          <t>RM-016</t>
        </is>
      </c>
      <c r="I29" s="53" t="inlineStr">
        <is>
          <t>Testes de cálculo + reconciliação com o ledger autoritativo</t>
        </is>
      </c>
      <c r="J29" s="53" t="inlineStr">
        <is>
          <t>Resposta sobre projeções (aba Racional (Constantes)); context/domain-app-migration.md</t>
        </is>
      </c>
      <c r="K29" s="53" t="n"/>
      <c r="L29" s="53" t="n"/>
      <c r="M29" s="53" t="inlineStr">
        <is>
          <t>A validar</t>
        </is>
      </c>
      <c r="N29" s="53" t="n"/>
    </row>
    <row r="30" ht="15" customHeight="1" s="50">
      <c r="A30" s="53" t="inlineStr">
        <is>
          <t>RM-025</t>
        </is>
      </c>
      <c r="B30" s="53" t="inlineStr">
        <is>
          <t>A1</t>
        </is>
      </c>
      <c r="C30" s="53" t="inlineStr">
        <is>
          <t>Contratos de projeção e dashboards</t>
        </is>
      </c>
      <c r="D30" s="53" t="inlineStr">
        <is>
          <t>Especificar projeções (previsão de caixa 30/60/90, realizado x orçado) e dashboards como contratos de leitura versionados.</t>
        </is>
      </c>
      <c r="E30" s="53" t="inlineStr">
        <is>
          <t>Cada projeção declara saldo inicial, data de referência, premissas versionadas, horizonte, moeda e instante de geração; nunca é exibida como saldo contábil oficial; dashboards só compõem métricas.</t>
        </is>
      </c>
      <c r="F30" s="53" t="inlineStr">
        <is>
          <t>P1</t>
        </is>
      </c>
      <c r="G30" s="53" t="inlineStr">
        <is>
          <t>A validar</t>
        </is>
      </c>
      <c r="H30" s="53" t="inlineStr">
        <is>
          <t>RM-024; RM-017</t>
        </is>
      </c>
      <c r="I30" s="53" t="inlineStr">
        <is>
          <t>Contrato de leitura + testes de projeção e de rotulagem na UI</t>
        </is>
      </c>
      <c r="J30" s="53" t="inlineStr">
        <is>
          <t>Resposta sobre projeções (aba Racional (Constantes)); context/application-architecture.md</t>
        </is>
      </c>
      <c r="K30" s="53" t="n"/>
      <c r="L30" s="53" t="n"/>
      <c r="M30" s="53" t="inlineStr">
        <is>
          <t>A validar</t>
        </is>
      </c>
      <c r="N30" s="53" t="n"/>
    </row>
    <row r="31" ht="15" customHeight="1" s="50">
      <c r="A31" s="53" t="inlineStr">
        <is>
          <t>RM-026</t>
        </is>
      </c>
      <c r="B31" s="53" t="inlineStr">
        <is>
          <t>Transversal</t>
        </is>
      </c>
      <c r="C31" s="53" t="inlineStr">
        <is>
          <t>Dependências e proprietários das definições</t>
        </is>
      </c>
      <c r="D31" s="53" t="inlineStr">
        <is>
          <t>Mapear relações entre métricas, funções, tabelas, módulos e telas na aba Dependencies e resolver proprietários pendentes.</t>
        </is>
      </c>
      <c r="E31" s="53" t="inlineStr">
        <is>
          <t>Toda definição tem proprietário explícito (ou decisão pendente registrada); nenhuma dependência aponta para ID inexistente; localização não é inventada.</t>
        </is>
      </c>
      <c r="F31" s="53" t="inlineStr">
        <is>
          <t>P2</t>
        </is>
      </c>
      <c r="G31" s="53" t="inlineStr">
        <is>
          <t>A validar</t>
        </is>
      </c>
      <c r="H31" s="53" t="inlineStr">
        <is>
          <t>RM-023; RM-024; RM-025</t>
        </is>
      </c>
      <c r="I31" s="53" t="inlineStr">
        <is>
          <t>Aba Dependencies sem alertas + decisões registradas</t>
        </is>
      </c>
      <c r="J31" s="53" t="inlineStr">
        <is>
          <t>Resposta sobre projeções (aba Racional (Constantes))</t>
        </is>
      </c>
      <c r="K31" s="53" t="n"/>
      <c r="L31" s="53" t="n"/>
      <c r="M31" s="53" t="inlineStr">
        <is>
          <t>A validar</t>
        </is>
      </c>
      <c r="N31" s="53" t="n"/>
    </row>
    <row r="32" ht="15" customHeight="1" s="50"/>
    <row r="33" ht="15" customHeight="1" s="50"/>
    <row r="34" ht="15" customHeight="1" s="50"/>
    <row r="35" ht="15" customHeight="1" s="50"/>
    <row r="36" ht="15" customHeight="1" s="50"/>
    <row r="37" ht="15" customHeight="1" s="50"/>
    <row r="38" ht="15" customHeight="1" s="50"/>
    <row r="39" ht="15" customHeight="1" s="50"/>
    <row r="40" ht="15" customHeight="1" s="50"/>
    <row r="42" ht="15" customHeight="1" s="50"/>
    <row r="43" ht="30" customHeight="1" s="50"/>
    <row r="44" ht="15" customHeight="1" s="50"/>
    <row r="45" ht="15" customHeight="1" s="50"/>
    <row r="46" ht="15" customHeight="1" s="50"/>
    <row r="47" ht="15" customHeight="1" s="50"/>
    <row r="48" ht="15" customHeight="1" s="50"/>
    <row r="49" ht="15" customHeight="1" s="50"/>
    <row r="50" ht="15" customHeight="1" s="50"/>
    <row r="51" ht="15" customHeight="1" s="50"/>
    <row r="52" ht="15" customHeight="1" s="50"/>
    <row r="53" ht="15" customHeight="1" s="50"/>
    <row r="54" ht="15" customHeight="1" s="50"/>
    <row r="55" ht="15" customHeight="1" s="50"/>
    <row r="57" ht="15" customHeight="1" s="50"/>
    <row r="58" ht="30" customHeight="1" s="50"/>
    <row r="59" ht="15" customHeight="1" s="50"/>
    <row r="60" ht="15" customHeight="1" s="50"/>
    <row r="61" ht="15" customHeight="1" s="50"/>
    <row r="62" ht="15" customHeight="1" s="50"/>
    <row r="63" ht="15" customHeight="1" s="50"/>
    <row r="64" ht="15" customHeight="1" s="50"/>
    <row r="65" ht="15" customHeight="1" s="50"/>
    <row r="66" ht="15" customHeight="1" s="50"/>
    <row r="67" ht="15" customHeight="1" s="50"/>
    <row r="68" ht="15" customHeight="1" s="50"/>
    <row r="69" ht="15" customHeight="1" s="50"/>
    <row r="70" ht="15" customHeight="1" s="50"/>
    <row r="71" ht="15" customHeight="1" s="50"/>
    <row r="72" ht="15" customHeight="1" s="50"/>
    <row r="73" ht="15" customHeight="1" s="50"/>
    <row r="74" ht="15" customHeight="1" s="50"/>
    <row r="75" ht="15" customHeight="1" s="50"/>
    <row r="76" ht="15" customHeight="1" s="50"/>
    <row r="77" ht="15" customHeight="1" s="50"/>
    <row r="78" ht="15" customHeight="1" s="50"/>
    <row r="79" ht="15" customHeight="1" s="50"/>
    <row r="80" ht="15" customHeight="1" s="50"/>
    <row r="81" ht="15" customHeight="1" s="50"/>
    <row r="82" ht="15" customHeight="1" s="50"/>
    <row r="83" ht="15" customHeight="1" s="50"/>
    <row r="84" ht="15" customHeight="1" s="50"/>
    <row r="85" ht="15" customHeight="1" s="50"/>
    <row r="86" ht="15" customHeight="1" s="50"/>
    <row r="87" ht="15" customHeight="1" s="50"/>
    <row r="88" ht="15" customHeight="1" s="50"/>
    <row r="89" ht="15" customHeight="1" s="50"/>
    <row r="90" ht="15" customHeight="1" s="50"/>
    <row r="91" ht="15" customHeight="1" s="50"/>
    <row r="92" ht="15" customHeight="1" s="50"/>
    <row r="93" ht="15" customHeight="1" s="50"/>
    <row r="95" ht="15" customHeight="1" s="50"/>
    <row r="96" ht="30" customHeight="1" s="50"/>
    <row r="97" ht="15" customHeight="1" s="50"/>
    <row r="98" ht="15" customHeight="1" s="50"/>
    <row r="99" ht="15" customHeight="1" s="50"/>
    <row r="100" ht="15" customHeight="1" s="50"/>
    <row r="101" ht="15" customHeight="1" s="50"/>
    <row r="102" ht="15" customHeight="1" s="50"/>
    <row r="103" ht="15" customHeight="1" s="50"/>
    <row r="104" ht="15" customHeight="1" s="50"/>
    <row r="105" ht="15" customHeight="1" s="50"/>
    <row r="106" ht="15" customHeight="1" s="50"/>
    <row r="107" ht="15" customHeight="1" s="50"/>
    <row r="108" ht="15" customHeight="1" s="50"/>
    <row r="109" ht="15" customHeight="1" s="50"/>
    <row r="110" ht="15" customHeight="1" s="50"/>
    <row r="111" ht="15" customHeight="1" s="50"/>
    <row r="112" ht="15" customHeight="1" s="50"/>
    <row r="113" ht="15" customHeight="1" s="50"/>
    <row r="114" ht="15" customHeight="1" s="50"/>
    <row r="115" ht="15" customHeight="1" s="50"/>
    <row r="116" ht="15" customHeight="1" s="50"/>
    <row r="117" ht="15" customHeight="1" s="50"/>
    <row r="118" ht="15" customHeight="1" s="50"/>
    <row r="119" ht="15" customHeight="1" s="50"/>
    <row r="120" ht="15" customHeight="1" s="50"/>
    <row r="121" ht="15" customHeight="1" s="50"/>
    <row r="122" ht="15" customHeight="1" s="50"/>
    <row r="123" ht="15" customHeight="1" s="50"/>
    <row r="124" ht="15" customHeight="1" s="50"/>
    <row r="125" ht="15" customHeight="1" s="50"/>
    <row r="126" ht="15" customHeight="1" s="50"/>
    <row r="127" ht="15" customHeight="1" s="50"/>
    <row r="128" ht="15" customHeight="1" s="50"/>
    <row r="129" ht="15" customHeight="1" s="50"/>
    <row r="130" ht="15" customHeight="1" s="50"/>
    <row r="131" ht="15" customHeight="1" s="50"/>
    <row r="133" ht="15" customHeight="1" s="50"/>
    <row r="134" ht="30" customHeight="1" s="50"/>
    <row r="135" ht="15" customHeight="1" s="50"/>
    <row r="136" ht="15" customHeight="1" s="50"/>
    <row r="137" ht="15" customHeight="1" s="50"/>
    <row r="138" ht="15" customHeight="1" s="50"/>
    <row r="139" ht="15" customHeight="1" s="50"/>
    <row r="140" ht="15" customHeight="1" s="50"/>
    <row r="141" ht="15" customHeight="1" s="50"/>
    <row r="142" ht="15" customHeight="1" s="50"/>
    <row r="143" ht="15" customHeight="1" s="50"/>
  </sheetData>
  <autoFilter ref="A5:N31"/>
  <conditionalFormatting sqref="M6:M200">
    <cfRule type="cellIs" rank="0" priority="2" equalAverage="0" operator="equal" aboveAverage="0" dxfId="11" text="" percent="0" bottom="0">
      <formula>"A validar"</formula>
    </cfRule>
    <cfRule type="cellIs" rank="0" priority="3" equalAverage="0" operator="equal" aboveAverage="0" dxfId="12" text="" percent="0" bottom="0">
      <formula>"Não iniciado"</formula>
    </cfRule>
    <cfRule type="cellIs" rank="0" priority="4" equalAverage="0" operator="equal" aboveAverage="0" dxfId="13" text="" percent="0" bottom="0">
      <formula>"Em andamento"</formula>
    </cfRule>
    <cfRule type="cellIs" rank="0" priority="5" equalAverage="0" operator="equal" aboveAverage="0" dxfId="14" text="" percent="0" bottom="0">
      <formula>"Parcial"</formula>
    </cfRule>
    <cfRule type="cellIs" rank="0" priority="6" equalAverage="0" operator="equal" aboveAverage="0" dxfId="15" text="" percent="0" bottom="0">
      <formula>"Concluído"</formula>
    </cfRule>
    <cfRule type="cellIs" rank="0" priority="7" equalAverage="0" operator="equal" aboveAverage="0" dxfId="16" text="" percent="0" bottom="0">
      <formula>"Bloqueado"</formula>
    </cfRule>
    <cfRule type="cellIs" rank="0" priority="8" equalAverage="0" operator="equal" aboveAverage="0" dxfId="17" text="" percent="0" bottom="0">
      <formula>"Não se aplica"</formula>
    </cfRule>
  </conditionalFormatting>
  <conditionalFormatting sqref="F6:F200">
    <cfRule type="cellIs" rank="0" priority="9" equalAverage="0" operator="equal" aboveAverage="0" dxfId="18" text="" percent="0" bottom="0">
      <formula>"P0"</formula>
    </cfRule>
    <cfRule type="cellIs" rank="0" priority="10" equalAverage="0" operator="equal" aboveAverage="0" dxfId="19" text="" percent="0" bottom="0">
      <formula>"P1"</formula>
    </cfRule>
    <cfRule type="cellIs" rank="0" priority="11" equalAverage="0" operator="equal" aboveAverage="0" dxfId="20" text="" percent="0" bottom="0">
      <formula>"P2"</formula>
    </cfRule>
  </conditionalFormatting>
  <dataValidations count="2">
    <dataValidation sqref="G6:G31" showDropDown="0" showInputMessage="0" showErrorMessage="0" allowBlank="1" type="list" errorStyle="stop" operator="between">
      <formula1>"A validar,Não iniciado,Em andamento,Parcial,Concluído,Bloqueado,Não se aplica"</formula1>
      <formula2>0</formula2>
    </dataValidation>
    <dataValidation sqref="M6:M200" showDropDown="0" showInputMessage="0" showErrorMessage="1" allowBlank="1" type="list" errorStyle="stop" operator="between">
      <formula1>"A validar,Não iniciado,Em andamento,Parcial,Concluído,Bloqueado,Não se aplica"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P400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6796875" defaultRowHeight="15" zeroHeight="0" outlineLevelRow="0"/>
  <cols>
    <col width="12" customWidth="1" style="49" min="1" max="1"/>
    <col width="27" customWidth="1" style="49" min="2" max="2"/>
    <col width="37" customWidth="1" style="49" min="3" max="3"/>
    <col width="18" customWidth="1" style="49" min="4" max="4"/>
    <col width="20" customWidth="1" style="49" min="5" max="5"/>
    <col width="22" customWidth="1" style="49" min="6" max="6"/>
    <col width="55" customWidth="1" style="49" min="7" max="7"/>
    <col width="24" customWidth="1" style="49" min="8" max="8"/>
    <col width="14" customWidth="1" style="49" min="9" max="9"/>
    <col width="30" customWidth="1" style="49" min="10" max="10"/>
    <col width="24" customWidth="1" style="49" min="11" max="11"/>
    <col width="20" customWidth="1" style="49" min="12" max="12"/>
    <col width="18" customWidth="1" style="49" min="13" max="13"/>
    <col width="32" customWidth="1" style="49" min="14" max="14"/>
    <col width="26" customWidth="1" style="49" min="15" max="15"/>
    <col width="35" customWidth="1" style="49" min="16" max="16"/>
  </cols>
  <sheetData>
    <row r="1" ht="30" customHeight="1" s="50">
      <c r="A1" s="51" t="inlineStr">
        <is>
          <t>Telas: o que preciso ter, em que fase e em que estado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</row>
    <row r="2" ht="15" customHeight="1" s="50">
      <c r="A2" s="81" t="inlineStr">
        <is>
          <t>Edite as colunas com lista suspensa e os textos. A coluna Família (cinza) é fórmula. Adicione telas nas linhas livres abaixo, usando o próximo ID sugerido na aba Leia-me. Use o filtro do cabeçalho para navegar.</t>
        </is>
      </c>
    </row>
    <row r="3" ht="41.75" customHeight="1" s="50">
      <c r="O3" s="53" t="inlineStr">
        <is>
          <t>Fase do roadmap do repositório; preencher após validar item a item.</t>
        </is>
      </c>
      <c r="P3" s="53" t="inlineStr">
        <is>
          <t>Caminho, teste, PR ou comando que prova o estado real.</t>
        </is>
      </c>
    </row>
    <row r="4" ht="43.5" customHeight="1" s="50">
      <c r="A4" s="82" t="inlineStr">
        <is>
          <t>ID</t>
        </is>
      </c>
      <c r="B4" s="82" t="inlineStr">
        <is>
          <t>Módulo</t>
        </is>
      </c>
      <c r="C4" s="82" t="inlineStr">
        <is>
          <t>Tela</t>
        </is>
      </c>
      <c r="D4" s="82" t="inlineStr">
        <is>
          <t>Arquétipo</t>
        </is>
      </c>
      <c r="E4" s="82" t="inlineStr">
        <is>
          <t>Família</t>
        </is>
      </c>
      <c r="F4" s="82" t="inlineStr">
        <is>
          <t>Entidade</t>
        </is>
      </c>
      <c r="G4" s="82" t="inlineStr">
        <is>
          <t>Descrição</t>
        </is>
      </c>
      <c r="H4" s="82" t="inlineStr">
        <is>
          <t>Fase catálogo antigo (não equivalente às fases do repo)</t>
        </is>
      </c>
      <c r="I4" s="82" t="inlineStr">
        <is>
          <t>Prioridade</t>
        </is>
      </c>
      <c r="J4" s="82" t="inlineStr">
        <is>
          <t>Status do inventário (não verificado no código)</t>
        </is>
      </c>
      <c r="K4" s="82" t="inlineStr">
        <is>
          <t>Funções (IDs)</t>
        </is>
      </c>
      <c r="L4" s="82" t="inlineStr">
        <is>
          <t>Depende de (IDs)</t>
        </is>
      </c>
      <c r="M4" s="82" t="inlineStr">
        <is>
          <t>Spec (ViewSpec)</t>
        </is>
      </c>
      <c r="N4" s="82" t="inlineStr">
        <is>
          <t>Notas</t>
        </is>
      </c>
      <c r="O4" s="83" t="inlineStr">
        <is>
          <t>Fase Kodoo (reclassificar)</t>
        </is>
      </c>
      <c r="P4" s="83" t="inlineStr">
        <is>
          <t>Evidência no repositório</t>
        </is>
      </c>
    </row>
    <row r="5" ht="15" customHeight="1" s="50">
      <c r="A5" s="84" t="inlineStr">
        <is>
          <t>T-001</t>
        </is>
      </c>
      <c r="B5" s="84" t="inlineStr">
        <is>
          <t>Shell e Navegação</t>
        </is>
      </c>
      <c r="C5" s="84" t="inlineStr">
        <is>
          <t>Login</t>
        </is>
      </c>
      <c r="D5" s="84" t="inlineStr">
        <is>
          <t>Shell</t>
        </is>
      </c>
      <c r="E5" s="85">
        <f>IF(D5="","",IFERROR(INDEX(Arquétipos!$B$5:$B$40,MATCH(D5,Arquétipos!$A$5:$A$40,0)),""))</f>
        <v/>
      </c>
      <c r="F5" s="84" t="n"/>
      <c r="G5" s="84" t="inlineStr">
        <is>
          <t>Autenticação do usuário</t>
        </is>
      </c>
      <c r="H5" s="84" t="inlineStr">
        <is>
          <t>F0</t>
        </is>
      </c>
      <c r="I5" s="84" t="inlineStr">
        <is>
          <t>Alta</t>
        </is>
      </c>
      <c r="J5" s="84" t="inlineStr">
        <is>
          <t>Planejada</t>
        </is>
      </c>
      <c r="K5" s="84" t="inlineStr">
        <is>
          <t>FN-013</t>
        </is>
      </c>
      <c r="L5" s="84" t="n"/>
      <c r="M5" s="84" t="inlineStr">
        <is>
          <t>Não</t>
        </is>
      </c>
      <c r="N5" s="84" t="n"/>
    </row>
    <row r="6" ht="15" customHeight="1" s="50">
      <c r="A6" s="84" t="inlineStr">
        <is>
          <t>T-002</t>
        </is>
      </c>
      <c r="B6" s="84" t="inlineStr">
        <is>
          <t>Shell e Navegação</t>
        </is>
      </c>
      <c r="C6" s="84" t="inlineStr">
        <is>
          <t>Lançador de módulos</t>
        </is>
      </c>
      <c r="D6" s="84" t="inlineStr">
        <is>
          <t>Launcher</t>
        </is>
      </c>
      <c r="E6" s="85">
        <f>IF(D6="","",IFERROR(INDEX(Arquétipos!$B$5:$B$40,MATCH(D6,Arquétipos!$A$5:$A$40,0)),""))</f>
        <v/>
      </c>
      <c r="F6" s="84" t="n"/>
      <c r="G6" s="84" t="inlineStr">
        <is>
          <t>Ponto de entrada; esconde módulos sem permissão</t>
        </is>
      </c>
      <c r="H6" s="84" t="inlineStr">
        <is>
          <t>F0</t>
        </is>
      </c>
      <c r="I6" s="84" t="inlineStr">
        <is>
          <t>Alta</t>
        </is>
      </c>
      <c r="J6" s="84" t="inlineStr">
        <is>
          <t>Planejada</t>
        </is>
      </c>
      <c r="K6" s="84" t="inlineStr">
        <is>
          <t>FN-014</t>
        </is>
      </c>
      <c r="L6" s="84" t="inlineStr">
        <is>
          <t>T-001</t>
        </is>
      </c>
      <c r="M6" s="84" t="inlineStr">
        <is>
          <t>Não</t>
        </is>
      </c>
      <c r="N6" s="84" t="n"/>
    </row>
    <row r="7" ht="15" customHeight="1" s="50">
      <c r="A7" s="84" t="inlineStr">
        <is>
          <t>T-003</t>
        </is>
      </c>
      <c r="B7" s="84" t="inlineStr">
        <is>
          <t>Shell e Navegação</t>
        </is>
      </c>
      <c r="C7" s="84" t="inlineStr">
        <is>
          <t>Navegação lateral e breadcrumbs</t>
        </is>
      </c>
      <c r="D7" s="84" t="inlineStr">
        <is>
          <t>Shell</t>
        </is>
      </c>
      <c r="E7" s="85">
        <f>IF(D7="","",IFERROR(INDEX(Arquétipos!$B$5:$B$40,MATCH(D7,Arquétipos!$A$5:$A$40,0)),""))</f>
        <v/>
      </c>
      <c r="F7" s="84" t="n"/>
      <c r="G7" s="84" t="n"/>
      <c r="H7" s="84" t="inlineStr">
        <is>
          <t>F0</t>
        </is>
      </c>
      <c r="I7" s="84" t="inlineStr">
        <is>
          <t>Alta</t>
        </is>
      </c>
      <c r="J7" s="84" t="inlineStr">
        <is>
          <t>Planejada</t>
        </is>
      </c>
      <c r="K7" s="84" t="n"/>
      <c r="L7" s="84" t="n"/>
      <c r="M7" s="84" t="inlineStr">
        <is>
          <t>Não</t>
        </is>
      </c>
      <c r="N7" s="84" t="n"/>
    </row>
    <row r="8" ht="23.25" customHeight="1" s="50">
      <c r="A8" s="84" t="inlineStr">
        <is>
          <t>T-004</t>
        </is>
      </c>
      <c r="B8" s="84" t="inlineStr">
        <is>
          <t>Shell e Navegação</t>
        </is>
      </c>
      <c r="C8" s="84" t="inlineStr">
        <is>
          <t>Estados padrão (carregando, vazio, erro)</t>
        </is>
      </c>
      <c r="D8" s="84" t="inlineStr">
        <is>
          <t>Shell</t>
        </is>
      </c>
      <c r="E8" s="85">
        <f>IF(D8="","",IFERROR(INDEX(Arquétipos!$B$5:$B$40,MATCH(D8,Arquétipos!$A$5:$A$40,0)),""))</f>
        <v/>
      </c>
      <c r="F8" s="84" t="n"/>
      <c r="G8" s="84" t="inlineStr">
        <is>
          <t>Componentes de ViewState usados por todos os arquétipos</t>
        </is>
      </c>
      <c r="H8" s="84" t="inlineStr">
        <is>
          <t>F0</t>
        </is>
      </c>
      <c r="I8" s="84" t="inlineStr">
        <is>
          <t>Alta</t>
        </is>
      </c>
      <c r="J8" s="84" t="inlineStr">
        <is>
          <t>Planejada</t>
        </is>
      </c>
      <c r="K8" s="84" t="n"/>
      <c r="L8" s="84" t="n"/>
      <c r="M8" s="84" t="inlineStr">
        <is>
          <t>Não</t>
        </is>
      </c>
      <c r="N8" s="84" t="n"/>
    </row>
    <row r="9" ht="15" customHeight="1" s="50">
      <c r="A9" s="84" t="inlineStr">
        <is>
          <t>T-005</t>
        </is>
      </c>
      <c r="B9" s="84" t="inlineStr">
        <is>
          <t>Shell e Navegação</t>
        </is>
      </c>
      <c r="C9" s="84" t="inlineStr">
        <is>
          <t>Acesso negado</t>
        </is>
      </c>
      <c r="D9" s="84" t="inlineStr">
        <is>
          <t>Shell</t>
        </is>
      </c>
      <c r="E9" s="85">
        <f>IF(D9="","",IFERROR(INDEX(Arquétipos!$B$5:$B$40,MATCH(D9,Arquétipos!$A$5:$A$40,0)),""))</f>
        <v/>
      </c>
      <c r="F9" s="84" t="n"/>
      <c r="G9" s="84" t="n"/>
      <c r="H9" s="84" t="inlineStr">
        <is>
          <t>F0</t>
        </is>
      </c>
      <c r="I9" s="84" t="inlineStr">
        <is>
          <t>Média</t>
        </is>
      </c>
      <c r="J9" s="84" t="inlineStr">
        <is>
          <t>Planejada</t>
        </is>
      </c>
      <c r="K9" s="84" t="inlineStr">
        <is>
          <t>FN-014</t>
        </is>
      </c>
      <c r="L9" s="84" t="n"/>
      <c r="M9" s="84" t="inlineStr">
        <is>
          <t>Não</t>
        </is>
      </c>
      <c r="N9" s="84" t="n"/>
    </row>
    <row r="10" ht="15" customHeight="1" s="50">
      <c r="A10" s="84" t="inlineStr">
        <is>
          <t>T-006</t>
        </is>
      </c>
      <c r="B10" s="84" t="inlineStr">
        <is>
          <t>Shell e Navegação</t>
        </is>
      </c>
      <c r="C10" s="84" t="inlineStr">
        <is>
          <t>Página não encontrada (404)</t>
        </is>
      </c>
      <c r="D10" s="84" t="inlineStr">
        <is>
          <t>Shell</t>
        </is>
      </c>
      <c r="E10" s="85">
        <f>IF(D10="","",IFERROR(INDEX(Arquétipos!$B$5:$B$40,MATCH(D10,Arquétipos!$A$5:$A$40,0)),""))</f>
        <v/>
      </c>
      <c r="F10" s="84" t="n"/>
      <c r="G10" s="84" t="n"/>
      <c r="H10" s="84" t="inlineStr">
        <is>
          <t>F0</t>
        </is>
      </c>
      <c r="I10" s="84" t="inlineStr">
        <is>
          <t>Baixa</t>
        </is>
      </c>
      <c r="J10" s="84" t="inlineStr">
        <is>
          <t>Planejada</t>
        </is>
      </c>
      <c r="K10" s="84" t="n"/>
      <c r="L10" s="84" t="n"/>
      <c r="M10" s="84" t="inlineStr">
        <is>
          <t>Não</t>
        </is>
      </c>
      <c r="N10" s="84" t="n"/>
    </row>
    <row r="11" ht="15" customHeight="1" s="50">
      <c r="A11" s="84" t="inlineStr">
        <is>
          <t>T-007</t>
        </is>
      </c>
      <c r="B11" s="84" t="inlineStr">
        <is>
          <t>Shell e Navegação</t>
        </is>
      </c>
      <c r="C11" s="84" t="inlineStr">
        <is>
          <t>Seleção de organização</t>
        </is>
      </c>
      <c r="D11" s="84" t="inlineStr">
        <is>
          <t>Shell</t>
        </is>
      </c>
      <c r="E11" s="85">
        <f>IF(D11="","",IFERROR(INDEX(Arquétipos!$B$5:$B$40,MATCH(D11,Arquétipos!$A$5:$A$40,0)),""))</f>
        <v/>
      </c>
      <c r="F11" s="84" t="n"/>
      <c r="G11" s="84" t="inlineStr">
        <is>
          <t>Escolher a organização ativa</t>
        </is>
      </c>
      <c r="H11" s="84" t="inlineStr">
        <is>
          <t>F2</t>
        </is>
      </c>
      <c r="I11" s="84" t="inlineStr">
        <is>
          <t>Alta</t>
        </is>
      </c>
      <c r="J11" s="84" t="inlineStr">
        <is>
          <t>Planejada</t>
        </is>
      </c>
      <c r="K11" s="84" t="inlineStr">
        <is>
          <t>FN-020</t>
        </is>
      </c>
      <c r="L11" s="84" t="inlineStr">
        <is>
          <t>T-001</t>
        </is>
      </c>
      <c r="M11" s="84" t="inlineStr">
        <is>
          <t>Não</t>
        </is>
      </c>
      <c r="N11" s="84" t="n"/>
    </row>
    <row r="12" ht="15" customHeight="1" s="50">
      <c r="A12" s="84" t="inlineStr">
        <is>
          <t>T-008</t>
        </is>
      </c>
      <c r="B12" s="84" t="inlineStr">
        <is>
          <t>Shell e Navegação</t>
        </is>
      </c>
      <c r="C12" s="84" t="inlineStr">
        <is>
          <t>Perfil do usuário</t>
        </is>
      </c>
      <c r="D12" s="84" t="inlineStr">
        <is>
          <t>Form</t>
        </is>
      </c>
      <c r="E12" s="85">
        <f>IF(D12="","",IFERROR(INDEX(Arquétipos!$B$5:$B$40,MATCH(D12,Arquétipos!$A$5:$A$40,0)),""))</f>
        <v/>
      </c>
      <c r="F12" s="84" t="n"/>
      <c r="G12" s="84" t="n"/>
      <c r="H12" s="84" t="inlineStr">
        <is>
          <t>F2</t>
        </is>
      </c>
      <c r="I12" s="84" t="inlineStr">
        <is>
          <t>Baixa</t>
        </is>
      </c>
      <c r="J12" s="84" t="inlineStr">
        <is>
          <t>Planejada</t>
        </is>
      </c>
      <c r="K12" s="84" t="n"/>
      <c r="L12" s="84" t="n"/>
      <c r="M12" s="84" t="inlineStr">
        <is>
          <t>Não</t>
        </is>
      </c>
      <c r="N12" s="84" t="n"/>
    </row>
    <row r="13" ht="23.25" customHeight="1" s="50">
      <c r="A13" s="84" t="inlineStr">
        <is>
          <t>T-009</t>
        </is>
      </c>
      <c r="B13" s="84" t="inlineStr">
        <is>
          <t>Shell e Navegação</t>
        </is>
      </c>
      <c r="C13" s="84" t="inlineStr">
        <is>
          <t>Preferências de interface (tema, idioma, densidade)</t>
        </is>
      </c>
      <c r="D13" s="84" t="inlineStr">
        <is>
          <t>Settings</t>
        </is>
      </c>
      <c r="E13" s="85">
        <f>IF(D13="","",IFERROR(INDEX(Arquétipos!$B$5:$B$40,MATCH(D13,Arquétipos!$A$5:$A$40,0)),""))</f>
        <v/>
      </c>
      <c r="F13" s="84" t="n"/>
      <c r="G13" s="84" t="n"/>
      <c r="H13" s="84" t="inlineStr">
        <is>
          <t>F2</t>
        </is>
      </c>
      <c r="I13" s="84" t="inlineStr">
        <is>
          <t>Baixa</t>
        </is>
      </c>
      <c r="J13" s="84" t="inlineStr">
        <is>
          <t>Planejada</t>
        </is>
      </c>
      <c r="K13" s="84" t="inlineStr">
        <is>
          <t>FN-010</t>
        </is>
      </c>
      <c r="L13" s="84" t="n"/>
      <c r="M13" s="84" t="inlineStr">
        <is>
          <t>Não</t>
        </is>
      </c>
      <c r="N13" s="84" t="n"/>
    </row>
    <row r="14" ht="15" customHeight="1" s="50">
      <c r="A14" s="84" t="inlineStr">
        <is>
          <t>T-010</t>
        </is>
      </c>
      <c r="B14" s="84" t="inlineStr">
        <is>
          <t>Shell e Navegação</t>
        </is>
      </c>
      <c r="C14" s="84" t="inlineStr">
        <is>
          <t>Busca global</t>
        </is>
      </c>
      <c r="D14" s="84" t="inlineStr">
        <is>
          <t>List</t>
        </is>
      </c>
      <c r="E14" s="85">
        <f>IF(D14="","",IFERROR(INDEX(Arquétipos!$B$5:$B$40,MATCH(D14,Arquétipos!$A$5:$A$40,0)),""))</f>
        <v/>
      </c>
      <c r="F14" s="84" t="n"/>
      <c r="G14" s="84" t="n"/>
      <c r="H14" s="84" t="inlineStr">
        <is>
          <t>F4</t>
        </is>
      </c>
      <c r="I14" s="84" t="inlineStr">
        <is>
          <t>Média</t>
        </is>
      </c>
      <c r="J14" s="84" t="inlineStr">
        <is>
          <t>Planejada</t>
        </is>
      </c>
      <c r="K14" s="84" t="n"/>
      <c r="L14" s="84" t="n"/>
      <c r="M14" s="84" t="inlineStr">
        <is>
          <t>Não</t>
        </is>
      </c>
      <c r="N14" s="84" t="n"/>
    </row>
    <row r="15" ht="15" customHeight="1" s="50">
      <c r="A15" s="84" t="inlineStr">
        <is>
          <t>T-011</t>
        </is>
      </c>
      <c r="B15" s="84" t="inlineStr">
        <is>
          <t>Shell e Navegação</t>
        </is>
      </c>
      <c r="C15" s="84" t="inlineStr">
        <is>
          <t>Centro de notificações</t>
        </is>
      </c>
      <c r="D15" s="84" t="inlineStr">
        <is>
          <t>List</t>
        </is>
      </c>
      <c r="E15" s="85">
        <f>IF(D15="","",IFERROR(INDEX(Arquétipos!$B$5:$B$40,MATCH(D15,Arquétipos!$A$5:$A$40,0)),""))</f>
        <v/>
      </c>
      <c r="F15" s="84" t="n"/>
      <c r="G15" s="84" t="n"/>
      <c r="H15" s="84" t="inlineStr">
        <is>
          <t>F4</t>
        </is>
      </c>
      <c r="I15" s="84" t="inlineStr">
        <is>
          <t>Baixa</t>
        </is>
      </c>
      <c r="J15" s="84" t="inlineStr">
        <is>
          <t>Planejada</t>
        </is>
      </c>
      <c r="K15" s="84" t="n"/>
      <c r="L15" s="84" t="n"/>
      <c r="M15" s="84" t="inlineStr">
        <is>
          <t>Não</t>
        </is>
      </c>
      <c r="N15" s="84" t="n"/>
    </row>
    <row r="16" ht="15" customHeight="1" s="50">
      <c r="A16" s="84" t="inlineStr">
        <is>
          <t>T-012</t>
        </is>
      </c>
      <c r="B16" s="84" t="inlineStr">
        <is>
          <t>Shell e Navegação</t>
        </is>
      </c>
      <c r="C16" s="84" t="inlineStr">
        <is>
          <t>Paleta de comandos e atalhos</t>
        </is>
      </c>
      <c r="D16" s="84" t="inlineStr">
        <is>
          <t>Shell</t>
        </is>
      </c>
      <c r="E16" s="85">
        <f>IF(D16="","",IFERROR(INDEX(Arquétipos!$B$5:$B$40,MATCH(D16,Arquétipos!$A$5:$A$40,0)),""))</f>
        <v/>
      </c>
      <c r="F16" s="84" t="n"/>
      <c r="G16" s="84" t="n"/>
      <c r="H16" s="84" t="inlineStr">
        <is>
          <t>F5</t>
        </is>
      </c>
      <c r="I16" s="84" t="inlineStr">
        <is>
          <t>Baixa</t>
        </is>
      </c>
      <c r="J16" s="84" t="inlineStr">
        <is>
          <t>Planejada</t>
        </is>
      </c>
      <c r="K16" s="84" t="n"/>
      <c r="L16" s="84" t="n"/>
      <c r="M16" s="84" t="inlineStr">
        <is>
          <t>Não</t>
        </is>
      </c>
      <c r="N16" s="84" t="n"/>
    </row>
    <row r="17" ht="15" customHeight="1" s="50">
      <c r="A17" s="84" t="inlineStr">
        <is>
          <t>T-013</t>
        </is>
      </c>
      <c r="B17" s="84" t="inlineStr">
        <is>
          <t>Shell e Navegação</t>
        </is>
      </c>
      <c r="C17" s="84" t="inlineStr">
        <is>
          <t>Recuperação de senha</t>
        </is>
      </c>
      <c r="D17" s="84" t="inlineStr">
        <is>
          <t>Shell</t>
        </is>
      </c>
      <c r="E17" s="85">
        <f>IF(D17="","",IFERROR(INDEX(Arquétipos!$B$5:$B$40,MATCH(D17,Arquétipos!$A$5:$A$40,0)),""))</f>
        <v/>
      </c>
      <c r="F17" s="84" t="n"/>
      <c r="G17" s="84" t="n"/>
      <c r="H17" s="84" t="inlineStr">
        <is>
          <t>F5</t>
        </is>
      </c>
      <c r="I17" s="84" t="inlineStr">
        <is>
          <t>Média</t>
        </is>
      </c>
      <c r="J17" s="84" t="inlineStr">
        <is>
          <t>Planejada</t>
        </is>
      </c>
      <c r="K17" s="84" t="inlineStr">
        <is>
          <t>FN-017</t>
        </is>
      </c>
      <c r="L17" s="84" t="n"/>
      <c r="M17" s="84" t="inlineStr">
        <is>
          <t>Não</t>
        </is>
      </c>
      <c r="N17" s="84" t="n"/>
    </row>
    <row r="18" ht="23.25" customHeight="1" s="50">
      <c r="A18" s="84" t="inlineStr">
        <is>
          <t>T-014</t>
        </is>
      </c>
      <c r="B18" s="84" t="inlineStr">
        <is>
          <t>Fundação e Infraestrutura</t>
        </is>
      </c>
      <c r="C18" s="84" t="inlineStr">
        <is>
          <t>Galeria de arquétipos (com fixtures)</t>
        </is>
      </c>
      <c r="D18" s="84" t="inlineStr">
        <is>
          <t>List</t>
        </is>
      </c>
      <c r="E18" s="85">
        <f>IF(D18="","",IFERROR(INDEX(Arquétipos!$B$5:$B$40,MATCH(D18,Arquétipos!$A$5:$A$40,0)),""))</f>
        <v/>
      </c>
      <c r="F18" s="84" t="n"/>
      <c r="G18" s="84" t="inlineStr">
        <is>
          <t>Mostra cada arquétipo com dados de teste; ferramenta de visualização e aprendizado</t>
        </is>
      </c>
      <c r="H18" s="84" t="inlineStr">
        <is>
          <t>F0</t>
        </is>
      </c>
      <c r="I18" s="84" t="inlineStr">
        <is>
          <t>Alta</t>
        </is>
      </c>
      <c r="J18" s="84" t="inlineStr">
        <is>
          <t>Planejada</t>
        </is>
      </c>
      <c r="K18" s="84" t="inlineStr">
        <is>
          <t>FN-002, FN-003</t>
        </is>
      </c>
      <c r="L18" s="84" t="inlineStr">
        <is>
          <t>T-003</t>
        </is>
      </c>
      <c r="M18" s="84" t="inlineStr">
        <is>
          <t>Não</t>
        </is>
      </c>
      <c r="N18" s="84" t="n"/>
    </row>
    <row r="19" ht="15" customHeight="1" s="50">
      <c r="A19" s="84" t="inlineStr">
        <is>
          <t>T-015</t>
        </is>
      </c>
      <c r="B19" s="84" t="inlineStr">
        <is>
          <t>Fundação e Infraestrutura</t>
        </is>
      </c>
      <c r="C19" s="84" t="inlineStr">
        <is>
          <t>Inspetor de ViewSpec</t>
        </is>
      </c>
      <c r="D19" s="84" t="inlineStr">
        <is>
          <t>Detail</t>
        </is>
      </c>
      <c r="E19" s="85">
        <f>IF(D19="","",IFERROR(INDEX(Arquétipos!$B$5:$B$40,MATCH(D19,Arquétipos!$A$5:$A$40,0)),""))</f>
        <v/>
      </c>
      <c r="F19" s="84" t="n"/>
      <c r="G19" s="84" t="inlineStr">
        <is>
          <t>Exibe a spec de cada tela e os erros de validação</t>
        </is>
      </c>
      <c r="H19" s="84" t="inlineStr">
        <is>
          <t>F0</t>
        </is>
      </c>
      <c r="I19" s="84" t="inlineStr">
        <is>
          <t>Média</t>
        </is>
      </c>
      <c r="J19" s="84" t="inlineStr">
        <is>
          <t>Planejada</t>
        </is>
      </c>
      <c r="K19" s="84" t="inlineStr">
        <is>
          <t>FN-001</t>
        </is>
      </c>
      <c r="L19" s="84" t="inlineStr">
        <is>
          <t>T-014</t>
        </is>
      </c>
      <c r="M19" s="84" t="inlineStr">
        <is>
          <t>Não</t>
        </is>
      </c>
      <c r="N19" s="84" t="n"/>
    </row>
    <row r="20" ht="15" customHeight="1" s="50">
      <c r="A20" s="84" t="inlineStr">
        <is>
          <t>T-016</t>
        </is>
      </c>
      <c r="B20" s="84" t="inlineStr">
        <is>
          <t>Fundação e Infraestrutura</t>
        </is>
      </c>
      <c r="C20" s="84" t="inlineStr">
        <is>
          <t>Painel de verificação de funções (Ratatui)</t>
        </is>
      </c>
      <c r="D20" s="84" t="inlineStr">
        <is>
          <t>Shell</t>
        </is>
      </c>
      <c r="E20" s="85">
        <f>IF(D20="","",IFERROR(INDEX(Arquétipos!$B$5:$B$40,MATCH(D20,Arquétipos!$A$5:$A$40,0)),""))</f>
        <v/>
      </c>
      <c r="F20" s="84" t="n"/>
      <c r="G20" s="84" t="inlineStr">
        <is>
          <t>Verifica funções de domínio sem passar pela UI</t>
        </is>
      </c>
      <c r="H20" s="84" t="inlineStr">
        <is>
          <t>F1</t>
        </is>
      </c>
      <c r="I20" s="84" t="inlineStr">
        <is>
          <t>Média</t>
        </is>
      </c>
      <c r="J20" s="84" t="inlineStr">
        <is>
          <t>Planejada</t>
        </is>
      </c>
      <c r="K20" s="84" t="inlineStr">
        <is>
          <t>FN-008, FN-007</t>
        </is>
      </c>
      <c r="L20" s="84" t="n"/>
      <c r="M20" s="84" t="inlineStr">
        <is>
          <t>Não</t>
        </is>
      </c>
      <c r="N20" s="84" t="n"/>
    </row>
    <row r="21" ht="15" customHeight="1" s="50">
      <c r="A21" s="84" t="inlineStr">
        <is>
          <t>T-017</t>
        </is>
      </c>
      <c r="B21" s="84" t="inlineStr">
        <is>
          <t>Administração e Segurança</t>
        </is>
      </c>
      <c r="C21" s="84" t="inlineStr">
        <is>
          <t>Organizações</t>
        </is>
      </c>
      <c r="D21" s="84" t="inlineStr">
        <is>
          <t>List</t>
        </is>
      </c>
      <c r="E21" s="85">
        <f>IF(D21="","",IFERROR(INDEX(Arquétipos!$B$5:$B$40,MATCH(D21,Arquétipos!$A$5:$A$40,0)),""))</f>
        <v/>
      </c>
      <c r="F21" s="84" t="n"/>
      <c r="G21" s="84" t="n"/>
      <c r="H21" s="84" t="inlineStr">
        <is>
          <t>F2</t>
        </is>
      </c>
      <c r="I21" s="84" t="inlineStr">
        <is>
          <t>Alta</t>
        </is>
      </c>
      <c r="J21" s="84" t="inlineStr">
        <is>
          <t>Planejada</t>
        </is>
      </c>
      <c r="K21" s="84" t="inlineStr">
        <is>
          <t>FN-020</t>
        </is>
      </c>
      <c r="L21" s="84" t="inlineStr">
        <is>
          <t>T-002</t>
        </is>
      </c>
      <c r="M21" s="84" t="inlineStr">
        <is>
          <t>Não</t>
        </is>
      </c>
      <c r="N21" s="84" t="n"/>
    </row>
    <row r="22" ht="15" customHeight="1" s="50">
      <c r="A22" s="84" t="inlineStr">
        <is>
          <t>T-018</t>
        </is>
      </c>
      <c r="B22" s="84" t="inlineStr">
        <is>
          <t>Administração e Segurança</t>
        </is>
      </c>
      <c r="C22" s="84" t="inlineStr">
        <is>
          <t>Organização</t>
        </is>
      </c>
      <c r="D22" s="84" t="inlineStr">
        <is>
          <t>Form</t>
        </is>
      </c>
      <c r="E22" s="85">
        <f>IF(D22="","",IFERROR(INDEX(Arquétipos!$B$5:$B$40,MATCH(D22,Arquétipos!$A$5:$A$40,0)),""))</f>
        <v/>
      </c>
      <c r="F22" s="84" t="n"/>
      <c r="G22" s="84" t="n"/>
      <c r="H22" s="84" t="inlineStr">
        <is>
          <t>F2</t>
        </is>
      </c>
      <c r="I22" s="84" t="inlineStr">
        <is>
          <t>Alta</t>
        </is>
      </c>
      <c r="J22" s="84" t="inlineStr">
        <is>
          <t>Planejada</t>
        </is>
      </c>
      <c r="K22" s="84" t="inlineStr">
        <is>
          <t>FN-020</t>
        </is>
      </c>
      <c r="L22" s="84" t="n"/>
      <c r="M22" s="84" t="inlineStr">
        <is>
          <t>Não</t>
        </is>
      </c>
      <c r="N22" s="84" t="n"/>
    </row>
    <row r="23" ht="15" customHeight="1" s="50">
      <c r="A23" s="84" t="inlineStr">
        <is>
          <t>T-019</t>
        </is>
      </c>
      <c r="B23" s="84" t="inlineStr">
        <is>
          <t>Administração e Segurança</t>
        </is>
      </c>
      <c r="C23" s="84" t="inlineStr">
        <is>
          <t>Parâmetros gerais</t>
        </is>
      </c>
      <c r="D23" s="84" t="inlineStr">
        <is>
          <t>Settings</t>
        </is>
      </c>
      <c r="E23" s="85">
        <f>IF(D23="","",IFERROR(INDEX(Arquétipos!$B$5:$B$40,MATCH(D23,Arquétipos!$A$5:$A$40,0)),""))</f>
        <v/>
      </c>
      <c r="F23" s="84" t="n"/>
      <c r="G23" s="84" t="n"/>
      <c r="H23" s="84" t="inlineStr">
        <is>
          <t>F2</t>
        </is>
      </c>
      <c r="I23" s="84" t="inlineStr">
        <is>
          <t>Média</t>
        </is>
      </c>
      <c r="J23" s="84" t="inlineStr">
        <is>
          <t>Planejada</t>
        </is>
      </c>
      <c r="K23" s="84" t="inlineStr">
        <is>
          <t>FN-021</t>
        </is>
      </c>
      <c r="L23" s="84" t="n"/>
      <c r="M23" s="84" t="inlineStr">
        <is>
          <t>Não</t>
        </is>
      </c>
      <c r="N23" s="84" t="n"/>
    </row>
    <row r="24" ht="15" customHeight="1" s="50">
      <c r="A24" s="84" t="inlineStr">
        <is>
          <t>T-020</t>
        </is>
      </c>
      <c r="B24" s="84" t="inlineStr">
        <is>
          <t>Administração e Segurança</t>
        </is>
      </c>
      <c r="C24" s="84" t="inlineStr">
        <is>
          <t>Sequências de numeração</t>
        </is>
      </c>
      <c r="D24" s="84" t="inlineStr">
        <is>
          <t>Settings</t>
        </is>
      </c>
      <c r="E24" s="85">
        <f>IF(D24="","",IFERROR(INDEX(Arquétipos!$B$5:$B$40,MATCH(D24,Arquétipos!$A$5:$A$40,0)),""))</f>
        <v/>
      </c>
      <c r="F24" s="84" t="n"/>
      <c r="G24" s="84" t="n"/>
      <c r="H24" s="84" t="inlineStr">
        <is>
          <t>F2</t>
        </is>
      </c>
      <c r="I24" s="84" t="inlineStr">
        <is>
          <t>Média</t>
        </is>
      </c>
      <c r="J24" s="84" t="inlineStr">
        <is>
          <t>Planejada</t>
        </is>
      </c>
      <c r="K24" s="84" t="inlineStr">
        <is>
          <t>FN-022, FN-037</t>
        </is>
      </c>
      <c r="L24" s="84" t="n"/>
      <c r="M24" s="84" t="inlineStr">
        <is>
          <t>Não</t>
        </is>
      </c>
      <c r="N24" s="84" t="n"/>
    </row>
    <row r="25" ht="15" customHeight="1" s="50">
      <c r="A25" s="84" t="inlineStr">
        <is>
          <t>T-021</t>
        </is>
      </c>
      <c r="B25" s="84" t="inlineStr">
        <is>
          <t>Administração e Segurança</t>
        </is>
      </c>
      <c r="C25" s="84" t="inlineStr">
        <is>
          <t>Usuários</t>
        </is>
      </c>
      <c r="D25" s="84" t="inlineStr">
        <is>
          <t>List</t>
        </is>
      </c>
      <c r="E25" s="85">
        <f>IF(D25="","",IFERROR(INDEX(Arquétipos!$B$5:$B$40,MATCH(D25,Arquétipos!$A$5:$A$40,0)),""))</f>
        <v/>
      </c>
      <c r="F25" s="84" t="n"/>
      <c r="G25" s="84" t="n"/>
      <c r="H25" s="84" t="inlineStr">
        <is>
          <t>F5</t>
        </is>
      </c>
      <c r="I25" s="84" t="inlineStr">
        <is>
          <t>Média</t>
        </is>
      </c>
      <c r="J25" s="84" t="inlineStr">
        <is>
          <t>Planejada</t>
        </is>
      </c>
      <c r="K25" s="84" t="inlineStr">
        <is>
          <t>FN-018</t>
        </is>
      </c>
      <c r="L25" s="84" t="n"/>
      <c r="M25" s="84" t="inlineStr">
        <is>
          <t>Não</t>
        </is>
      </c>
      <c r="N25" s="84" t="n"/>
    </row>
    <row r="26" ht="15" customHeight="1" s="50">
      <c r="A26" s="84" t="inlineStr">
        <is>
          <t>T-022</t>
        </is>
      </c>
      <c r="B26" s="84" t="inlineStr">
        <is>
          <t>Administração e Segurança</t>
        </is>
      </c>
      <c r="C26" s="84" t="inlineStr">
        <is>
          <t>Usuário</t>
        </is>
      </c>
      <c r="D26" s="84" t="inlineStr">
        <is>
          <t>Form</t>
        </is>
      </c>
      <c r="E26" s="85">
        <f>IF(D26="","",IFERROR(INDEX(Arquétipos!$B$5:$B$40,MATCH(D26,Arquétipos!$A$5:$A$40,0)),""))</f>
        <v/>
      </c>
      <c r="F26" s="84" t="n"/>
      <c r="G26" s="84" t="n"/>
      <c r="H26" s="84" t="inlineStr">
        <is>
          <t>F5</t>
        </is>
      </c>
      <c r="I26" s="84" t="inlineStr">
        <is>
          <t>Média</t>
        </is>
      </c>
      <c r="J26" s="84" t="inlineStr">
        <is>
          <t>Planejada</t>
        </is>
      </c>
      <c r="K26" s="84" t="inlineStr">
        <is>
          <t>FN-018</t>
        </is>
      </c>
      <c r="L26" s="84" t="n"/>
      <c r="M26" s="84" t="inlineStr">
        <is>
          <t>Não</t>
        </is>
      </c>
      <c r="N26" s="84" t="n"/>
    </row>
    <row r="27" ht="15" customHeight="1" s="50">
      <c r="A27" s="84" t="inlineStr">
        <is>
          <t>T-023</t>
        </is>
      </c>
      <c r="B27" s="84" t="inlineStr">
        <is>
          <t>Administração e Segurança</t>
        </is>
      </c>
      <c r="C27" s="84" t="inlineStr">
        <is>
          <t>Papéis</t>
        </is>
      </c>
      <c r="D27" s="84" t="inlineStr">
        <is>
          <t>List</t>
        </is>
      </c>
      <c r="E27" s="85">
        <f>IF(D27="","",IFERROR(INDEX(Arquétipos!$B$5:$B$40,MATCH(D27,Arquétipos!$A$5:$A$40,0)),""))</f>
        <v/>
      </c>
      <c r="F27" s="84" t="n"/>
      <c r="G27" s="84" t="n"/>
      <c r="H27" s="84" t="inlineStr">
        <is>
          <t>F5</t>
        </is>
      </c>
      <c r="I27" s="84" t="inlineStr">
        <is>
          <t>Média</t>
        </is>
      </c>
      <c r="J27" s="84" t="inlineStr">
        <is>
          <t>Planejada</t>
        </is>
      </c>
      <c r="K27" s="84" t="inlineStr">
        <is>
          <t>FN-019</t>
        </is>
      </c>
      <c r="L27" s="84" t="n"/>
      <c r="M27" s="84" t="inlineStr">
        <is>
          <t>Não</t>
        </is>
      </c>
      <c r="N27" s="84" t="n"/>
    </row>
    <row r="28" ht="15" customHeight="1" s="50">
      <c r="A28" s="84" t="inlineStr">
        <is>
          <t>T-024</t>
        </is>
      </c>
      <c r="B28" s="84" t="inlineStr">
        <is>
          <t>Administração e Segurança</t>
        </is>
      </c>
      <c r="C28" s="84" t="inlineStr">
        <is>
          <t>Papel e permissões</t>
        </is>
      </c>
      <c r="D28" s="84" t="inlineStr">
        <is>
          <t>MasterDetail</t>
        </is>
      </c>
      <c r="E28" s="85">
        <f>IF(D28="","",IFERROR(INDEX(Arquétipos!$B$5:$B$40,MATCH(D28,Arquétipos!$A$5:$A$40,0)),""))</f>
        <v/>
      </c>
      <c r="F28" s="84" t="n"/>
      <c r="G28" s="84" t="n"/>
      <c r="H28" s="84" t="inlineStr">
        <is>
          <t>F5</t>
        </is>
      </c>
      <c r="I28" s="84" t="inlineStr">
        <is>
          <t>Média</t>
        </is>
      </c>
      <c r="J28" s="84" t="inlineStr">
        <is>
          <t>Planejada</t>
        </is>
      </c>
      <c r="K28" s="84" t="inlineStr">
        <is>
          <t>FN-019</t>
        </is>
      </c>
      <c r="L28" s="84" t="n"/>
      <c r="M28" s="84" t="inlineStr">
        <is>
          <t>Não</t>
        </is>
      </c>
      <c r="N28" s="84" t="n"/>
    </row>
    <row r="29" ht="15" customHeight="1" s="50">
      <c r="A29" s="84" t="inlineStr">
        <is>
          <t>T-025</t>
        </is>
      </c>
      <c r="B29" s="84" t="inlineStr">
        <is>
          <t>Administração e Segurança</t>
        </is>
      </c>
      <c r="C29" s="84" t="inlineStr">
        <is>
          <t>Matriz papel × permissão</t>
        </is>
      </c>
      <c r="D29" s="84" t="inlineStr">
        <is>
          <t>Mapping</t>
        </is>
      </c>
      <c r="E29" s="85">
        <f>IF(D29="","",IFERROR(INDEX(Arquétipos!$B$5:$B$40,MATCH(D29,Arquétipos!$A$5:$A$40,0)),""))</f>
        <v/>
      </c>
      <c r="F29" s="84" t="n"/>
      <c r="G29" s="84" t="n"/>
      <c r="H29" s="84" t="inlineStr">
        <is>
          <t>F5</t>
        </is>
      </c>
      <c r="I29" s="84" t="inlineStr">
        <is>
          <t>Média</t>
        </is>
      </c>
      <c r="J29" s="84" t="inlineStr">
        <is>
          <t>Planejada</t>
        </is>
      </c>
      <c r="K29" s="84" t="inlineStr">
        <is>
          <t>FN-019</t>
        </is>
      </c>
      <c r="L29" s="84" t="n"/>
      <c r="M29" s="84" t="inlineStr">
        <is>
          <t>Não</t>
        </is>
      </c>
      <c r="N29" s="84" t="n"/>
    </row>
    <row r="30" ht="15" customHeight="1" s="50">
      <c r="A30" s="84" t="inlineStr">
        <is>
          <t>T-026</t>
        </is>
      </c>
      <c r="B30" s="84" t="inlineStr">
        <is>
          <t>Administração e Segurança</t>
        </is>
      </c>
      <c r="C30" s="84" t="inlineStr">
        <is>
          <t>Sessões ativas</t>
        </is>
      </c>
      <c r="D30" s="84" t="inlineStr">
        <is>
          <t>List</t>
        </is>
      </c>
      <c r="E30" s="85">
        <f>IF(D30="","",IFERROR(INDEX(Arquétipos!$B$5:$B$40,MATCH(D30,Arquétipos!$A$5:$A$40,0)),""))</f>
        <v/>
      </c>
      <c r="F30" s="84" t="n"/>
      <c r="G30" s="84" t="n"/>
      <c r="H30" s="84" t="inlineStr">
        <is>
          <t>F5</t>
        </is>
      </c>
      <c r="I30" s="84" t="inlineStr">
        <is>
          <t>Baixa</t>
        </is>
      </c>
      <c r="J30" s="84" t="inlineStr">
        <is>
          <t>Planejada</t>
        </is>
      </c>
      <c r="K30" s="84" t="inlineStr">
        <is>
          <t>FN-015</t>
        </is>
      </c>
      <c r="L30" s="84" t="n"/>
      <c r="M30" s="84" t="inlineStr">
        <is>
          <t>Não</t>
        </is>
      </c>
      <c r="N30" s="84" t="n"/>
    </row>
    <row r="31" ht="15" customHeight="1" s="50">
      <c r="A31" s="84" t="inlineStr">
        <is>
          <t>T-027</t>
        </is>
      </c>
      <c r="B31" s="84" t="inlineStr">
        <is>
          <t>Administração e Segurança</t>
        </is>
      </c>
      <c r="C31" s="84" t="inlineStr">
        <is>
          <t>Autenticação em dois fatores</t>
        </is>
      </c>
      <c r="D31" s="84" t="inlineStr">
        <is>
          <t>Settings</t>
        </is>
      </c>
      <c r="E31" s="85">
        <f>IF(D31="","",IFERROR(INDEX(Arquétipos!$B$5:$B$40,MATCH(D31,Arquétipos!$A$5:$A$40,0)),""))</f>
        <v/>
      </c>
      <c r="F31" s="84" t="n"/>
      <c r="G31" s="84" t="n"/>
      <c r="H31" s="84" t="inlineStr">
        <is>
          <t>F5</t>
        </is>
      </c>
      <c r="I31" s="84" t="inlineStr">
        <is>
          <t>Média</t>
        </is>
      </c>
      <c r="J31" s="84" t="inlineStr">
        <is>
          <t>Planejada</t>
        </is>
      </c>
      <c r="K31" s="84" t="inlineStr">
        <is>
          <t>FN-016</t>
        </is>
      </c>
      <c r="L31" s="84" t="n"/>
      <c r="M31" s="84" t="inlineStr">
        <is>
          <t>Não</t>
        </is>
      </c>
      <c r="N31" s="84" t="n"/>
    </row>
    <row r="32" ht="15" customHeight="1" s="50">
      <c r="A32" s="84" t="inlineStr">
        <is>
          <t>T-028</t>
        </is>
      </c>
      <c r="B32" s="84" t="inlineStr">
        <is>
          <t>Administração e Segurança</t>
        </is>
      </c>
      <c r="C32" s="84" t="inlineStr">
        <is>
          <t>Log de acessos</t>
        </is>
      </c>
      <c r="D32" s="84" t="inlineStr">
        <is>
          <t>AuditTrail</t>
        </is>
      </c>
      <c r="E32" s="85">
        <f>IF(D32="","",IFERROR(INDEX(Arquétipos!$B$5:$B$40,MATCH(D32,Arquétipos!$A$5:$A$40,0)),""))</f>
        <v/>
      </c>
      <c r="F32" s="84" t="n"/>
      <c r="G32" s="84" t="n"/>
      <c r="H32" s="84" t="inlineStr">
        <is>
          <t>F5</t>
        </is>
      </c>
      <c r="I32" s="84" t="inlineStr">
        <is>
          <t>Baixa</t>
        </is>
      </c>
      <c r="J32" s="84" t="inlineStr">
        <is>
          <t>Planejada</t>
        </is>
      </c>
      <c r="K32" s="84" t="inlineStr">
        <is>
          <t>FN-113</t>
        </is>
      </c>
      <c r="L32" s="84" t="n"/>
      <c r="M32" s="84" t="inlineStr">
        <is>
          <t>Não</t>
        </is>
      </c>
      <c r="N32" s="84" t="n"/>
    </row>
    <row r="33" ht="15" customHeight="1" s="50">
      <c r="A33" s="84" t="inlineStr">
        <is>
          <t>T-029</t>
        </is>
      </c>
      <c r="B33" s="84" t="inlineStr">
        <is>
          <t>Administração e Segurança</t>
        </is>
      </c>
      <c r="C33" s="84" t="inlineStr">
        <is>
          <t>Integrações e chaves de API</t>
        </is>
      </c>
      <c r="D33" s="84" t="inlineStr">
        <is>
          <t>Settings</t>
        </is>
      </c>
      <c r="E33" s="85">
        <f>IF(D33="","",IFERROR(INDEX(Arquétipos!$B$5:$B$40,MATCH(D33,Arquétipos!$A$5:$A$40,0)),""))</f>
        <v/>
      </c>
      <c r="F33" s="84" t="n"/>
      <c r="G33" s="84" t="n"/>
      <c r="H33" s="84" t="inlineStr">
        <is>
          <t>F6</t>
        </is>
      </c>
      <c r="I33" s="84" t="inlineStr">
        <is>
          <t>Baixa</t>
        </is>
      </c>
      <c r="J33" s="84" t="inlineStr">
        <is>
          <t>Planejada</t>
        </is>
      </c>
      <c r="K33" s="84" t="inlineStr">
        <is>
          <t>FN-111</t>
        </is>
      </c>
      <c r="L33" s="84" t="n"/>
      <c r="M33" s="84" t="inlineStr">
        <is>
          <t>Não</t>
        </is>
      </c>
      <c r="N33" s="84" t="n"/>
    </row>
    <row r="34" ht="15" customHeight="1" s="50">
      <c r="A34" s="84" t="inlineStr">
        <is>
          <t>T-030</t>
        </is>
      </c>
      <c r="B34" s="84" t="inlineStr">
        <is>
          <t>Administração e Segurança</t>
        </is>
      </c>
      <c r="C34" s="84" t="inlineStr">
        <is>
          <t>Backup e restauração</t>
        </is>
      </c>
      <c r="D34" s="84" t="inlineStr">
        <is>
          <t>Wizard</t>
        </is>
      </c>
      <c r="E34" s="85">
        <f>IF(D34="","",IFERROR(INDEX(Arquétipos!$B$5:$B$40,MATCH(D34,Arquétipos!$A$5:$A$40,0)),""))</f>
        <v/>
      </c>
      <c r="F34" s="84" t="n"/>
      <c r="G34" s="84" t="n"/>
      <c r="H34" s="84" t="inlineStr">
        <is>
          <t>F6</t>
        </is>
      </c>
      <c r="I34" s="84" t="inlineStr">
        <is>
          <t>Média</t>
        </is>
      </c>
      <c r="J34" s="84" t="inlineStr">
        <is>
          <t>Planejada</t>
        </is>
      </c>
      <c r="K34" s="84" t="inlineStr">
        <is>
          <t>FN-012</t>
        </is>
      </c>
      <c r="L34" s="84" t="n"/>
      <c r="M34" s="84" t="inlineStr">
        <is>
          <t>Não</t>
        </is>
      </c>
      <c r="N34" s="84" t="n"/>
    </row>
    <row r="35" ht="15" customHeight="1" s="50">
      <c r="A35" s="84" t="inlineStr">
        <is>
          <t>T-031</t>
        </is>
      </c>
      <c r="B35" s="84" t="inlineStr">
        <is>
          <t>Plano de Contas</t>
        </is>
      </c>
      <c r="C35" s="84" t="inlineStr">
        <is>
          <t>Plano de contas</t>
        </is>
      </c>
      <c r="D35" s="84" t="inlineStr">
        <is>
          <t>Tree</t>
        </is>
      </c>
      <c r="E35" s="85">
        <f>IF(D35="","",IFERROR(INDEX(Arquétipos!$B$5:$B$40,MATCH(D35,Arquétipos!$A$5:$A$40,0)),""))</f>
        <v/>
      </c>
      <c r="F35" s="84" t="inlineStr">
        <is>
          <t>conta</t>
        </is>
      </c>
      <c r="G35" s="84" t="inlineStr">
        <is>
          <t>Hierarquia de contas; primeira fatia vertical</t>
        </is>
      </c>
      <c r="H35" s="84" t="inlineStr">
        <is>
          <t>F1</t>
        </is>
      </c>
      <c r="I35" s="84" t="inlineStr">
        <is>
          <t>Alta</t>
        </is>
      </c>
      <c r="J35" s="84" t="inlineStr">
        <is>
          <t>Planejada</t>
        </is>
      </c>
      <c r="K35" s="84" t="inlineStr">
        <is>
          <t>FN-026, FN-029</t>
        </is>
      </c>
      <c r="L35" s="84" t="inlineStr">
        <is>
          <t>T-003</t>
        </is>
      </c>
      <c r="M35" s="84" t="inlineStr">
        <is>
          <t>Não</t>
        </is>
      </c>
      <c r="N35" s="84" t="n"/>
    </row>
    <row r="36" ht="23.25" customHeight="1" s="50">
      <c r="A36" s="84" t="inlineStr">
        <is>
          <t>T-032</t>
        </is>
      </c>
      <c r="B36" s="84" t="inlineStr">
        <is>
          <t>Plano de Contas</t>
        </is>
      </c>
      <c r="C36" s="84" t="inlineStr">
        <is>
          <t>Conta</t>
        </is>
      </c>
      <c r="D36" s="84" t="inlineStr">
        <is>
          <t>Form</t>
        </is>
      </c>
      <c r="E36" s="85">
        <f>IF(D36="","",IFERROR(INDEX(Arquétipos!$B$5:$B$40,MATCH(D36,Arquétipos!$A$5:$A$40,0)),""))</f>
        <v/>
      </c>
      <c r="F36" s="84" t="inlineStr">
        <is>
          <t>conta</t>
        </is>
      </c>
      <c r="G36" s="84" t="n"/>
      <c r="H36" s="84" t="inlineStr">
        <is>
          <t>F1</t>
        </is>
      </c>
      <c r="I36" s="84" t="inlineStr">
        <is>
          <t>Alta</t>
        </is>
      </c>
      <c r="J36" s="84" t="inlineStr">
        <is>
          <t>Planejada</t>
        </is>
      </c>
      <c r="K36" s="84" t="inlineStr">
        <is>
          <t>FN-027, FN-028, FN-024, FN-023, FN-025</t>
        </is>
      </c>
      <c r="L36" s="84" t="inlineStr">
        <is>
          <t>T-031</t>
        </is>
      </c>
      <c r="M36" s="84" t="inlineStr">
        <is>
          <t>Não</t>
        </is>
      </c>
      <c r="N36" s="84" t="n"/>
    </row>
    <row r="37" ht="15" customHeight="1" s="50">
      <c r="A37" s="84" t="inlineStr">
        <is>
          <t>T-033</t>
        </is>
      </c>
      <c r="B37" s="84" t="inlineStr">
        <is>
          <t>Plano de Contas</t>
        </is>
      </c>
      <c r="C37" s="84" t="inlineStr">
        <is>
          <t>Detalhe da conta (saldo e movimento)</t>
        </is>
      </c>
      <c r="D37" s="84" t="inlineStr">
        <is>
          <t>Detail</t>
        </is>
      </c>
      <c r="E37" s="85">
        <f>IF(D37="","",IFERROR(INDEX(Arquétipos!$B$5:$B$40,MATCH(D37,Arquétipos!$A$5:$A$40,0)),""))</f>
        <v/>
      </c>
      <c r="F37" s="84" t="inlineStr">
        <is>
          <t>conta</t>
        </is>
      </c>
      <c r="G37" s="84" t="n"/>
      <c r="H37" s="84" t="inlineStr">
        <is>
          <t>F1</t>
        </is>
      </c>
      <c r="I37" s="84" t="inlineStr">
        <is>
          <t>Média</t>
        </is>
      </c>
      <c r="J37" s="84" t="inlineStr">
        <is>
          <t>Planejada</t>
        </is>
      </c>
      <c r="K37" s="84" t="inlineStr">
        <is>
          <t>FN-051, FN-052</t>
        </is>
      </c>
      <c r="L37" s="84" t="inlineStr">
        <is>
          <t>T-031</t>
        </is>
      </c>
      <c r="M37" s="84" t="inlineStr">
        <is>
          <t>Não</t>
        </is>
      </c>
      <c r="N37" s="84" t="n"/>
    </row>
    <row r="38" ht="15" customHeight="1" s="50">
      <c r="A38" s="84" t="inlineStr">
        <is>
          <t>T-034</t>
        </is>
      </c>
      <c r="B38" s="84" t="inlineStr">
        <is>
          <t>Plano de Contas</t>
        </is>
      </c>
      <c r="C38" s="84" t="inlineStr">
        <is>
          <t>Naturezas e tipos de conta</t>
        </is>
      </c>
      <c r="D38" s="84" t="inlineStr">
        <is>
          <t>List</t>
        </is>
      </c>
      <c r="E38" s="85">
        <f>IF(D38="","",IFERROR(INDEX(Arquétipos!$B$5:$B$40,MATCH(D38,Arquétipos!$A$5:$A$40,0)),""))</f>
        <v/>
      </c>
      <c r="F38" s="84" t="n"/>
      <c r="G38" s="84" t="n"/>
      <c r="H38" s="84" t="inlineStr">
        <is>
          <t>F1</t>
        </is>
      </c>
      <c r="I38" s="84" t="inlineStr">
        <is>
          <t>Média</t>
        </is>
      </c>
      <c r="J38" s="84" t="inlineStr">
        <is>
          <t>Planejada</t>
        </is>
      </c>
      <c r="K38" s="84" t="n"/>
      <c r="L38" s="84" t="n"/>
      <c r="M38" s="84" t="inlineStr">
        <is>
          <t>Não</t>
        </is>
      </c>
      <c r="N38" s="84" t="n"/>
    </row>
    <row r="39" ht="15" customHeight="1" s="50">
      <c r="A39" s="84" t="inlineStr">
        <is>
          <t>T-035</t>
        </is>
      </c>
      <c r="B39" s="84" t="inlineStr">
        <is>
          <t>Plano de Contas</t>
        </is>
      </c>
      <c r="C39" s="84" t="inlineStr">
        <is>
          <t>Importar plano de contas</t>
        </is>
      </c>
      <c r="D39" s="84" t="inlineStr">
        <is>
          <t>Import</t>
        </is>
      </c>
      <c r="E39" s="85">
        <f>IF(D39="","",IFERROR(INDEX(Arquétipos!$B$5:$B$40,MATCH(D39,Arquétipos!$A$5:$A$40,0)),""))</f>
        <v/>
      </c>
      <c r="F39" s="84" t="n"/>
      <c r="G39" s="84" t="n"/>
      <c r="H39" s="84" t="inlineStr">
        <is>
          <t>F2</t>
        </is>
      </c>
      <c r="I39" s="84" t="inlineStr">
        <is>
          <t>Média</t>
        </is>
      </c>
      <c r="J39" s="84" t="inlineStr">
        <is>
          <t>Planejada</t>
        </is>
      </c>
      <c r="K39" s="84" t="inlineStr">
        <is>
          <t>FN-031, FN-109</t>
        </is>
      </c>
      <c r="L39" s="84" t="inlineStr">
        <is>
          <t>T-031</t>
        </is>
      </c>
      <c r="M39" s="84" t="inlineStr">
        <is>
          <t>Não</t>
        </is>
      </c>
      <c r="N39" s="84" t="n"/>
    </row>
    <row r="40" ht="15" customHeight="1" s="50">
      <c r="A40" s="84" t="inlineStr">
        <is>
          <t>T-036</t>
        </is>
      </c>
      <c r="B40" s="84" t="inlineStr">
        <is>
          <t>Plano de Contas</t>
        </is>
      </c>
      <c r="C40" s="84" t="inlineStr">
        <is>
          <t>Mapeamento para plano referencial</t>
        </is>
      </c>
      <c r="D40" s="84" t="inlineStr">
        <is>
          <t>Mapping</t>
        </is>
      </c>
      <c r="E40" s="85">
        <f>IF(D40="","",IFERROR(INDEX(Arquétipos!$B$5:$B$40,MATCH(D40,Arquétipos!$A$5:$A$40,0)),""))</f>
        <v/>
      </c>
      <c r="F40" s="84" t="n"/>
      <c r="G40" s="84" t="n"/>
      <c r="H40" s="84" t="inlineStr">
        <is>
          <t>F3</t>
        </is>
      </c>
      <c r="I40" s="84" t="inlineStr">
        <is>
          <t>Média</t>
        </is>
      </c>
      <c r="J40" s="84" t="inlineStr">
        <is>
          <t>Planejada</t>
        </is>
      </c>
      <c r="K40" s="84" t="inlineStr">
        <is>
          <t>FN-032</t>
        </is>
      </c>
      <c r="L40" s="84" t="inlineStr">
        <is>
          <t>T-031</t>
        </is>
      </c>
      <c r="M40" s="84" t="inlineStr">
        <is>
          <t>Não</t>
        </is>
      </c>
      <c r="N40" s="84" t="n"/>
    </row>
    <row r="41" ht="15" customHeight="1" s="50">
      <c r="A41" s="84" t="inlineStr">
        <is>
          <t>T-037</t>
        </is>
      </c>
      <c r="B41" s="84" t="inlineStr">
        <is>
          <t>Plano de Contas</t>
        </is>
      </c>
      <c r="C41" s="84" t="inlineStr">
        <is>
          <t>Edição em lote de contas</t>
        </is>
      </c>
      <c r="D41" s="84" t="inlineStr">
        <is>
          <t>BulkEdit</t>
        </is>
      </c>
      <c r="E41" s="85">
        <f>IF(D41="","",IFERROR(INDEX(Arquétipos!$B$5:$B$40,MATCH(D41,Arquétipos!$A$5:$A$40,0)),""))</f>
        <v/>
      </c>
      <c r="F41" s="84" t="n"/>
      <c r="G41" s="84" t="n"/>
      <c r="H41" s="84" t="inlineStr">
        <is>
          <t>F3</t>
        </is>
      </c>
      <c r="I41" s="84" t="inlineStr">
        <is>
          <t>Baixa</t>
        </is>
      </c>
      <c r="J41" s="84" t="inlineStr">
        <is>
          <t>Planejada</t>
        </is>
      </c>
      <c r="K41" s="84" t="inlineStr">
        <is>
          <t>FN-028</t>
        </is>
      </c>
      <c r="L41" s="84" t="inlineStr">
        <is>
          <t>T-031</t>
        </is>
      </c>
      <c r="M41" s="84" t="inlineStr">
        <is>
          <t>Não</t>
        </is>
      </c>
      <c r="N41" s="84" t="n"/>
    </row>
    <row r="42" ht="15" customHeight="1" s="50">
      <c r="A42" s="84" t="inlineStr">
        <is>
          <t>T-038</t>
        </is>
      </c>
      <c r="B42" s="84" t="inlineStr">
        <is>
          <t>Plano de Contas</t>
        </is>
      </c>
      <c r="C42" s="84" t="inlineStr">
        <is>
          <t>Histórico de alterações da conta</t>
        </is>
      </c>
      <c r="D42" s="84" t="inlineStr">
        <is>
          <t>AuditTrail</t>
        </is>
      </c>
      <c r="E42" s="85">
        <f>IF(D42="","",IFERROR(INDEX(Arquétipos!$B$5:$B$40,MATCH(D42,Arquétipos!$A$5:$A$40,0)),""))</f>
        <v/>
      </c>
      <c r="F42" s="84" t="n"/>
      <c r="G42" s="84" t="n"/>
      <c r="H42" s="84" t="inlineStr">
        <is>
          <t>F5</t>
        </is>
      </c>
      <c r="I42" s="84" t="inlineStr">
        <is>
          <t>Baixa</t>
        </is>
      </c>
      <c r="J42" s="84" t="inlineStr">
        <is>
          <t>Planejada</t>
        </is>
      </c>
      <c r="K42" s="84" t="inlineStr">
        <is>
          <t>FN-113</t>
        </is>
      </c>
      <c r="L42" s="84" t="n"/>
      <c r="M42" s="84" t="inlineStr">
        <is>
          <t>Não</t>
        </is>
      </c>
      <c r="N42" s="84" t="n"/>
    </row>
    <row r="43" ht="15" customHeight="1" s="50">
      <c r="A43" s="84" t="inlineStr">
        <is>
          <t>T-039</t>
        </is>
      </c>
      <c r="B43" s="84" t="inlineStr">
        <is>
          <t>Plano de Contas</t>
        </is>
      </c>
      <c r="C43" s="84" t="inlineStr">
        <is>
          <t>Planos referenciais</t>
        </is>
      </c>
      <c r="D43" s="84" t="inlineStr">
        <is>
          <t>List</t>
        </is>
      </c>
      <c r="E43" s="85">
        <f>IF(D43="","",IFERROR(INDEX(Arquétipos!$B$5:$B$40,MATCH(D43,Arquétipos!$A$5:$A$40,0)),""))</f>
        <v/>
      </c>
      <c r="F43" s="84" t="n"/>
      <c r="G43" s="84" t="n"/>
      <c r="H43" s="84" t="inlineStr">
        <is>
          <t>F5</t>
        </is>
      </c>
      <c r="I43" s="84" t="inlineStr">
        <is>
          <t>Baixa</t>
        </is>
      </c>
      <c r="J43" s="84" t="inlineStr">
        <is>
          <t>Planejada</t>
        </is>
      </c>
      <c r="K43" s="84" t="n"/>
      <c r="L43" s="84" t="n"/>
      <c r="M43" s="84" t="inlineStr">
        <is>
          <t>Não</t>
        </is>
      </c>
      <c r="N43" s="84" t="n"/>
    </row>
    <row r="44" ht="15" customHeight="1" s="50">
      <c r="A44" s="84" t="inlineStr">
        <is>
          <t>T-040</t>
        </is>
      </c>
      <c r="B44" s="84" t="inlineStr">
        <is>
          <t>Plano de Contas</t>
        </is>
      </c>
      <c r="C44" s="84" t="inlineStr">
        <is>
          <t>Desativar conta com saldo (transferência)</t>
        </is>
      </c>
      <c r="D44" s="84" t="inlineStr">
        <is>
          <t>Wizard</t>
        </is>
      </c>
      <c r="E44" s="85">
        <f>IF(D44="","",IFERROR(INDEX(Arquétipos!$B$5:$B$40,MATCH(D44,Arquétipos!$A$5:$A$40,0)),""))</f>
        <v/>
      </c>
      <c r="F44" s="84" t="n"/>
      <c r="G44" s="84" t="n"/>
      <c r="H44" s="84" t="inlineStr">
        <is>
          <t>F4</t>
        </is>
      </c>
      <c r="I44" s="84" t="inlineStr">
        <is>
          <t>Baixa</t>
        </is>
      </c>
      <c r="J44" s="84" t="inlineStr">
        <is>
          <t>Planejada</t>
        </is>
      </c>
      <c r="K44" s="84" t="inlineStr">
        <is>
          <t>FN-030</t>
        </is>
      </c>
      <c r="L44" s="84" t="n"/>
      <c r="M44" s="84" t="inlineStr">
        <is>
          <t>Não</t>
        </is>
      </c>
      <c r="N44" s="84" t="n"/>
    </row>
    <row r="45" ht="15" customHeight="1" s="50">
      <c r="A45" s="84" t="inlineStr">
        <is>
          <t>T-041</t>
        </is>
      </c>
      <c r="B45" s="84" t="inlineStr">
        <is>
          <t>Lançamentos e Diários</t>
        </is>
      </c>
      <c r="C45" s="84" t="inlineStr">
        <is>
          <t>Diários</t>
        </is>
      </c>
      <c r="D45" s="84" t="inlineStr">
        <is>
          <t>List</t>
        </is>
      </c>
      <c r="E45" s="85">
        <f>IF(D45="","",IFERROR(INDEX(Arquétipos!$B$5:$B$40,MATCH(D45,Arquétipos!$A$5:$A$40,0)),""))</f>
        <v/>
      </c>
      <c r="F45" s="84" t="n"/>
      <c r="G45" s="84" t="n"/>
      <c r="H45" s="84" t="inlineStr">
        <is>
          <t>F1</t>
        </is>
      </c>
      <c r="I45" s="84" t="inlineStr">
        <is>
          <t>Alta</t>
        </is>
      </c>
      <c r="J45" s="84" t="inlineStr">
        <is>
          <t>Planejada</t>
        </is>
      </c>
      <c r="K45" s="84" t="inlineStr">
        <is>
          <t>FN-038</t>
        </is>
      </c>
      <c r="L45" s="84" t="n"/>
      <c r="M45" s="84" t="inlineStr">
        <is>
          <t>Não</t>
        </is>
      </c>
      <c r="N45" s="84" t="n"/>
    </row>
    <row r="46" ht="15" customHeight="1" s="50">
      <c r="A46" s="84" t="inlineStr">
        <is>
          <t>T-042</t>
        </is>
      </c>
      <c r="B46" s="84" t="inlineStr">
        <is>
          <t>Lançamentos e Diários</t>
        </is>
      </c>
      <c r="C46" s="84" t="inlineStr">
        <is>
          <t>Diário</t>
        </is>
      </c>
      <c r="D46" s="84" t="inlineStr">
        <is>
          <t>Form</t>
        </is>
      </c>
      <c r="E46" s="85">
        <f>IF(D46="","",IFERROR(INDEX(Arquétipos!$B$5:$B$40,MATCH(D46,Arquétipos!$A$5:$A$40,0)),""))</f>
        <v/>
      </c>
      <c r="F46" s="84" t="n"/>
      <c r="G46" s="84" t="n"/>
      <c r="H46" s="84" t="inlineStr">
        <is>
          <t>F1</t>
        </is>
      </c>
      <c r="I46" s="84" t="inlineStr">
        <is>
          <t>Alta</t>
        </is>
      </c>
      <c r="J46" s="84" t="inlineStr">
        <is>
          <t>Planejada</t>
        </is>
      </c>
      <c r="K46" s="84" t="inlineStr">
        <is>
          <t>FN-038</t>
        </is>
      </c>
      <c r="L46" s="84" t="inlineStr">
        <is>
          <t>T-041</t>
        </is>
      </c>
      <c r="M46" s="84" t="inlineStr">
        <is>
          <t>Não</t>
        </is>
      </c>
      <c r="N46" s="84" t="n"/>
    </row>
    <row r="47" ht="15" customHeight="1" s="50">
      <c r="A47" s="84" t="inlineStr">
        <is>
          <t>T-043</t>
        </is>
      </c>
      <c r="B47" s="84" t="inlineStr">
        <is>
          <t>Lançamentos e Diários</t>
        </is>
      </c>
      <c r="C47" s="84" t="inlineStr">
        <is>
          <t>Lançamentos</t>
        </is>
      </c>
      <c r="D47" s="84" t="inlineStr">
        <is>
          <t>List</t>
        </is>
      </c>
      <c r="E47" s="85">
        <f>IF(D47="","",IFERROR(INDEX(Arquétipos!$B$5:$B$40,MATCH(D47,Arquétipos!$A$5:$A$40,0)),""))</f>
        <v/>
      </c>
      <c r="F47" s="84" t="inlineStr">
        <is>
          <t>lancamento</t>
        </is>
      </c>
      <c r="G47" s="84" t="n"/>
      <c r="H47" s="84" t="inlineStr">
        <is>
          <t>F1</t>
        </is>
      </c>
      <c r="I47" s="84" t="inlineStr">
        <is>
          <t>Alta</t>
        </is>
      </c>
      <c r="J47" s="84" t="inlineStr">
        <is>
          <t>Planejada</t>
        </is>
      </c>
      <c r="K47" s="84" t="inlineStr">
        <is>
          <t>FN-043</t>
        </is>
      </c>
      <c r="L47" s="84" t="inlineStr">
        <is>
          <t>T-041</t>
        </is>
      </c>
      <c r="M47" s="84" t="inlineStr">
        <is>
          <t>Não</t>
        </is>
      </c>
      <c r="N47" s="84" t="n"/>
    </row>
    <row r="48" ht="34.5" customHeight="1" s="50">
      <c r="A48" s="84" t="inlineStr">
        <is>
          <t>T-044</t>
        </is>
      </c>
      <c r="B48" s="84" t="inlineStr">
        <is>
          <t>Lançamentos e Diários</t>
        </is>
      </c>
      <c r="C48" s="84" t="inlineStr">
        <is>
          <t>Lançamento (cabeçalho e partidas)</t>
        </is>
      </c>
      <c r="D48" s="84" t="inlineStr">
        <is>
          <t>MasterDetail</t>
        </is>
      </c>
      <c r="E48" s="85">
        <f>IF(D48="","",IFERROR(INDEX(Arquétipos!$B$5:$B$40,MATCH(D48,Arquétipos!$A$5:$A$40,0)),""))</f>
        <v/>
      </c>
      <c r="F48" s="84" t="inlineStr">
        <is>
          <t>lancamento</t>
        </is>
      </c>
      <c r="G48" s="84" t="inlineStr">
        <is>
          <t>Núcleo contábil; invariantes avaliadas no domínio</t>
        </is>
      </c>
      <c r="H48" s="84" t="inlineStr">
        <is>
          <t>F1</t>
        </is>
      </c>
      <c r="I48" s="84" t="inlineStr">
        <is>
          <t>Alta</t>
        </is>
      </c>
      <c r="J48" s="84" t="inlineStr">
        <is>
          <t>Planejada</t>
        </is>
      </c>
      <c r="K48" s="84" t="inlineStr">
        <is>
          <t>FN-039, FN-040, FN-041, FN-042, FN-033, FN-034, FN-035, FN-112</t>
        </is>
      </c>
      <c r="L48" s="84" t="inlineStr">
        <is>
          <t>T-031, T-041</t>
        </is>
      </c>
      <c r="M48" s="84" t="inlineStr">
        <is>
          <t>Não</t>
        </is>
      </c>
      <c r="N48" s="84" t="n"/>
    </row>
    <row r="49" ht="15" customHeight="1" s="50">
      <c r="A49" s="84" t="inlineStr">
        <is>
          <t>T-045</t>
        </is>
      </c>
      <c r="B49" s="84" t="inlineStr">
        <is>
          <t>Lançamentos e Diários</t>
        </is>
      </c>
      <c r="C49" s="84" t="inlineStr">
        <is>
          <t>Detalhe do lançamento</t>
        </is>
      </c>
      <c r="D49" s="84" t="inlineStr">
        <is>
          <t>Detail</t>
        </is>
      </c>
      <c r="E49" s="85">
        <f>IF(D49="","",IFERROR(INDEX(Arquétipos!$B$5:$B$40,MATCH(D49,Arquétipos!$A$5:$A$40,0)),""))</f>
        <v/>
      </c>
      <c r="F49" s="84" t="inlineStr">
        <is>
          <t>lancamento</t>
        </is>
      </c>
      <c r="G49" s="84" t="n"/>
      <c r="H49" s="84" t="inlineStr">
        <is>
          <t>F1</t>
        </is>
      </c>
      <c r="I49" s="84" t="inlineStr">
        <is>
          <t>Alta</t>
        </is>
      </c>
      <c r="J49" s="84" t="inlineStr">
        <is>
          <t>Planejada</t>
        </is>
      </c>
      <c r="K49" s="84" t="inlineStr">
        <is>
          <t>FN-043</t>
        </is>
      </c>
      <c r="L49" s="84" t="inlineStr">
        <is>
          <t>T-043</t>
        </is>
      </c>
      <c r="M49" s="84" t="inlineStr">
        <is>
          <t>Não</t>
        </is>
      </c>
      <c r="N49" s="84" t="n"/>
    </row>
    <row r="50" ht="15" customHeight="1" s="50">
      <c r="A50" s="84" t="inlineStr">
        <is>
          <t>T-046</t>
        </is>
      </c>
      <c r="B50" s="84" t="inlineStr">
        <is>
          <t>Lançamentos e Diários</t>
        </is>
      </c>
      <c r="C50" s="84" t="inlineStr">
        <is>
          <t>Estorno de lançamento</t>
        </is>
      </c>
      <c r="D50" s="84" t="inlineStr">
        <is>
          <t>Wizard</t>
        </is>
      </c>
      <c r="E50" s="85">
        <f>IF(D50="","",IFERROR(INDEX(Arquétipos!$B$5:$B$40,MATCH(D50,Arquétipos!$A$5:$A$40,0)),""))</f>
        <v/>
      </c>
      <c r="F50" s="84" t="n"/>
      <c r="G50" s="84" t="n"/>
      <c r="H50" s="84" t="inlineStr">
        <is>
          <t>F2</t>
        </is>
      </c>
      <c r="I50" s="84" t="inlineStr">
        <is>
          <t>Alta</t>
        </is>
      </c>
      <c r="J50" s="84" t="inlineStr">
        <is>
          <t>Planejada</t>
        </is>
      </c>
      <c r="K50" s="84" t="inlineStr">
        <is>
          <t>FN-044</t>
        </is>
      </c>
      <c r="L50" s="84" t="inlineStr">
        <is>
          <t>T-044</t>
        </is>
      </c>
      <c r="M50" s="84" t="inlineStr">
        <is>
          <t>Não</t>
        </is>
      </c>
      <c r="N50" s="84" t="n"/>
    </row>
    <row r="51" ht="15" customHeight="1" s="50">
      <c r="A51" s="84" t="inlineStr">
        <is>
          <t>T-047</t>
        </is>
      </c>
      <c r="B51" s="84" t="inlineStr">
        <is>
          <t>Lançamentos e Diários</t>
        </is>
      </c>
      <c r="C51" s="84" t="inlineStr">
        <is>
          <t>Saldos iniciais (abertura)</t>
        </is>
      </c>
      <c r="D51" s="84" t="inlineStr">
        <is>
          <t>Wizard</t>
        </is>
      </c>
      <c r="E51" s="85">
        <f>IF(D51="","",IFERROR(INDEX(Arquétipos!$B$5:$B$40,MATCH(D51,Arquétipos!$A$5:$A$40,0)),""))</f>
        <v/>
      </c>
      <c r="F51" s="84" t="n"/>
      <c r="G51" s="84" t="n"/>
      <c r="H51" s="84" t="inlineStr">
        <is>
          <t>F2</t>
        </is>
      </c>
      <c r="I51" s="84" t="inlineStr">
        <is>
          <t>Alta</t>
        </is>
      </c>
      <c r="J51" s="84" t="inlineStr">
        <is>
          <t>Planejada</t>
        </is>
      </c>
      <c r="K51" s="84" t="inlineStr">
        <is>
          <t>FN-045</t>
        </is>
      </c>
      <c r="L51" s="84" t="inlineStr">
        <is>
          <t>T-031</t>
        </is>
      </c>
      <c r="M51" s="84" t="inlineStr">
        <is>
          <t>Não</t>
        </is>
      </c>
      <c r="N51" s="84" t="n"/>
    </row>
    <row r="52" ht="15" customHeight="1" s="50">
      <c r="A52" s="84" t="inlineStr">
        <is>
          <t>T-048</t>
        </is>
      </c>
      <c r="B52" s="84" t="inlineStr">
        <is>
          <t>Lançamentos e Diários</t>
        </is>
      </c>
      <c r="C52" s="84" t="inlineStr">
        <is>
          <t>Rascunhos pendentes de postagem</t>
        </is>
      </c>
      <c r="D52" s="84" t="inlineStr">
        <is>
          <t>Inbox</t>
        </is>
      </c>
      <c r="E52" s="85">
        <f>IF(D52="","",IFERROR(INDEX(Arquétipos!$B$5:$B$40,MATCH(D52,Arquétipos!$A$5:$A$40,0)),""))</f>
        <v/>
      </c>
      <c r="F52" s="84" t="n"/>
      <c r="G52" s="84" t="n"/>
      <c r="H52" s="84" t="inlineStr">
        <is>
          <t>F2</t>
        </is>
      </c>
      <c r="I52" s="84" t="inlineStr">
        <is>
          <t>Média</t>
        </is>
      </c>
      <c r="J52" s="84" t="inlineStr">
        <is>
          <t>Planejada</t>
        </is>
      </c>
      <c r="K52" s="84" t="inlineStr">
        <is>
          <t>FN-041</t>
        </is>
      </c>
      <c r="L52" s="84" t="inlineStr">
        <is>
          <t>T-044</t>
        </is>
      </c>
      <c r="M52" s="84" t="inlineStr">
        <is>
          <t>Não</t>
        </is>
      </c>
      <c r="N52" s="84" t="n"/>
    </row>
    <row r="53" ht="15" customHeight="1" s="50">
      <c r="A53" s="84" t="inlineStr">
        <is>
          <t>T-049</t>
        </is>
      </c>
      <c r="B53" s="84" t="inlineStr">
        <is>
          <t>Lançamentos e Diários</t>
        </is>
      </c>
      <c r="C53" s="84" t="inlineStr">
        <is>
          <t>Trilha do lançamento</t>
        </is>
      </c>
      <c r="D53" s="84" t="inlineStr">
        <is>
          <t>AuditTrail</t>
        </is>
      </c>
      <c r="E53" s="85">
        <f>IF(D53="","",IFERROR(INDEX(Arquétipos!$B$5:$B$40,MATCH(D53,Arquétipos!$A$5:$A$40,0)),""))</f>
        <v/>
      </c>
      <c r="F53" s="84" t="n"/>
      <c r="G53" s="84" t="n"/>
      <c r="H53" s="84" t="inlineStr">
        <is>
          <t>F2</t>
        </is>
      </c>
      <c r="I53" s="84" t="inlineStr">
        <is>
          <t>Média</t>
        </is>
      </c>
      <c r="J53" s="84" t="inlineStr">
        <is>
          <t>Planejada</t>
        </is>
      </c>
      <c r="K53" s="84" t="inlineStr">
        <is>
          <t>FN-113</t>
        </is>
      </c>
      <c r="L53" s="84" t="inlineStr">
        <is>
          <t>T-044</t>
        </is>
      </c>
      <c r="M53" s="84" t="inlineStr">
        <is>
          <t>Não</t>
        </is>
      </c>
      <c r="N53" s="84" t="n"/>
    </row>
    <row r="54" ht="15" customHeight="1" s="50">
      <c r="A54" s="84" t="inlineStr">
        <is>
          <t>T-050</t>
        </is>
      </c>
      <c r="B54" s="84" t="inlineStr">
        <is>
          <t>Lançamentos e Diários</t>
        </is>
      </c>
      <c r="C54" s="84" t="inlineStr">
        <is>
          <t>Modelos de lançamento</t>
        </is>
      </c>
      <c r="D54" s="84" t="inlineStr">
        <is>
          <t>List</t>
        </is>
      </c>
      <c r="E54" s="85">
        <f>IF(D54="","",IFERROR(INDEX(Arquétipos!$B$5:$B$40,MATCH(D54,Arquétipos!$A$5:$A$40,0)),""))</f>
        <v/>
      </c>
      <c r="F54" s="84" t="n"/>
      <c r="G54" s="84" t="n"/>
      <c r="H54" s="84" t="inlineStr">
        <is>
          <t>F3</t>
        </is>
      </c>
      <c r="I54" s="84" t="inlineStr">
        <is>
          <t>Média</t>
        </is>
      </c>
      <c r="J54" s="84" t="inlineStr">
        <is>
          <t>Planejada</t>
        </is>
      </c>
      <c r="K54" s="84" t="inlineStr">
        <is>
          <t>FN-046</t>
        </is>
      </c>
      <c r="L54" s="84" t="n"/>
      <c r="M54" s="84" t="inlineStr">
        <is>
          <t>Não</t>
        </is>
      </c>
      <c r="N54" s="84" t="n"/>
    </row>
    <row r="55" ht="15" customHeight="1" s="50">
      <c r="A55" s="84" t="inlineStr">
        <is>
          <t>T-051</t>
        </is>
      </c>
      <c r="B55" s="84" t="inlineStr">
        <is>
          <t>Lançamentos e Diários</t>
        </is>
      </c>
      <c r="C55" s="84" t="inlineStr">
        <is>
          <t>Modelo de lançamento</t>
        </is>
      </c>
      <c r="D55" s="84" t="inlineStr">
        <is>
          <t>Form</t>
        </is>
      </c>
      <c r="E55" s="85">
        <f>IF(D55="","",IFERROR(INDEX(Arquétipos!$B$5:$B$40,MATCH(D55,Arquétipos!$A$5:$A$40,0)),""))</f>
        <v/>
      </c>
      <c r="F55" s="84" t="n"/>
      <c r="G55" s="84" t="n"/>
      <c r="H55" s="84" t="inlineStr">
        <is>
          <t>F3</t>
        </is>
      </c>
      <c r="I55" s="84" t="inlineStr">
        <is>
          <t>Média</t>
        </is>
      </c>
      <c r="J55" s="84" t="inlineStr">
        <is>
          <t>Planejada</t>
        </is>
      </c>
      <c r="K55" s="84" t="inlineStr">
        <is>
          <t>FN-046</t>
        </is>
      </c>
      <c r="L55" s="84" t="n"/>
      <c r="M55" s="84" t="inlineStr">
        <is>
          <t>Não</t>
        </is>
      </c>
      <c r="N55" s="84" t="n"/>
    </row>
    <row r="56" ht="15" customHeight="1" s="50">
      <c r="A56" s="84" t="inlineStr">
        <is>
          <t>T-052</t>
        </is>
      </c>
      <c r="B56" s="84" t="inlineStr">
        <is>
          <t>Lançamentos e Diários</t>
        </is>
      </c>
      <c r="C56" s="84" t="inlineStr">
        <is>
          <t>Postagem em lote</t>
        </is>
      </c>
      <c r="D56" s="84" t="inlineStr">
        <is>
          <t>Wizard</t>
        </is>
      </c>
      <c r="E56" s="85">
        <f>IF(D56="","",IFERROR(INDEX(Arquétipos!$B$5:$B$40,MATCH(D56,Arquétipos!$A$5:$A$40,0)),""))</f>
        <v/>
      </c>
      <c r="F56" s="84" t="n"/>
      <c r="G56" s="84" t="n"/>
      <c r="H56" s="84" t="inlineStr">
        <is>
          <t>F3</t>
        </is>
      </c>
      <c r="I56" s="84" t="inlineStr">
        <is>
          <t>Média</t>
        </is>
      </c>
      <c r="J56" s="84" t="inlineStr">
        <is>
          <t>Planejada</t>
        </is>
      </c>
      <c r="K56" s="84" t="inlineStr">
        <is>
          <t>FN-047</t>
        </is>
      </c>
      <c r="L56" s="84" t="inlineStr">
        <is>
          <t>T-043</t>
        </is>
      </c>
      <c r="M56" s="84" t="inlineStr">
        <is>
          <t>Não</t>
        </is>
      </c>
      <c r="N56" s="84" t="n"/>
    </row>
    <row r="57" ht="15" customHeight="1" s="50">
      <c r="A57" s="84" t="inlineStr">
        <is>
          <t>T-053</t>
        </is>
      </c>
      <c r="B57" s="84" t="inlineStr">
        <is>
          <t>Lançamentos e Diários</t>
        </is>
      </c>
      <c r="C57" s="84" t="inlineStr">
        <is>
          <t>Importar lançamentos</t>
        </is>
      </c>
      <c r="D57" s="84" t="inlineStr">
        <is>
          <t>Import</t>
        </is>
      </c>
      <c r="E57" s="85">
        <f>IF(D57="","",IFERROR(INDEX(Arquétipos!$B$5:$B$40,MATCH(D57,Arquétipos!$A$5:$A$40,0)),""))</f>
        <v/>
      </c>
      <c r="F57" s="84" t="n"/>
      <c r="G57" s="84" t="n"/>
      <c r="H57" s="84" t="inlineStr">
        <is>
          <t>F3</t>
        </is>
      </c>
      <c r="I57" s="84" t="inlineStr">
        <is>
          <t>Média</t>
        </is>
      </c>
      <c r="J57" s="84" t="inlineStr">
        <is>
          <t>Planejada</t>
        </is>
      </c>
      <c r="K57" s="84" t="inlineStr">
        <is>
          <t>FN-048, FN-109</t>
        </is>
      </c>
      <c r="L57" s="84" t="inlineStr">
        <is>
          <t>T-044</t>
        </is>
      </c>
      <c r="M57" s="84" t="inlineStr">
        <is>
          <t>Não</t>
        </is>
      </c>
      <c r="N57" s="84" t="n"/>
    </row>
    <row r="58" ht="15" customHeight="1" s="50">
      <c r="A58" s="84" t="inlineStr">
        <is>
          <t>T-054</t>
        </is>
      </c>
      <c r="B58" s="84" t="inlineStr">
        <is>
          <t>Lançamentos e Diários</t>
        </is>
      </c>
      <c r="C58" s="84" t="inlineStr">
        <is>
          <t>Edição em lote de rascunhos</t>
        </is>
      </c>
      <c r="D58" s="84" t="inlineStr">
        <is>
          <t>BulkEdit</t>
        </is>
      </c>
      <c r="E58" s="85">
        <f>IF(D58="","",IFERROR(INDEX(Arquétipos!$B$5:$B$40,MATCH(D58,Arquétipos!$A$5:$A$40,0)),""))</f>
        <v/>
      </c>
      <c r="F58" s="84" t="n"/>
      <c r="G58" s="84" t="n"/>
      <c r="H58" s="84" t="inlineStr">
        <is>
          <t>F4</t>
        </is>
      </c>
      <c r="I58" s="84" t="inlineStr">
        <is>
          <t>Baixa</t>
        </is>
      </c>
      <c r="J58" s="84" t="inlineStr">
        <is>
          <t>Planejada</t>
        </is>
      </c>
      <c r="K58" s="84" t="inlineStr">
        <is>
          <t>FN-040</t>
        </is>
      </c>
      <c r="L58" s="84" t="n"/>
      <c r="M58" s="84" t="inlineStr">
        <is>
          <t>Não</t>
        </is>
      </c>
      <c r="N58" s="84" t="n"/>
    </row>
    <row r="59" ht="15" customHeight="1" s="50">
      <c r="A59" s="84" t="inlineStr">
        <is>
          <t>T-055</t>
        </is>
      </c>
      <c r="B59" s="84" t="inlineStr">
        <is>
          <t>Lançamentos e Diários</t>
        </is>
      </c>
      <c r="C59" s="84" t="inlineStr">
        <is>
          <t>Reclassificação de saldos</t>
        </is>
      </c>
      <c r="D59" s="84" t="inlineStr">
        <is>
          <t>Wizard</t>
        </is>
      </c>
      <c r="E59" s="85">
        <f>IF(D59="","",IFERROR(INDEX(Arquétipos!$B$5:$B$40,MATCH(D59,Arquétipos!$A$5:$A$40,0)),""))</f>
        <v/>
      </c>
      <c r="F59" s="84" t="n"/>
      <c r="G59" s="84" t="n"/>
      <c r="H59" s="84" t="inlineStr">
        <is>
          <t>F4</t>
        </is>
      </c>
      <c r="I59" s="84" t="inlineStr">
        <is>
          <t>Baixa</t>
        </is>
      </c>
      <c r="J59" s="84" t="inlineStr">
        <is>
          <t>Planejada</t>
        </is>
      </c>
      <c r="K59" s="84" t="n"/>
      <c r="L59" s="84" t="n"/>
      <c r="M59" s="84" t="inlineStr">
        <is>
          <t>Não</t>
        </is>
      </c>
      <c r="N59" s="84" t="n"/>
    </row>
    <row r="60" ht="15" customHeight="1" s="50">
      <c r="A60" s="84" t="inlineStr">
        <is>
          <t>T-056</t>
        </is>
      </c>
      <c r="B60" s="84" t="inlineStr">
        <is>
          <t>Razão e Balancetes</t>
        </is>
      </c>
      <c r="C60" s="84" t="inlineStr">
        <is>
          <t>Razão</t>
        </is>
      </c>
      <c r="D60" s="84" t="inlineStr">
        <is>
          <t>List</t>
        </is>
      </c>
      <c r="E60" s="85">
        <f>IF(D60="","",IFERROR(INDEX(Arquétipos!$B$5:$B$40,MATCH(D60,Arquétipos!$A$5:$A$40,0)),""))</f>
        <v/>
      </c>
      <c r="F60" s="84" t="inlineStr">
        <is>
          <t>conta</t>
        </is>
      </c>
      <c r="G60" s="84" t="n"/>
      <c r="H60" s="84" t="inlineStr">
        <is>
          <t>F1</t>
        </is>
      </c>
      <c r="I60" s="84" t="inlineStr">
        <is>
          <t>Alta</t>
        </is>
      </c>
      <c r="J60" s="84" t="inlineStr">
        <is>
          <t>Planejada</t>
        </is>
      </c>
      <c r="K60" s="84" t="inlineStr">
        <is>
          <t>FN-050</t>
        </is>
      </c>
      <c r="L60" s="84" t="inlineStr">
        <is>
          <t>T-031</t>
        </is>
      </c>
      <c r="M60" s="84" t="inlineStr">
        <is>
          <t>Não</t>
        </is>
      </c>
      <c r="N60" s="84" t="n"/>
    </row>
    <row r="61" ht="15" customHeight="1" s="50">
      <c r="A61" s="84" t="inlineStr">
        <is>
          <t>T-057</t>
        </is>
      </c>
      <c r="B61" s="84" t="inlineStr">
        <is>
          <t>Razão e Balancetes</t>
        </is>
      </c>
      <c r="C61" s="84" t="inlineStr">
        <is>
          <t>Razão por conta</t>
        </is>
      </c>
      <c r="D61" s="84" t="inlineStr">
        <is>
          <t>Report</t>
        </is>
      </c>
      <c r="E61" s="85">
        <f>IF(D61="","",IFERROR(INDEX(Arquétipos!$B$5:$B$40,MATCH(D61,Arquétipos!$A$5:$A$40,0)),""))</f>
        <v/>
      </c>
      <c r="F61" s="84" t="n"/>
      <c r="G61" s="84" t="n"/>
      <c r="H61" s="84" t="inlineStr">
        <is>
          <t>F1</t>
        </is>
      </c>
      <c r="I61" s="84" t="inlineStr">
        <is>
          <t>Alta</t>
        </is>
      </c>
      <c r="J61" s="84" t="inlineStr">
        <is>
          <t>Planejada</t>
        </is>
      </c>
      <c r="K61" s="84" t="inlineStr">
        <is>
          <t>FN-050, FN-051</t>
        </is>
      </c>
      <c r="L61" s="84" t="inlineStr">
        <is>
          <t>T-056</t>
        </is>
      </c>
      <c r="M61" s="84" t="inlineStr">
        <is>
          <t>Não</t>
        </is>
      </c>
      <c r="N61" s="84" t="n"/>
    </row>
    <row r="62" ht="15" customHeight="1" s="50">
      <c r="A62" s="84" t="inlineStr">
        <is>
          <t>T-058</t>
        </is>
      </c>
      <c r="B62" s="84" t="inlineStr">
        <is>
          <t>Razão e Balancetes</t>
        </is>
      </c>
      <c r="C62" s="84" t="inlineStr">
        <is>
          <t>Diário geral</t>
        </is>
      </c>
      <c r="D62" s="84" t="inlineStr">
        <is>
          <t>Report</t>
        </is>
      </c>
      <c r="E62" s="85">
        <f>IF(D62="","",IFERROR(INDEX(Arquétipos!$B$5:$B$40,MATCH(D62,Arquétipos!$A$5:$A$40,0)),""))</f>
        <v/>
      </c>
      <c r="F62" s="84" t="n"/>
      <c r="G62" s="84" t="n"/>
      <c r="H62" s="84" t="inlineStr">
        <is>
          <t>F1</t>
        </is>
      </c>
      <c r="I62" s="84" t="inlineStr">
        <is>
          <t>Média</t>
        </is>
      </c>
      <c r="J62" s="84" t="inlineStr">
        <is>
          <t>Planejada</t>
        </is>
      </c>
      <c r="K62" s="84" t="inlineStr">
        <is>
          <t>FN-054</t>
        </is>
      </c>
      <c r="L62" s="84" t="n"/>
      <c r="M62" s="84" t="inlineStr">
        <is>
          <t>Não</t>
        </is>
      </c>
      <c r="N62" s="84" t="n"/>
    </row>
    <row r="63" ht="15" customHeight="1" s="50">
      <c r="A63" s="84" t="inlineStr">
        <is>
          <t>T-059</t>
        </is>
      </c>
      <c r="B63" s="84" t="inlineStr">
        <is>
          <t>Razão e Balancetes</t>
        </is>
      </c>
      <c r="C63" s="84" t="inlineStr">
        <is>
          <t>Balancete de verificação</t>
        </is>
      </c>
      <c r="D63" s="84" t="inlineStr">
        <is>
          <t>Report</t>
        </is>
      </c>
      <c r="E63" s="85">
        <f>IF(D63="","",IFERROR(INDEX(Arquétipos!$B$5:$B$40,MATCH(D63,Arquétipos!$A$5:$A$40,0)),""))</f>
        <v/>
      </c>
      <c r="F63" s="84" t="n"/>
      <c r="G63" s="84" t="inlineStr">
        <is>
          <t>Primeiro relatório; valida o núcleo contábil</t>
        </is>
      </c>
      <c r="H63" s="84" t="inlineStr">
        <is>
          <t>F1</t>
        </is>
      </c>
      <c r="I63" s="84" t="inlineStr">
        <is>
          <t>Alta</t>
        </is>
      </c>
      <c r="J63" s="84" t="inlineStr">
        <is>
          <t>Planejada</t>
        </is>
      </c>
      <c r="K63" s="84" t="inlineStr">
        <is>
          <t>FN-053, FN-051</t>
        </is>
      </c>
      <c r="L63" s="84" t="inlineStr">
        <is>
          <t>T-056</t>
        </is>
      </c>
      <c r="M63" s="84" t="inlineStr">
        <is>
          <t>Não</t>
        </is>
      </c>
      <c r="N63" s="84" t="n"/>
    </row>
    <row r="64" ht="15" customHeight="1" s="50">
      <c r="A64" s="84" t="inlineStr">
        <is>
          <t>T-060</t>
        </is>
      </c>
      <c r="B64" s="84" t="inlineStr">
        <is>
          <t>Razão e Balancetes</t>
        </is>
      </c>
      <c r="C64" s="84" t="inlineStr">
        <is>
          <t>Drill-down: do saldo aos lançamentos</t>
        </is>
      </c>
      <c r="D64" s="84" t="inlineStr">
        <is>
          <t>List</t>
        </is>
      </c>
      <c r="E64" s="85">
        <f>IF(D64="","",IFERROR(INDEX(Arquétipos!$B$5:$B$40,MATCH(D64,Arquétipos!$A$5:$A$40,0)),""))</f>
        <v/>
      </c>
      <c r="F64" s="84" t="n"/>
      <c r="G64" s="84" t="n"/>
      <c r="H64" s="84" t="inlineStr">
        <is>
          <t>F1</t>
        </is>
      </c>
      <c r="I64" s="84" t="inlineStr">
        <is>
          <t>Alta</t>
        </is>
      </c>
      <c r="J64" s="84" t="inlineStr">
        <is>
          <t>Planejada</t>
        </is>
      </c>
      <c r="K64" s="84" t="inlineStr">
        <is>
          <t>FN-052</t>
        </is>
      </c>
      <c r="L64" s="84" t="inlineStr">
        <is>
          <t>T-059</t>
        </is>
      </c>
      <c r="M64" s="84" t="inlineStr">
        <is>
          <t>Não</t>
        </is>
      </c>
      <c r="N64" s="84" t="n"/>
    </row>
    <row r="65" ht="15" customHeight="1" s="50">
      <c r="A65" s="84" t="inlineStr">
        <is>
          <t>T-061</t>
        </is>
      </c>
      <c r="B65" s="84" t="inlineStr">
        <is>
          <t>Razão e Balancetes</t>
        </is>
      </c>
      <c r="C65" s="84" t="inlineStr">
        <is>
          <t>Extrato de conta</t>
        </is>
      </c>
      <c r="D65" s="84" t="inlineStr">
        <is>
          <t>Report</t>
        </is>
      </c>
      <c r="E65" s="85">
        <f>IF(D65="","",IFERROR(INDEX(Arquétipos!$B$5:$B$40,MATCH(D65,Arquétipos!$A$5:$A$40,0)),""))</f>
        <v/>
      </c>
      <c r="F65" s="84" t="n"/>
      <c r="G65" s="84" t="n"/>
      <c r="H65" s="84" t="inlineStr">
        <is>
          <t>F2</t>
        </is>
      </c>
      <c r="I65" s="84" t="inlineStr">
        <is>
          <t>Média</t>
        </is>
      </c>
      <c r="J65" s="84" t="inlineStr">
        <is>
          <t>Planejada</t>
        </is>
      </c>
      <c r="K65" s="84" t="inlineStr">
        <is>
          <t>FN-055</t>
        </is>
      </c>
      <c r="L65" s="84" t="inlineStr">
        <is>
          <t>T-056</t>
        </is>
      </c>
      <c r="M65" s="84" t="inlineStr">
        <is>
          <t>Não</t>
        </is>
      </c>
      <c r="N65" s="84" t="n"/>
    </row>
    <row r="66" ht="15" customHeight="1" s="50">
      <c r="A66" s="84" t="inlineStr">
        <is>
          <t>T-062</t>
        </is>
      </c>
      <c r="B66" s="84" t="inlineStr">
        <is>
          <t>Razão e Balancetes</t>
        </is>
      </c>
      <c r="C66" s="84" t="inlineStr">
        <is>
          <t>Balancete comparativo (períodos)</t>
        </is>
      </c>
      <c r="D66" s="84" t="inlineStr">
        <is>
          <t>Comparative</t>
        </is>
      </c>
      <c r="E66" s="85">
        <f>IF(D66="","",IFERROR(INDEX(Arquétipos!$B$5:$B$40,MATCH(D66,Arquétipos!$A$5:$A$40,0)),""))</f>
        <v/>
      </c>
      <c r="F66" s="84" t="n"/>
      <c r="G66" s="84" t="n"/>
      <c r="H66" s="84" t="inlineStr">
        <is>
          <t>F4</t>
        </is>
      </c>
      <c r="I66" s="84" t="inlineStr">
        <is>
          <t>Média</t>
        </is>
      </c>
      <c r="J66" s="84" t="inlineStr">
        <is>
          <t>Planejada</t>
        </is>
      </c>
      <c r="K66" s="84" t="inlineStr">
        <is>
          <t>FN-056</t>
        </is>
      </c>
      <c r="L66" s="84" t="inlineStr">
        <is>
          <t>T-059</t>
        </is>
      </c>
      <c r="M66" s="84" t="inlineStr">
        <is>
          <t>Não</t>
        </is>
      </c>
      <c r="N66" s="84" t="n"/>
    </row>
    <row r="67" ht="15" customHeight="1" s="50">
      <c r="A67" s="84" t="inlineStr">
        <is>
          <t>T-063</t>
        </is>
      </c>
      <c r="B67" s="84" t="inlineStr">
        <is>
          <t>Razão e Balancetes</t>
        </is>
      </c>
      <c r="C67" s="84" t="inlineStr">
        <is>
          <t>Saldos por conta e período</t>
        </is>
      </c>
      <c r="D67" s="84" t="inlineStr">
        <is>
          <t>Pivot</t>
        </is>
      </c>
      <c r="E67" s="85">
        <f>IF(D67="","",IFERROR(INDEX(Arquétipos!$B$5:$B$40,MATCH(D67,Arquétipos!$A$5:$A$40,0)),""))</f>
        <v/>
      </c>
      <c r="F67" s="84" t="n"/>
      <c r="G67" s="84" t="n"/>
      <c r="H67" s="84" t="inlineStr">
        <is>
          <t>F4</t>
        </is>
      </c>
      <c r="I67" s="84" t="inlineStr">
        <is>
          <t>Média</t>
        </is>
      </c>
      <c r="J67" s="84" t="inlineStr">
        <is>
          <t>Planejada</t>
        </is>
      </c>
      <c r="K67" s="84" t="inlineStr">
        <is>
          <t>FN-051</t>
        </is>
      </c>
      <c r="L67" s="84" t="inlineStr">
        <is>
          <t>T-059</t>
        </is>
      </c>
      <c r="M67" s="84" t="inlineStr">
        <is>
          <t>Não</t>
        </is>
      </c>
      <c r="N67" s="84" t="n"/>
    </row>
    <row r="68" ht="15" customHeight="1" s="50">
      <c r="A68" s="84" t="inlineStr">
        <is>
          <t>T-064</t>
        </is>
      </c>
      <c r="B68" s="84" t="inlineStr">
        <is>
          <t>Razão e Balancetes</t>
        </is>
      </c>
      <c r="C68" s="84" t="inlineStr">
        <is>
          <t>Evolução de saldo</t>
        </is>
      </c>
      <c r="D68" s="84" t="inlineStr">
        <is>
          <t>Chart</t>
        </is>
      </c>
      <c r="E68" s="85">
        <f>IF(D68="","",IFERROR(INDEX(Arquétipos!$B$5:$B$40,MATCH(D68,Arquétipos!$A$5:$A$40,0)),""))</f>
        <v/>
      </c>
      <c r="F68" s="84" t="n"/>
      <c r="G68" s="84" t="n"/>
      <c r="H68" s="84" t="inlineStr">
        <is>
          <t>F4</t>
        </is>
      </c>
      <c r="I68" s="84" t="inlineStr">
        <is>
          <t>Baixa</t>
        </is>
      </c>
      <c r="J68" s="84" t="inlineStr">
        <is>
          <t>Planejada</t>
        </is>
      </c>
      <c r="K68" s="84" t="inlineStr">
        <is>
          <t>FN-051</t>
        </is>
      </c>
      <c r="L68" s="84" t="n"/>
      <c r="M68" s="84" t="inlineStr">
        <is>
          <t>Não</t>
        </is>
      </c>
      <c r="N68" s="84" t="n"/>
    </row>
    <row r="69" ht="15" customHeight="1" s="50">
      <c r="A69" s="84" t="inlineStr">
        <is>
          <t>T-065</t>
        </is>
      </c>
      <c r="B69" s="84" t="inlineStr">
        <is>
          <t>Períodos e Fechamento</t>
        </is>
      </c>
      <c r="C69" s="84" t="inlineStr">
        <is>
          <t>Períodos fiscais</t>
        </is>
      </c>
      <c r="D69" s="84" t="inlineStr">
        <is>
          <t>List</t>
        </is>
      </c>
      <c r="E69" s="85">
        <f>IF(D69="","",IFERROR(INDEX(Arquétipos!$B$5:$B$40,MATCH(D69,Arquétipos!$A$5:$A$40,0)),""))</f>
        <v/>
      </c>
      <c r="F69" s="84" t="n"/>
      <c r="G69" s="84" t="n"/>
      <c r="H69" s="84" t="inlineStr">
        <is>
          <t>F2</t>
        </is>
      </c>
      <c r="I69" s="84" t="inlineStr">
        <is>
          <t>Alta</t>
        </is>
      </c>
      <c r="J69" s="84" t="inlineStr">
        <is>
          <t>Planejada</t>
        </is>
      </c>
      <c r="K69" s="84" t="inlineStr">
        <is>
          <t>FN-057</t>
        </is>
      </c>
      <c r="L69" s="84" t="n"/>
      <c r="M69" s="84" t="inlineStr">
        <is>
          <t>Não</t>
        </is>
      </c>
      <c r="N69" s="84" t="n"/>
    </row>
    <row r="70" ht="15" customHeight="1" s="50">
      <c r="A70" s="84" t="inlineStr">
        <is>
          <t>T-066</t>
        </is>
      </c>
      <c r="B70" s="84" t="inlineStr">
        <is>
          <t>Períodos e Fechamento</t>
        </is>
      </c>
      <c r="C70" s="84" t="inlineStr">
        <is>
          <t>Exercício fiscal</t>
        </is>
      </c>
      <c r="D70" s="84" t="inlineStr">
        <is>
          <t>Form</t>
        </is>
      </c>
      <c r="E70" s="85">
        <f>IF(D70="","",IFERROR(INDEX(Arquétipos!$B$5:$B$40,MATCH(D70,Arquétipos!$A$5:$A$40,0)),""))</f>
        <v/>
      </c>
      <c r="F70" s="84" t="n"/>
      <c r="G70" s="84" t="n"/>
      <c r="H70" s="84" t="inlineStr">
        <is>
          <t>F2</t>
        </is>
      </c>
      <c r="I70" s="84" t="inlineStr">
        <is>
          <t>Alta</t>
        </is>
      </c>
      <c r="J70" s="84" t="inlineStr">
        <is>
          <t>Planejada</t>
        </is>
      </c>
      <c r="K70" s="84" t="inlineStr">
        <is>
          <t>FN-057</t>
        </is>
      </c>
      <c r="L70" s="84" t="inlineStr">
        <is>
          <t>T-065</t>
        </is>
      </c>
      <c r="M70" s="84" t="inlineStr">
        <is>
          <t>Não</t>
        </is>
      </c>
      <c r="N70" s="84" t="n"/>
    </row>
    <row r="71" ht="15" customHeight="1" s="50">
      <c r="A71" s="84" t="inlineStr">
        <is>
          <t>T-067</t>
        </is>
      </c>
      <c r="B71" s="84" t="inlineStr">
        <is>
          <t>Períodos e Fechamento</t>
        </is>
      </c>
      <c r="C71" s="84" t="inlineStr">
        <is>
          <t>Fechamento de período</t>
        </is>
      </c>
      <c r="D71" s="84" t="inlineStr">
        <is>
          <t>PeriodClose</t>
        </is>
      </c>
      <c r="E71" s="85">
        <f>IF(D71="","",IFERROR(INDEX(Arquétipos!$B$5:$B$40,MATCH(D71,Arquétipos!$A$5:$A$40,0)),""))</f>
        <v/>
      </c>
      <c r="F71" s="84" t="n"/>
      <c r="G71" s="84" t="n"/>
      <c r="H71" s="84" t="inlineStr">
        <is>
          <t>F2</t>
        </is>
      </c>
      <c r="I71" s="84" t="inlineStr">
        <is>
          <t>Alta</t>
        </is>
      </c>
      <c r="J71" s="84" t="inlineStr">
        <is>
          <t>Planejada</t>
        </is>
      </c>
      <c r="K71" s="84" t="inlineStr">
        <is>
          <t>FN-058, FN-059, FN-034</t>
        </is>
      </c>
      <c r="L71" s="84" t="inlineStr">
        <is>
          <t>T-059, T-065</t>
        </is>
      </c>
      <c r="M71" s="84" t="inlineStr">
        <is>
          <t>Não</t>
        </is>
      </c>
      <c r="N71" s="84" t="n"/>
    </row>
    <row r="72" ht="15" customHeight="1" s="50">
      <c r="A72" s="84" t="inlineStr">
        <is>
          <t>T-068</t>
        </is>
      </c>
      <c r="B72" s="84" t="inlineStr">
        <is>
          <t>Períodos e Fechamento</t>
        </is>
      </c>
      <c r="C72" s="84" t="inlineStr">
        <is>
          <t>Reabertura de período</t>
        </is>
      </c>
      <c r="D72" s="84" t="inlineStr">
        <is>
          <t>Wizard</t>
        </is>
      </c>
      <c r="E72" s="85">
        <f>IF(D72="","",IFERROR(INDEX(Arquétipos!$B$5:$B$40,MATCH(D72,Arquétipos!$A$5:$A$40,0)),""))</f>
        <v/>
      </c>
      <c r="F72" s="84" t="n"/>
      <c r="G72" s="84" t="n"/>
      <c r="H72" s="84" t="inlineStr">
        <is>
          <t>F2</t>
        </is>
      </c>
      <c r="I72" s="84" t="inlineStr">
        <is>
          <t>Média</t>
        </is>
      </c>
      <c r="J72" s="84" t="inlineStr">
        <is>
          <t>Planejada</t>
        </is>
      </c>
      <c r="K72" s="84" t="inlineStr">
        <is>
          <t>FN-060</t>
        </is>
      </c>
      <c r="L72" s="84" t="inlineStr">
        <is>
          <t>T-067</t>
        </is>
      </c>
      <c r="M72" s="84" t="inlineStr">
        <is>
          <t>Não</t>
        </is>
      </c>
      <c r="N72" s="84" t="n"/>
    </row>
    <row r="73" ht="15" customHeight="1" s="50">
      <c r="A73" s="84" t="inlineStr">
        <is>
          <t>T-069</t>
        </is>
      </c>
      <c r="B73" s="84" t="inlineStr">
        <is>
          <t>Períodos e Fechamento</t>
        </is>
      </c>
      <c r="C73" s="84" t="inlineStr">
        <is>
          <t>Apuração do resultado</t>
        </is>
      </c>
      <c r="D73" s="84" t="inlineStr">
        <is>
          <t>Wizard</t>
        </is>
      </c>
      <c r="E73" s="85">
        <f>IF(D73="","",IFERROR(INDEX(Arquétipos!$B$5:$B$40,MATCH(D73,Arquétipos!$A$5:$A$40,0)),""))</f>
        <v/>
      </c>
      <c r="F73" s="84" t="n"/>
      <c r="G73" s="84" t="n"/>
      <c r="H73" s="84" t="inlineStr">
        <is>
          <t>F4</t>
        </is>
      </c>
      <c r="I73" s="84" t="inlineStr">
        <is>
          <t>Média</t>
        </is>
      </c>
      <c r="J73" s="84" t="inlineStr">
        <is>
          <t>Planejada</t>
        </is>
      </c>
      <c r="K73" s="84" t="inlineStr">
        <is>
          <t>FN-062</t>
        </is>
      </c>
      <c r="L73" s="84" t="inlineStr">
        <is>
          <t>T-067</t>
        </is>
      </c>
      <c r="M73" s="84" t="inlineStr">
        <is>
          <t>Não</t>
        </is>
      </c>
      <c r="N73" s="84" t="n"/>
    </row>
    <row r="74" ht="15" customHeight="1" s="50">
      <c r="A74" s="84" t="inlineStr">
        <is>
          <t>T-070</t>
        </is>
      </c>
      <c r="B74" s="84" t="inlineStr">
        <is>
          <t>Períodos e Fechamento</t>
        </is>
      </c>
      <c r="C74" s="84" t="inlineStr">
        <is>
          <t>Encerramento do exercício</t>
        </is>
      </c>
      <c r="D74" s="84" t="inlineStr">
        <is>
          <t>Wizard</t>
        </is>
      </c>
      <c r="E74" s="85">
        <f>IF(D74="","",IFERROR(INDEX(Arquétipos!$B$5:$B$40,MATCH(D74,Arquétipos!$A$5:$A$40,0)),""))</f>
        <v/>
      </c>
      <c r="F74" s="84" t="n"/>
      <c r="G74" s="84" t="n"/>
      <c r="H74" s="84" t="inlineStr">
        <is>
          <t>F4</t>
        </is>
      </c>
      <c r="I74" s="84" t="inlineStr">
        <is>
          <t>Média</t>
        </is>
      </c>
      <c r="J74" s="84" t="inlineStr">
        <is>
          <t>Planejada</t>
        </is>
      </c>
      <c r="K74" s="84" t="inlineStr">
        <is>
          <t>FN-061, FN-062</t>
        </is>
      </c>
      <c r="L74" s="84" t="inlineStr">
        <is>
          <t>T-067</t>
        </is>
      </c>
      <c r="M74" s="84" t="inlineStr">
        <is>
          <t>Não</t>
        </is>
      </c>
      <c r="N74" s="84" t="n"/>
    </row>
    <row r="75" ht="15" customHeight="1" s="50">
      <c r="A75" s="84" t="inlineStr">
        <is>
          <t>T-071</t>
        </is>
      </c>
      <c r="B75" s="84" t="inlineStr">
        <is>
          <t>Períodos e Fechamento</t>
        </is>
      </c>
      <c r="C75" s="84" t="inlineStr">
        <is>
          <t>Calendário de fechamento</t>
        </is>
      </c>
      <c r="D75" s="84" t="inlineStr">
        <is>
          <t>Calendar</t>
        </is>
      </c>
      <c r="E75" s="85">
        <f>IF(D75="","",IFERROR(INDEX(Arquétipos!$B$5:$B$40,MATCH(D75,Arquétipos!$A$5:$A$40,0)),""))</f>
        <v/>
      </c>
      <c r="F75" s="84" t="n"/>
      <c r="G75" s="84" t="n"/>
      <c r="H75" s="84" t="inlineStr">
        <is>
          <t>F4</t>
        </is>
      </c>
      <c r="I75" s="84" t="inlineStr">
        <is>
          <t>Baixa</t>
        </is>
      </c>
      <c r="J75" s="84" t="inlineStr">
        <is>
          <t>Planejada</t>
        </is>
      </c>
      <c r="K75" s="84" t="inlineStr">
        <is>
          <t>FN-058</t>
        </is>
      </c>
      <c r="L75" s="84" t="inlineStr">
        <is>
          <t>T-065</t>
        </is>
      </c>
      <c r="M75" s="84" t="inlineStr">
        <is>
          <t>Não</t>
        </is>
      </c>
      <c r="N75" s="84" t="n"/>
    </row>
    <row r="76" ht="15" customHeight="1" s="50">
      <c r="A76" s="84" t="inlineStr">
        <is>
          <t>T-072</t>
        </is>
      </c>
      <c r="B76" s="84" t="inlineStr">
        <is>
          <t>Cadastros Base</t>
        </is>
      </c>
      <c r="C76" s="84" t="inlineStr">
        <is>
          <t>Parceiros</t>
        </is>
      </c>
      <c r="D76" s="84" t="inlineStr">
        <is>
          <t>List</t>
        </is>
      </c>
      <c r="E76" s="85">
        <f>IF(D76="","",IFERROR(INDEX(Arquétipos!$B$5:$B$40,MATCH(D76,Arquétipos!$A$5:$A$40,0)),""))</f>
        <v/>
      </c>
      <c r="F76" s="84" t="n"/>
      <c r="G76" s="84" t="n"/>
      <c r="H76" s="84" t="inlineStr">
        <is>
          <t>F2</t>
        </is>
      </c>
      <c r="I76" s="84" t="inlineStr">
        <is>
          <t>Alta</t>
        </is>
      </c>
      <c r="J76" s="84" t="inlineStr">
        <is>
          <t>Planejada</t>
        </is>
      </c>
      <c r="K76" s="84" t="inlineStr">
        <is>
          <t>FN-063</t>
        </is>
      </c>
      <c r="L76" s="84" t="n"/>
      <c r="M76" s="84" t="inlineStr">
        <is>
          <t>Não</t>
        </is>
      </c>
      <c r="N76" s="84" t="n"/>
    </row>
    <row r="77" ht="15" customHeight="1" s="50">
      <c r="A77" s="84" t="inlineStr">
        <is>
          <t>T-073</t>
        </is>
      </c>
      <c r="B77" s="84" t="inlineStr">
        <is>
          <t>Cadastros Base</t>
        </is>
      </c>
      <c r="C77" s="84" t="inlineStr">
        <is>
          <t>Parceiro</t>
        </is>
      </c>
      <c r="D77" s="84" t="inlineStr">
        <is>
          <t>Form</t>
        </is>
      </c>
      <c r="E77" s="85">
        <f>IF(D77="","",IFERROR(INDEX(Arquétipos!$B$5:$B$40,MATCH(D77,Arquétipos!$A$5:$A$40,0)),""))</f>
        <v/>
      </c>
      <c r="F77" s="84" t="n"/>
      <c r="G77" s="84" t="n"/>
      <c r="H77" s="84" t="inlineStr">
        <is>
          <t>F2</t>
        </is>
      </c>
      <c r="I77" s="84" t="inlineStr">
        <is>
          <t>Alta</t>
        </is>
      </c>
      <c r="J77" s="84" t="inlineStr">
        <is>
          <t>Planejada</t>
        </is>
      </c>
      <c r="K77" s="84" t="inlineStr">
        <is>
          <t>FN-063</t>
        </is>
      </c>
      <c r="L77" s="84" t="inlineStr">
        <is>
          <t>T-072</t>
        </is>
      </c>
      <c r="M77" s="84" t="inlineStr">
        <is>
          <t>Não</t>
        </is>
      </c>
      <c r="N77" s="84" t="n"/>
    </row>
    <row r="78" ht="15" customHeight="1" s="50">
      <c r="A78" s="84" t="inlineStr">
        <is>
          <t>T-074</t>
        </is>
      </c>
      <c r="B78" s="84" t="inlineStr">
        <is>
          <t>Cadastros Base</t>
        </is>
      </c>
      <c r="C78" s="84" t="inlineStr">
        <is>
          <t>Posição do parceiro (saldos e documentos)</t>
        </is>
      </c>
      <c r="D78" s="84" t="inlineStr">
        <is>
          <t>Detail</t>
        </is>
      </c>
      <c r="E78" s="85">
        <f>IF(D78="","",IFERROR(INDEX(Arquétipos!$B$5:$B$40,MATCH(D78,Arquétipos!$A$5:$A$40,0)),""))</f>
        <v/>
      </c>
      <c r="F78" s="84" t="n"/>
      <c r="G78" s="84" t="n"/>
      <c r="H78" s="84" t="inlineStr">
        <is>
          <t>F4</t>
        </is>
      </c>
      <c r="I78" s="84" t="inlineStr">
        <is>
          <t>Média</t>
        </is>
      </c>
      <c r="J78" s="84" t="inlineStr">
        <is>
          <t>Planejada</t>
        </is>
      </c>
      <c r="K78" s="84" t="inlineStr">
        <is>
          <t>FN-063</t>
        </is>
      </c>
      <c r="L78" s="84" t="inlineStr">
        <is>
          <t>T-072</t>
        </is>
      </c>
      <c r="M78" s="84" t="inlineStr">
        <is>
          <t>Não</t>
        </is>
      </c>
      <c r="N78" s="84" t="n"/>
    </row>
    <row r="79" ht="15" customHeight="1" s="50">
      <c r="A79" s="84" t="inlineStr">
        <is>
          <t>T-075</t>
        </is>
      </c>
      <c r="B79" s="84" t="inlineStr">
        <is>
          <t>Cadastros Base</t>
        </is>
      </c>
      <c r="C79" s="84" t="inlineStr">
        <is>
          <t>Centros de custo</t>
        </is>
      </c>
      <c r="D79" s="84" t="inlineStr">
        <is>
          <t>Tree</t>
        </is>
      </c>
      <c r="E79" s="85">
        <f>IF(D79="","",IFERROR(INDEX(Arquétipos!$B$5:$B$40,MATCH(D79,Arquétipos!$A$5:$A$40,0)),""))</f>
        <v/>
      </c>
      <c r="F79" s="84" t="n"/>
      <c r="G79" s="84" t="n"/>
      <c r="H79" s="84" t="inlineStr">
        <is>
          <t>F2</t>
        </is>
      </c>
      <c r="I79" s="84" t="inlineStr">
        <is>
          <t>Média</t>
        </is>
      </c>
      <c r="J79" s="84" t="inlineStr">
        <is>
          <t>Planejada</t>
        </is>
      </c>
      <c r="K79" s="84" t="inlineStr">
        <is>
          <t>FN-064</t>
        </is>
      </c>
      <c r="L79" s="84" t="n"/>
      <c r="M79" s="84" t="inlineStr">
        <is>
          <t>Não</t>
        </is>
      </c>
      <c r="N79" s="84" t="n"/>
    </row>
    <row r="80" ht="15" customHeight="1" s="50">
      <c r="A80" s="84" t="inlineStr">
        <is>
          <t>T-076</t>
        </is>
      </c>
      <c r="B80" s="84" t="inlineStr">
        <is>
          <t>Cadastros Base</t>
        </is>
      </c>
      <c r="C80" s="84" t="inlineStr">
        <is>
          <t>Centro de custo</t>
        </is>
      </c>
      <c r="D80" s="84" t="inlineStr">
        <is>
          <t>Form</t>
        </is>
      </c>
      <c r="E80" s="85">
        <f>IF(D80="","",IFERROR(INDEX(Arquétipos!$B$5:$B$40,MATCH(D80,Arquétipos!$A$5:$A$40,0)),""))</f>
        <v/>
      </c>
      <c r="F80" s="84" t="n"/>
      <c r="G80" s="84" t="n"/>
      <c r="H80" s="84" t="inlineStr">
        <is>
          <t>F2</t>
        </is>
      </c>
      <c r="I80" s="84" t="inlineStr">
        <is>
          <t>Média</t>
        </is>
      </c>
      <c r="J80" s="84" t="inlineStr">
        <is>
          <t>Planejada</t>
        </is>
      </c>
      <c r="K80" s="84" t="inlineStr">
        <is>
          <t>FN-064</t>
        </is>
      </c>
      <c r="L80" s="84" t="n"/>
      <c r="M80" s="84" t="inlineStr">
        <is>
          <t>Não</t>
        </is>
      </c>
      <c r="N80" s="84" t="n"/>
    </row>
    <row r="81" ht="15" customHeight="1" s="50">
      <c r="A81" s="84" t="inlineStr">
        <is>
          <t>T-077</t>
        </is>
      </c>
      <c r="B81" s="84" t="inlineStr">
        <is>
          <t>Cadastros Base</t>
        </is>
      </c>
      <c r="C81" s="84" t="inlineStr">
        <is>
          <t>Dimensões analíticas</t>
        </is>
      </c>
      <c r="D81" s="84" t="inlineStr">
        <is>
          <t>List</t>
        </is>
      </c>
      <c r="E81" s="85">
        <f>IF(D81="","",IFERROR(INDEX(Arquétipos!$B$5:$B$40,MATCH(D81,Arquétipos!$A$5:$A$40,0)),""))</f>
        <v/>
      </c>
      <c r="F81" s="84" t="n"/>
      <c r="G81" s="84" t="n"/>
      <c r="H81" s="84" t="inlineStr">
        <is>
          <t>F3</t>
        </is>
      </c>
      <c r="I81" s="84" t="inlineStr">
        <is>
          <t>Média</t>
        </is>
      </c>
      <c r="J81" s="84" t="inlineStr">
        <is>
          <t>Planejada</t>
        </is>
      </c>
      <c r="K81" s="84" t="inlineStr">
        <is>
          <t>FN-065</t>
        </is>
      </c>
      <c r="L81" s="84" t="n"/>
      <c r="M81" s="84" t="inlineStr">
        <is>
          <t>Não</t>
        </is>
      </c>
      <c r="N81" s="84" t="n"/>
    </row>
    <row r="82" ht="15" customHeight="1" s="50">
      <c r="A82" s="84" t="inlineStr">
        <is>
          <t>T-078</t>
        </is>
      </c>
      <c r="B82" s="84" t="inlineStr">
        <is>
          <t>Cadastros Base</t>
        </is>
      </c>
      <c r="C82" s="84" t="inlineStr">
        <is>
          <t>Condições de pagamento</t>
        </is>
      </c>
      <c r="D82" s="84" t="inlineStr">
        <is>
          <t>List</t>
        </is>
      </c>
      <c r="E82" s="85">
        <f>IF(D82="","",IFERROR(INDEX(Arquétipos!$B$5:$B$40,MATCH(D82,Arquétipos!$A$5:$A$40,0)),""))</f>
        <v/>
      </c>
      <c r="F82" s="84" t="n"/>
      <c r="G82" s="84" t="n"/>
      <c r="H82" s="84" t="inlineStr">
        <is>
          <t>F3</t>
        </is>
      </c>
      <c r="I82" s="84" t="inlineStr">
        <is>
          <t>Média</t>
        </is>
      </c>
      <c r="J82" s="84" t="inlineStr">
        <is>
          <t>Planejada</t>
        </is>
      </c>
      <c r="K82" s="84" t="inlineStr">
        <is>
          <t>FN-066</t>
        </is>
      </c>
      <c r="L82" s="84" t="n"/>
      <c r="M82" s="84" t="inlineStr">
        <is>
          <t>Não</t>
        </is>
      </c>
      <c r="N82" s="84" t="n"/>
    </row>
    <row r="83" ht="15" customHeight="1" s="50">
      <c r="A83" s="84" t="inlineStr">
        <is>
          <t>T-079</t>
        </is>
      </c>
      <c r="B83" s="84" t="inlineStr">
        <is>
          <t>Cadastros Base</t>
        </is>
      </c>
      <c r="C83" s="84" t="inlineStr">
        <is>
          <t>Contas bancárias</t>
        </is>
      </c>
      <c r="D83" s="84" t="inlineStr">
        <is>
          <t>List</t>
        </is>
      </c>
      <c r="E83" s="85">
        <f>IF(D83="","",IFERROR(INDEX(Arquétipos!$B$5:$B$40,MATCH(D83,Arquétipos!$A$5:$A$40,0)),""))</f>
        <v/>
      </c>
      <c r="F83" s="84" t="n"/>
      <c r="G83" s="84" t="n"/>
      <c r="H83" s="84" t="inlineStr">
        <is>
          <t>F3</t>
        </is>
      </c>
      <c r="I83" s="84" t="inlineStr">
        <is>
          <t>Alta</t>
        </is>
      </c>
      <c r="J83" s="84" t="inlineStr">
        <is>
          <t>Planejada</t>
        </is>
      </c>
      <c r="K83" s="84" t="inlineStr">
        <is>
          <t>FN-067</t>
        </is>
      </c>
      <c r="L83" s="84" t="n"/>
      <c r="M83" s="84" t="inlineStr">
        <is>
          <t>Não</t>
        </is>
      </c>
      <c r="N83" s="84" t="n"/>
    </row>
    <row r="84" ht="15" customHeight="1" s="50">
      <c r="A84" s="84" t="inlineStr">
        <is>
          <t>T-080</t>
        </is>
      </c>
      <c r="B84" s="84" t="inlineStr">
        <is>
          <t>Cadastros Base</t>
        </is>
      </c>
      <c r="C84" s="84" t="inlineStr">
        <is>
          <t>Conta bancária</t>
        </is>
      </c>
      <c r="D84" s="84" t="inlineStr">
        <is>
          <t>Form</t>
        </is>
      </c>
      <c r="E84" s="85">
        <f>IF(D84="","",IFERROR(INDEX(Arquétipos!$B$5:$B$40,MATCH(D84,Arquétipos!$A$5:$A$40,0)),""))</f>
        <v/>
      </c>
      <c r="F84" s="84" t="n"/>
      <c r="G84" s="84" t="n"/>
      <c r="H84" s="84" t="inlineStr">
        <is>
          <t>F3</t>
        </is>
      </c>
      <c r="I84" s="84" t="inlineStr">
        <is>
          <t>Alta</t>
        </is>
      </c>
      <c r="J84" s="84" t="inlineStr">
        <is>
          <t>Planejada</t>
        </is>
      </c>
      <c r="K84" s="84" t="inlineStr">
        <is>
          <t>FN-067</t>
        </is>
      </c>
      <c r="L84" s="84" t="inlineStr">
        <is>
          <t>T-079</t>
        </is>
      </c>
      <c r="M84" s="84" t="inlineStr">
        <is>
          <t>Não</t>
        </is>
      </c>
      <c r="N84" s="84" t="n"/>
    </row>
    <row r="85" ht="15" customHeight="1" s="50">
      <c r="A85" s="84" t="inlineStr">
        <is>
          <t>T-081</t>
        </is>
      </c>
      <c r="B85" s="84" t="inlineStr">
        <is>
          <t>Cadastros Base</t>
        </is>
      </c>
      <c r="C85" s="84" t="inlineStr">
        <is>
          <t>Departamentos e unidades</t>
        </is>
      </c>
      <c r="D85" s="84" t="inlineStr">
        <is>
          <t>Tree</t>
        </is>
      </c>
      <c r="E85" s="85">
        <f>IF(D85="","",IFERROR(INDEX(Arquétipos!$B$5:$B$40,MATCH(D85,Arquétipos!$A$5:$A$40,0)),""))</f>
        <v/>
      </c>
      <c r="F85" s="84" t="n"/>
      <c r="G85" s="84" t="n"/>
      <c r="H85" s="84" t="inlineStr">
        <is>
          <t>F5</t>
        </is>
      </c>
      <c r="I85" s="84" t="inlineStr">
        <is>
          <t>Baixa</t>
        </is>
      </c>
      <c r="J85" s="84" t="inlineStr">
        <is>
          <t>Planejada</t>
        </is>
      </c>
      <c r="K85" s="84" t="n"/>
      <c r="L85" s="84" t="n"/>
      <c r="M85" s="84" t="inlineStr">
        <is>
          <t>Não</t>
        </is>
      </c>
      <c r="N85" s="84" t="n"/>
    </row>
    <row r="86" ht="15" customHeight="1" s="50">
      <c r="A86" s="84" t="inlineStr">
        <is>
          <t>T-082</t>
        </is>
      </c>
      <c r="B86" s="84" t="inlineStr">
        <is>
          <t>Moedas e Câmbio</t>
        </is>
      </c>
      <c r="C86" s="84" t="inlineStr">
        <is>
          <t>Moedas</t>
        </is>
      </c>
      <c r="D86" s="84" t="inlineStr">
        <is>
          <t>List</t>
        </is>
      </c>
      <c r="E86" s="85">
        <f>IF(D86="","",IFERROR(INDEX(Arquétipos!$B$5:$B$40,MATCH(D86,Arquétipos!$A$5:$A$40,0)),""))</f>
        <v/>
      </c>
      <c r="F86" s="84" t="n"/>
      <c r="G86" s="84" t="n"/>
      <c r="H86" s="84" t="inlineStr">
        <is>
          <t>F2</t>
        </is>
      </c>
      <c r="I86" s="84" t="inlineStr">
        <is>
          <t>Alta</t>
        </is>
      </c>
      <c r="J86" s="84" t="inlineStr">
        <is>
          <t>Planejada</t>
        </is>
      </c>
      <c r="K86" s="84" t="n"/>
      <c r="L86" s="84" t="n"/>
      <c r="M86" s="84" t="inlineStr">
        <is>
          <t>Não</t>
        </is>
      </c>
      <c r="N86" s="84" t="n"/>
    </row>
    <row r="87" ht="15" customHeight="1" s="50">
      <c r="A87" s="84" t="inlineStr">
        <is>
          <t>T-083</t>
        </is>
      </c>
      <c r="B87" s="84" t="inlineStr">
        <is>
          <t>Moedas e Câmbio</t>
        </is>
      </c>
      <c r="C87" s="84" t="inlineStr">
        <is>
          <t>Moeda</t>
        </is>
      </c>
      <c r="D87" s="84" t="inlineStr">
        <is>
          <t>Form</t>
        </is>
      </c>
      <c r="E87" s="85">
        <f>IF(D87="","",IFERROR(INDEX(Arquétipos!$B$5:$B$40,MATCH(D87,Arquétipos!$A$5:$A$40,0)),""))</f>
        <v/>
      </c>
      <c r="F87" s="84" t="n"/>
      <c r="G87" s="84" t="n"/>
      <c r="H87" s="84" t="inlineStr">
        <is>
          <t>F2</t>
        </is>
      </c>
      <c r="I87" s="84" t="inlineStr">
        <is>
          <t>Média</t>
        </is>
      </c>
      <c r="J87" s="84" t="inlineStr">
        <is>
          <t>Planejada</t>
        </is>
      </c>
      <c r="K87" s="84" t="n"/>
      <c r="L87" s="84" t="n"/>
      <c r="M87" s="84" t="inlineStr">
        <is>
          <t>Não</t>
        </is>
      </c>
      <c r="N87" s="84" t="n"/>
    </row>
    <row r="88" ht="15" customHeight="1" s="50">
      <c r="A88" s="84" t="inlineStr">
        <is>
          <t>T-084</t>
        </is>
      </c>
      <c r="B88" s="84" t="inlineStr">
        <is>
          <t>Moedas e Câmbio</t>
        </is>
      </c>
      <c r="C88" s="84" t="inlineStr">
        <is>
          <t>Taxas de câmbio</t>
        </is>
      </c>
      <c r="D88" s="84" t="inlineStr">
        <is>
          <t>List</t>
        </is>
      </c>
      <c r="E88" s="85">
        <f>IF(D88="","",IFERROR(INDEX(Arquétipos!$B$5:$B$40,MATCH(D88,Arquétipos!$A$5:$A$40,0)),""))</f>
        <v/>
      </c>
      <c r="F88" s="84" t="n"/>
      <c r="G88" s="84" t="n"/>
      <c r="H88" s="84" t="inlineStr">
        <is>
          <t>F2</t>
        </is>
      </c>
      <c r="I88" s="84" t="inlineStr">
        <is>
          <t>Alta</t>
        </is>
      </c>
      <c r="J88" s="84" t="inlineStr">
        <is>
          <t>Planejada</t>
        </is>
      </c>
      <c r="K88" s="84" t="inlineStr">
        <is>
          <t>FN-068, FN-069</t>
        </is>
      </c>
      <c r="L88" s="84" t="n"/>
      <c r="M88" s="84" t="inlineStr">
        <is>
          <t>Não</t>
        </is>
      </c>
      <c r="N88" s="84" t="n"/>
    </row>
    <row r="89" ht="15" customHeight="1" s="50">
      <c r="A89" s="84" t="inlineStr">
        <is>
          <t>T-085</t>
        </is>
      </c>
      <c r="B89" s="84" t="inlineStr">
        <is>
          <t>Moedas e Câmbio</t>
        </is>
      </c>
      <c r="C89" s="84" t="inlineStr">
        <is>
          <t>Importar taxas</t>
        </is>
      </c>
      <c r="D89" s="84" t="inlineStr">
        <is>
          <t>Import</t>
        </is>
      </c>
      <c r="E89" s="85">
        <f>IF(D89="","",IFERROR(INDEX(Arquétipos!$B$5:$B$40,MATCH(D89,Arquétipos!$A$5:$A$40,0)),""))</f>
        <v/>
      </c>
      <c r="F89" s="84" t="n"/>
      <c r="G89" s="84" t="n"/>
      <c r="H89" s="84" t="inlineStr">
        <is>
          <t>F3</t>
        </is>
      </c>
      <c r="I89" s="84" t="inlineStr">
        <is>
          <t>Baixa</t>
        </is>
      </c>
      <c r="J89" s="84" t="inlineStr">
        <is>
          <t>Planejada</t>
        </is>
      </c>
      <c r="K89" s="84" t="inlineStr">
        <is>
          <t>FN-070, FN-109</t>
        </is>
      </c>
      <c r="L89" s="84" t="n"/>
      <c r="M89" s="84" t="inlineStr">
        <is>
          <t>Não</t>
        </is>
      </c>
      <c r="N89" s="84" t="n"/>
    </row>
    <row r="90" ht="15" customHeight="1" s="50">
      <c r="A90" s="84" t="inlineStr">
        <is>
          <t>T-086</t>
        </is>
      </c>
      <c r="B90" s="84" t="inlineStr">
        <is>
          <t>Moedas e Câmbio</t>
        </is>
      </c>
      <c r="C90" s="84" t="inlineStr">
        <is>
          <t>Reavaliação cambial</t>
        </is>
      </c>
      <c r="D90" s="84" t="inlineStr">
        <is>
          <t>Wizard</t>
        </is>
      </c>
      <c r="E90" s="85">
        <f>IF(D90="","",IFERROR(INDEX(Arquétipos!$B$5:$B$40,MATCH(D90,Arquétipos!$A$5:$A$40,0)),""))</f>
        <v/>
      </c>
      <c r="F90" s="84" t="n"/>
      <c r="G90" s="84" t="n"/>
      <c r="H90" s="84" t="inlineStr">
        <is>
          <t>F4</t>
        </is>
      </c>
      <c r="I90" s="84" t="inlineStr">
        <is>
          <t>Média</t>
        </is>
      </c>
      <c r="J90" s="84" t="inlineStr">
        <is>
          <t>Planejada</t>
        </is>
      </c>
      <c r="K90" s="84" t="inlineStr">
        <is>
          <t>FN-071</t>
        </is>
      </c>
      <c r="L90" s="84" t="n"/>
      <c r="M90" s="84" t="inlineStr">
        <is>
          <t>Não</t>
        </is>
      </c>
      <c r="N90" s="84" t="n"/>
    </row>
    <row r="91" ht="15" customHeight="1" s="50">
      <c r="A91" s="84" t="inlineStr">
        <is>
          <t>T-087</t>
        </is>
      </c>
      <c r="B91" s="84" t="inlineStr">
        <is>
          <t>Moedas e Câmbio</t>
        </is>
      </c>
      <c r="C91" s="84" t="inlineStr">
        <is>
          <t>Conversão de saldos</t>
        </is>
      </c>
      <c r="D91" s="84" t="inlineStr">
        <is>
          <t>Report</t>
        </is>
      </c>
      <c r="E91" s="85">
        <f>IF(D91="","",IFERROR(INDEX(Arquétipos!$B$5:$B$40,MATCH(D91,Arquétipos!$A$5:$A$40,0)),""))</f>
        <v/>
      </c>
      <c r="F91" s="84" t="n"/>
      <c r="G91" s="84" t="n"/>
      <c r="H91" s="84" t="inlineStr">
        <is>
          <t>F4</t>
        </is>
      </c>
      <c r="I91" s="84" t="inlineStr">
        <is>
          <t>Baixa</t>
        </is>
      </c>
      <c r="J91" s="84" t="inlineStr">
        <is>
          <t>Planejada</t>
        </is>
      </c>
      <c r="K91" s="84" t="inlineStr">
        <is>
          <t>FN-069</t>
        </is>
      </c>
      <c r="L91" s="84" t="n"/>
      <c r="M91" s="84" t="inlineStr">
        <is>
          <t>Não</t>
        </is>
      </c>
      <c r="N91" s="84" t="n"/>
    </row>
    <row r="92" ht="15" customHeight="1" s="50">
      <c r="A92" s="84" t="inlineStr">
        <is>
          <t>T-088</t>
        </is>
      </c>
      <c r="B92" s="84" t="inlineStr">
        <is>
          <t>Contas a Pagar</t>
        </is>
      </c>
      <c r="C92" s="84" t="inlineStr">
        <is>
          <t>Faturas de fornecedor</t>
        </is>
      </c>
      <c r="D92" s="84" t="inlineStr">
        <is>
          <t>List</t>
        </is>
      </c>
      <c r="E92" s="85">
        <f>IF(D92="","",IFERROR(INDEX(Arquétipos!$B$5:$B$40,MATCH(D92,Arquétipos!$A$5:$A$40,0)),""))</f>
        <v/>
      </c>
      <c r="F92" s="84" t="n"/>
      <c r="G92" s="84" t="n"/>
      <c r="H92" s="84" t="inlineStr">
        <is>
          <t>F3</t>
        </is>
      </c>
      <c r="I92" s="84" t="inlineStr">
        <is>
          <t>Alta</t>
        </is>
      </c>
      <c r="J92" s="84" t="inlineStr">
        <is>
          <t>Planejada</t>
        </is>
      </c>
      <c r="K92" s="84" t="inlineStr">
        <is>
          <t>FN-072</t>
        </is>
      </c>
      <c r="L92" s="84" t="inlineStr">
        <is>
          <t>T-072</t>
        </is>
      </c>
      <c r="M92" s="84" t="inlineStr">
        <is>
          <t>Não</t>
        </is>
      </c>
      <c r="N92" s="84" t="n"/>
    </row>
    <row r="93" ht="15" customHeight="1" s="50">
      <c r="A93" s="84" t="inlineStr">
        <is>
          <t>T-089</t>
        </is>
      </c>
      <c r="B93" s="84" t="inlineStr">
        <is>
          <t>Contas a Pagar</t>
        </is>
      </c>
      <c r="C93" s="84" t="inlineStr">
        <is>
          <t>Fatura de fornecedor</t>
        </is>
      </c>
      <c r="D93" s="84" t="inlineStr">
        <is>
          <t>MasterDetail</t>
        </is>
      </c>
      <c r="E93" s="85">
        <f>IF(D93="","",IFERROR(INDEX(Arquétipos!$B$5:$B$40,MATCH(D93,Arquétipos!$A$5:$A$40,0)),""))</f>
        <v/>
      </c>
      <c r="F93" s="84" t="n"/>
      <c r="G93" s="84" t="n"/>
      <c r="H93" s="84" t="inlineStr">
        <is>
          <t>F3</t>
        </is>
      </c>
      <c r="I93" s="84" t="inlineStr">
        <is>
          <t>Alta</t>
        </is>
      </c>
      <c r="J93" s="84" t="inlineStr">
        <is>
          <t>Planejada</t>
        </is>
      </c>
      <c r="K93" s="84" t="inlineStr">
        <is>
          <t>FN-072, FN-073</t>
        </is>
      </c>
      <c r="L93" s="84" t="inlineStr">
        <is>
          <t>T-072, T-044</t>
        </is>
      </c>
      <c r="M93" s="84" t="inlineStr">
        <is>
          <t>Não</t>
        </is>
      </c>
      <c r="N93" s="84" t="n"/>
    </row>
    <row r="94" ht="15" customHeight="1" s="50">
      <c r="A94" s="84" t="inlineStr">
        <is>
          <t>T-090</t>
        </is>
      </c>
      <c r="B94" s="84" t="inlineStr">
        <is>
          <t>Contas a Pagar</t>
        </is>
      </c>
      <c r="C94" s="84" t="inlineStr">
        <is>
          <t>Pagamentos a fornecedores</t>
        </is>
      </c>
      <c r="D94" s="84" t="inlineStr">
        <is>
          <t>List</t>
        </is>
      </c>
      <c r="E94" s="85">
        <f>IF(D94="","",IFERROR(INDEX(Arquétipos!$B$5:$B$40,MATCH(D94,Arquétipos!$A$5:$A$40,0)),""))</f>
        <v/>
      </c>
      <c r="F94" s="84" t="n"/>
      <c r="G94" s="84" t="n"/>
      <c r="H94" s="84" t="inlineStr">
        <is>
          <t>F3</t>
        </is>
      </c>
      <c r="I94" s="84" t="inlineStr">
        <is>
          <t>Alta</t>
        </is>
      </c>
      <c r="J94" s="84" t="inlineStr">
        <is>
          <t>Planejada</t>
        </is>
      </c>
      <c r="K94" s="84" t="inlineStr">
        <is>
          <t>FN-074</t>
        </is>
      </c>
      <c r="L94" s="84" t="inlineStr">
        <is>
          <t>T-088</t>
        </is>
      </c>
      <c r="M94" s="84" t="inlineStr">
        <is>
          <t>Não</t>
        </is>
      </c>
      <c r="N94" s="84" t="n"/>
    </row>
    <row r="95" ht="15" customHeight="1" s="50">
      <c r="A95" s="84" t="inlineStr">
        <is>
          <t>T-091</t>
        </is>
      </c>
      <c r="B95" s="84" t="inlineStr">
        <is>
          <t>Contas a Pagar</t>
        </is>
      </c>
      <c r="C95" s="84" t="inlineStr">
        <is>
          <t>Pagamento a fornecedor</t>
        </is>
      </c>
      <c r="D95" s="84" t="inlineStr">
        <is>
          <t>Form</t>
        </is>
      </c>
      <c r="E95" s="85">
        <f>IF(D95="","",IFERROR(INDEX(Arquétipos!$B$5:$B$40,MATCH(D95,Arquétipos!$A$5:$A$40,0)),""))</f>
        <v/>
      </c>
      <c r="F95" s="84" t="n"/>
      <c r="G95" s="84" t="n"/>
      <c r="H95" s="84" t="inlineStr">
        <is>
          <t>F3</t>
        </is>
      </c>
      <c r="I95" s="84" t="inlineStr">
        <is>
          <t>Alta</t>
        </is>
      </c>
      <c r="J95" s="84" t="inlineStr">
        <is>
          <t>Planejada</t>
        </is>
      </c>
      <c r="K95" s="84" t="inlineStr">
        <is>
          <t>FN-074, FN-075</t>
        </is>
      </c>
      <c r="L95" s="84" t="inlineStr">
        <is>
          <t>T-088</t>
        </is>
      </c>
      <c r="M95" s="84" t="inlineStr">
        <is>
          <t>Não</t>
        </is>
      </c>
      <c r="N95" s="84" t="n"/>
    </row>
    <row r="96" ht="15" customHeight="1" s="50">
      <c r="A96" s="84" t="inlineStr">
        <is>
          <t>T-092</t>
        </is>
      </c>
      <c r="B96" s="84" t="inlineStr">
        <is>
          <t>Contas a Pagar</t>
        </is>
      </c>
      <c r="C96" s="84" t="inlineStr">
        <is>
          <t>Lote de pagamentos</t>
        </is>
      </c>
      <c r="D96" s="84" t="inlineStr">
        <is>
          <t>Wizard</t>
        </is>
      </c>
      <c r="E96" s="85">
        <f>IF(D96="","",IFERROR(INDEX(Arquétipos!$B$5:$B$40,MATCH(D96,Arquétipos!$A$5:$A$40,0)),""))</f>
        <v/>
      </c>
      <c r="F96" s="84" t="n"/>
      <c r="G96" s="84" t="n"/>
      <c r="H96" s="84" t="inlineStr">
        <is>
          <t>F4</t>
        </is>
      </c>
      <c r="I96" s="84" t="inlineStr">
        <is>
          <t>Média</t>
        </is>
      </c>
      <c r="J96" s="84" t="inlineStr">
        <is>
          <t>Planejada</t>
        </is>
      </c>
      <c r="K96" s="84" t="inlineStr">
        <is>
          <t>FN-076</t>
        </is>
      </c>
      <c r="L96" s="84" t="inlineStr">
        <is>
          <t>T-088</t>
        </is>
      </c>
      <c r="M96" s="84" t="inlineStr">
        <is>
          <t>Não</t>
        </is>
      </c>
      <c r="N96" s="84" t="n"/>
    </row>
    <row r="97" ht="15" customHeight="1" s="50">
      <c r="A97" s="84" t="inlineStr">
        <is>
          <t>T-093</t>
        </is>
      </c>
      <c r="B97" s="84" t="inlineStr">
        <is>
          <t>Contas a Pagar</t>
        </is>
      </c>
      <c r="C97" s="84" t="inlineStr">
        <is>
          <t>Aprovação de pagamentos</t>
        </is>
      </c>
      <c r="D97" s="84" t="inlineStr">
        <is>
          <t>Inbox</t>
        </is>
      </c>
      <c r="E97" s="85">
        <f>IF(D97="","",IFERROR(INDEX(Arquétipos!$B$5:$B$40,MATCH(D97,Arquétipos!$A$5:$A$40,0)),""))</f>
        <v/>
      </c>
      <c r="F97" s="84" t="n"/>
      <c r="G97" s="84" t="n"/>
      <c r="H97" s="84" t="inlineStr">
        <is>
          <t>F4</t>
        </is>
      </c>
      <c r="I97" s="84" t="inlineStr">
        <is>
          <t>Média</t>
        </is>
      </c>
      <c r="J97" s="84" t="inlineStr">
        <is>
          <t>Planejada</t>
        </is>
      </c>
      <c r="K97" s="84" t="inlineStr">
        <is>
          <t>FN-077</t>
        </is>
      </c>
      <c r="L97" s="84" t="n"/>
      <c r="M97" s="84" t="inlineStr">
        <is>
          <t>Não</t>
        </is>
      </c>
      <c r="N97" s="84" t="n"/>
    </row>
    <row r="98" ht="15" customHeight="1" s="50">
      <c r="A98" s="84" t="inlineStr">
        <is>
          <t>T-094</t>
        </is>
      </c>
      <c r="B98" s="84" t="inlineStr">
        <is>
          <t>Contas a Pagar</t>
        </is>
      </c>
      <c r="C98" s="84" t="inlineStr">
        <is>
          <t>Vencimentos a pagar</t>
        </is>
      </c>
      <c r="D98" s="84" t="inlineStr">
        <is>
          <t>Calendar</t>
        </is>
      </c>
      <c r="E98" s="85">
        <f>IF(D98="","",IFERROR(INDEX(Arquétipos!$B$5:$B$40,MATCH(D98,Arquétipos!$A$5:$A$40,0)),""))</f>
        <v/>
      </c>
      <c r="F98" s="84" t="n"/>
      <c r="G98" s="84" t="n"/>
      <c r="H98" s="84" t="inlineStr">
        <is>
          <t>F4</t>
        </is>
      </c>
      <c r="I98" s="84" t="inlineStr">
        <is>
          <t>Média</t>
        </is>
      </c>
      <c r="J98" s="84" t="inlineStr">
        <is>
          <t>Planejada</t>
        </is>
      </c>
      <c r="K98" s="84" t="n"/>
      <c r="L98" s="84" t="inlineStr">
        <is>
          <t>T-088</t>
        </is>
      </c>
      <c r="M98" s="84" t="inlineStr">
        <is>
          <t>Não</t>
        </is>
      </c>
      <c r="N98" s="84" t="n"/>
    </row>
    <row r="99" ht="15" customHeight="1" s="50">
      <c r="A99" s="84" t="inlineStr">
        <is>
          <t>T-095</t>
        </is>
      </c>
      <c r="B99" s="84" t="inlineStr">
        <is>
          <t>Contas a Pagar</t>
        </is>
      </c>
      <c r="C99" s="84" t="inlineStr">
        <is>
          <t>Aging de contas a pagar</t>
        </is>
      </c>
      <c r="D99" s="84" t="inlineStr">
        <is>
          <t>Report</t>
        </is>
      </c>
      <c r="E99" s="85">
        <f>IF(D99="","",IFERROR(INDEX(Arquétipos!$B$5:$B$40,MATCH(D99,Arquétipos!$A$5:$A$40,0)),""))</f>
        <v/>
      </c>
      <c r="F99" s="84" t="n"/>
      <c r="G99" s="84" t="n"/>
      <c r="H99" s="84" t="inlineStr">
        <is>
          <t>F4</t>
        </is>
      </c>
      <c r="I99" s="84" t="inlineStr">
        <is>
          <t>Média</t>
        </is>
      </c>
      <c r="J99" s="84" t="inlineStr">
        <is>
          <t>Planejada</t>
        </is>
      </c>
      <c r="K99" s="84" t="inlineStr">
        <is>
          <t>FN-078</t>
        </is>
      </c>
      <c r="L99" s="84" t="inlineStr">
        <is>
          <t>T-088</t>
        </is>
      </c>
      <c r="M99" s="84" t="inlineStr">
        <is>
          <t>Não</t>
        </is>
      </c>
      <c r="N99" s="84" t="n"/>
    </row>
    <row r="100" ht="15" customHeight="1" s="50">
      <c r="A100" s="84" t="inlineStr">
        <is>
          <t>T-096</t>
        </is>
      </c>
      <c r="B100" s="84" t="inlineStr">
        <is>
          <t>Contas a Receber</t>
        </is>
      </c>
      <c r="C100" s="84" t="inlineStr">
        <is>
          <t>Faturas de cliente</t>
        </is>
      </c>
      <c r="D100" s="84" t="inlineStr">
        <is>
          <t>List</t>
        </is>
      </c>
      <c r="E100" s="85">
        <f>IF(D100="","",IFERROR(INDEX(Arquétipos!$B$5:$B$40,MATCH(D100,Arquétipos!$A$5:$A$40,0)),""))</f>
        <v/>
      </c>
      <c r="F100" s="84" t="n"/>
      <c r="G100" s="84" t="n"/>
      <c r="H100" s="84" t="inlineStr">
        <is>
          <t>F3</t>
        </is>
      </c>
      <c r="I100" s="84" t="inlineStr">
        <is>
          <t>Alta</t>
        </is>
      </c>
      <c r="J100" s="84" t="inlineStr">
        <is>
          <t>Planejada</t>
        </is>
      </c>
      <c r="K100" s="84" t="inlineStr">
        <is>
          <t>FN-079</t>
        </is>
      </c>
      <c r="L100" s="84" t="inlineStr">
        <is>
          <t>T-072</t>
        </is>
      </c>
      <c r="M100" s="84" t="inlineStr">
        <is>
          <t>Não</t>
        </is>
      </c>
      <c r="N100" s="84" t="n"/>
    </row>
    <row r="101" ht="15" customHeight="1" s="50">
      <c r="A101" s="84" t="inlineStr">
        <is>
          <t>T-097</t>
        </is>
      </c>
      <c r="B101" s="84" t="inlineStr">
        <is>
          <t>Contas a Receber</t>
        </is>
      </c>
      <c r="C101" s="84" t="inlineStr">
        <is>
          <t>Fatura de cliente</t>
        </is>
      </c>
      <c r="D101" s="84" t="inlineStr">
        <is>
          <t>MasterDetail</t>
        </is>
      </c>
      <c r="E101" s="85">
        <f>IF(D101="","",IFERROR(INDEX(Arquétipos!$B$5:$B$40,MATCH(D101,Arquétipos!$A$5:$A$40,0)),""))</f>
        <v/>
      </c>
      <c r="F101" s="84" t="n"/>
      <c r="G101" s="84" t="n"/>
      <c r="H101" s="84" t="inlineStr">
        <is>
          <t>F3</t>
        </is>
      </c>
      <c r="I101" s="84" t="inlineStr">
        <is>
          <t>Alta</t>
        </is>
      </c>
      <c r="J101" s="84" t="inlineStr">
        <is>
          <t>Planejada</t>
        </is>
      </c>
      <c r="K101" s="84" t="inlineStr">
        <is>
          <t>FN-079, FN-080</t>
        </is>
      </c>
      <c r="L101" s="84" t="inlineStr">
        <is>
          <t>T-072, T-044</t>
        </is>
      </c>
      <c r="M101" s="84" t="inlineStr">
        <is>
          <t>Não</t>
        </is>
      </c>
      <c r="N101" s="84" t="n"/>
    </row>
    <row r="102" ht="15" customHeight="1" s="50">
      <c r="A102" s="84" t="inlineStr">
        <is>
          <t>T-098</t>
        </is>
      </c>
      <c r="B102" s="84" t="inlineStr">
        <is>
          <t>Contas a Receber</t>
        </is>
      </c>
      <c r="C102" s="84" t="inlineStr">
        <is>
          <t>Recebimentos</t>
        </is>
      </c>
      <c r="D102" s="84" t="inlineStr">
        <is>
          <t>List</t>
        </is>
      </c>
      <c r="E102" s="85">
        <f>IF(D102="","",IFERROR(INDEX(Arquétipos!$B$5:$B$40,MATCH(D102,Arquétipos!$A$5:$A$40,0)),""))</f>
        <v/>
      </c>
      <c r="F102" s="84" t="n"/>
      <c r="G102" s="84" t="n"/>
      <c r="H102" s="84" t="inlineStr">
        <is>
          <t>F3</t>
        </is>
      </c>
      <c r="I102" s="84" t="inlineStr">
        <is>
          <t>Alta</t>
        </is>
      </c>
      <c r="J102" s="84" t="inlineStr">
        <is>
          <t>Planejada</t>
        </is>
      </c>
      <c r="K102" s="84" t="inlineStr">
        <is>
          <t>FN-081</t>
        </is>
      </c>
      <c r="L102" s="84" t="inlineStr">
        <is>
          <t>T-096</t>
        </is>
      </c>
      <c r="M102" s="84" t="inlineStr">
        <is>
          <t>Não</t>
        </is>
      </c>
      <c r="N102" s="84" t="n"/>
    </row>
    <row r="103" ht="15" customHeight="1" s="50">
      <c r="A103" s="84" t="inlineStr">
        <is>
          <t>T-099</t>
        </is>
      </c>
      <c r="B103" s="84" t="inlineStr">
        <is>
          <t>Contas a Receber</t>
        </is>
      </c>
      <c r="C103" s="84" t="inlineStr">
        <is>
          <t>Recebimento</t>
        </is>
      </c>
      <c r="D103" s="84" t="inlineStr">
        <is>
          <t>Form</t>
        </is>
      </c>
      <c r="E103" s="85">
        <f>IF(D103="","",IFERROR(INDEX(Arquétipos!$B$5:$B$40,MATCH(D103,Arquétipos!$A$5:$A$40,0)),""))</f>
        <v/>
      </c>
      <c r="F103" s="84" t="n"/>
      <c r="G103" s="84" t="n"/>
      <c r="H103" s="84" t="inlineStr">
        <is>
          <t>F3</t>
        </is>
      </c>
      <c r="I103" s="84" t="inlineStr">
        <is>
          <t>Alta</t>
        </is>
      </c>
      <c r="J103" s="84" t="inlineStr">
        <is>
          <t>Planejada</t>
        </is>
      </c>
      <c r="K103" s="84" t="inlineStr">
        <is>
          <t>FN-081, FN-082</t>
        </is>
      </c>
      <c r="L103" s="84" t="inlineStr">
        <is>
          <t>T-096</t>
        </is>
      </c>
      <c r="M103" s="84" t="inlineStr">
        <is>
          <t>Não</t>
        </is>
      </c>
      <c r="N103" s="84" t="n"/>
    </row>
    <row r="104" ht="15" customHeight="1" s="50">
      <c r="A104" s="84" t="inlineStr">
        <is>
          <t>T-100</t>
        </is>
      </c>
      <c r="B104" s="84" t="inlineStr">
        <is>
          <t>Contas a Receber</t>
        </is>
      </c>
      <c r="C104" s="84" t="inlineStr">
        <is>
          <t>Nota de crédito</t>
        </is>
      </c>
      <c r="D104" s="84" t="inlineStr">
        <is>
          <t>Form</t>
        </is>
      </c>
      <c r="E104" s="85">
        <f>IF(D104="","",IFERROR(INDEX(Arquétipos!$B$5:$B$40,MATCH(D104,Arquétipos!$A$5:$A$40,0)),""))</f>
        <v/>
      </c>
      <c r="F104" s="84" t="n"/>
      <c r="G104" s="84" t="n"/>
      <c r="H104" s="84" t="inlineStr">
        <is>
          <t>F4</t>
        </is>
      </c>
      <c r="I104" s="84" t="inlineStr">
        <is>
          <t>Média</t>
        </is>
      </c>
      <c r="J104" s="84" t="inlineStr">
        <is>
          <t>Planejada</t>
        </is>
      </c>
      <c r="K104" s="84" t="inlineStr">
        <is>
          <t>FN-083</t>
        </is>
      </c>
      <c r="L104" s="84" t="inlineStr">
        <is>
          <t>T-096</t>
        </is>
      </c>
      <c r="M104" s="84" t="inlineStr">
        <is>
          <t>Não</t>
        </is>
      </c>
      <c r="N104" s="84" t="n"/>
    </row>
    <row r="105" ht="15" customHeight="1" s="50">
      <c r="A105" s="84" t="inlineStr">
        <is>
          <t>T-101</t>
        </is>
      </c>
      <c r="B105" s="84" t="inlineStr">
        <is>
          <t>Contas a Receber</t>
        </is>
      </c>
      <c r="C105" s="84" t="inlineStr">
        <is>
          <t>Vencimentos a receber</t>
        </is>
      </c>
      <c r="D105" s="84" t="inlineStr">
        <is>
          <t>Calendar</t>
        </is>
      </c>
      <c r="E105" s="85">
        <f>IF(D105="","",IFERROR(INDEX(Arquétipos!$B$5:$B$40,MATCH(D105,Arquétipos!$A$5:$A$40,0)),""))</f>
        <v/>
      </c>
      <c r="F105" s="84" t="n"/>
      <c r="G105" s="84" t="n"/>
      <c r="H105" s="84" t="inlineStr">
        <is>
          <t>F4</t>
        </is>
      </c>
      <c r="I105" s="84" t="inlineStr">
        <is>
          <t>Média</t>
        </is>
      </c>
      <c r="J105" s="84" t="inlineStr">
        <is>
          <t>Planejada</t>
        </is>
      </c>
      <c r="K105" s="84" t="n"/>
      <c r="L105" s="84" t="inlineStr">
        <is>
          <t>T-096</t>
        </is>
      </c>
      <c r="M105" s="84" t="inlineStr">
        <is>
          <t>Não</t>
        </is>
      </c>
      <c r="N105" s="84" t="n"/>
    </row>
    <row r="106" ht="15" customHeight="1" s="50">
      <c r="A106" s="84" t="inlineStr">
        <is>
          <t>T-102</t>
        </is>
      </c>
      <c r="B106" s="84" t="inlineStr">
        <is>
          <t>Contas a Receber</t>
        </is>
      </c>
      <c r="C106" s="84" t="inlineStr">
        <is>
          <t>Aging de contas a receber</t>
        </is>
      </c>
      <c r="D106" s="84" t="inlineStr">
        <is>
          <t>Report</t>
        </is>
      </c>
      <c r="E106" s="85">
        <f>IF(D106="","",IFERROR(INDEX(Arquétipos!$B$5:$B$40,MATCH(D106,Arquétipos!$A$5:$A$40,0)),""))</f>
        <v/>
      </c>
      <c r="F106" s="84" t="n"/>
      <c r="G106" s="84" t="n"/>
      <c r="H106" s="84" t="inlineStr">
        <is>
          <t>F4</t>
        </is>
      </c>
      <c r="I106" s="84" t="inlineStr">
        <is>
          <t>Média</t>
        </is>
      </c>
      <c r="J106" s="84" t="inlineStr">
        <is>
          <t>Planejada</t>
        </is>
      </c>
      <c r="K106" s="84" t="inlineStr">
        <is>
          <t>FN-084</t>
        </is>
      </c>
      <c r="L106" s="84" t="inlineStr">
        <is>
          <t>T-096</t>
        </is>
      </c>
      <c r="M106" s="84" t="inlineStr">
        <is>
          <t>Não</t>
        </is>
      </c>
      <c r="N106" s="84" t="n"/>
    </row>
    <row r="107" ht="15" customHeight="1" s="50">
      <c r="A107" s="84" t="inlineStr">
        <is>
          <t>T-103</t>
        </is>
      </c>
      <c r="B107" s="84" t="inlineStr">
        <is>
          <t>Contas a Receber</t>
        </is>
      </c>
      <c r="C107" s="84" t="inlineStr">
        <is>
          <t>Cobrança por situação</t>
        </is>
      </c>
      <c r="D107" s="84" t="inlineStr">
        <is>
          <t>Kanban</t>
        </is>
      </c>
      <c r="E107" s="85">
        <f>IF(D107="","",IFERROR(INDEX(Arquétipos!$B$5:$B$40,MATCH(D107,Arquétipos!$A$5:$A$40,0)),""))</f>
        <v/>
      </c>
      <c r="F107" s="84" t="n"/>
      <c r="G107" s="84" t="n"/>
      <c r="H107" s="84" t="inlineStr">
        <is>
          <t>F5</t>
        </is>
      </c>
      <c r="I107" s="84" t="inlineStr">
        <is>
          <t>Baixa</t>
        </is>
      </c>
      <c r="J107" s="84" t="inlineStr">
        <is>
          <t>Planejada</t>
        </is>
      </c>
      <c r="K107" s="84" t="n"/>
      <c r="L107" s="84" t="inlineStr">
        <is>
          <t>T-096</t>
        </is>
      </c>
      <c r="M107" s="84" t="inlineStr">
        <is>
          <t>Não</t>
        </is>
      </c>
      <c r="N107" s="84" t="n"/>
    </row>
    <row r="108" ht="15" customHeight="1" s="50">
      <c r="A108" s="84" t="inlineStr">
        <is>
          <t>T-104</t>
        </is>
      </c>
      <c r="B108" s="84" t="inlineStr">
        <is>
          <t>Tesouraria e Bancos</t>
        </is>
      </c>
      <c r="C108" s="84" t="inlineStr">
        <is>
          <t>Extratos bancários</t>
        </is>
      </c>
      <c r="D108" s="84" t="inlineStr">
        <is>
          <t>List</t>
        </is>
      </c>
      <c r="E108" s="85">
        <f>IF(D108="","",IFERROR(INDEX(Arquétipos!$B$5:$B$40,MATCH(D108,Arquétipos!$A$5:$A$40,0)),""))</f>
        <v/>
      </c>
      <c r="F108" s="84" t="n"/>
      <c r="G108" s="84" t="n"/>
      <c r="H108" s="84" t="inlineStr">
        <is>
          <t>F3</t>
        </is>
      </c>
      <c r="I108" s="84" t="inlineStr">
        <is>
          <t>Alta</t>
        </is>
      </c>
      <c r="J108" s="84" t="inlineStr">
        <is>
          <t>Planejada</t>
        </is>
      </c>
      <c r="K108" s="84" t="n"/>
      <c r="L108" s="84" t="inlineStr">
        <is>
          <t>T-079</t>
        </is>
      </c>
      <c r="M108" s="84" t="inlineStr">
        <is>
          <t>Não</t>
        </is>
      </c>
      <c r="N108" s="84" t="n"/>
    </row>
    <row r="109" ht="15" customHeight="1" s="50">
      <c r="A109" s="84" t="inlineStr">
        <is>
          <t>T-105</t>
        </is>
      </c>
      <c r="B109" s="84" t="inlineStr">
        <is>
          <t>Tesouraria e Bancos</t>
        </is>
      </c>
      <c r="C109" s="84" t="inlineStr">
        <is>
          <t>Importar extrato (OFX e CSV)</t>
        </is>
      </c>
      <c r="D109" s="84" t="inlineStr">
        <is>
          <t>Import</t>
        </is>
      </c>
      <c r="E109" s="85">
        <f>IF(D109="","",IFERROR(INDEX(Arquétipos!$B$5:$B$40,MATCH(D109,Arquétipos!$A$5:$A$40,0)),""))</f>
        <v/>
      </c>
      <c r="F109" s="84" t="n"/>
      <c r="G109" s="84" t="n"/>
      <c r="H109" s="84" t="inlineStr">
        <is>
          <t>F3</t>
        </is>
      </c>
      <c r="I109" s="84" t="inlineStr">
        <is>
          <t>Alta</t>
        </is>
      </c>
      <c r="J109" s="84" t="inlineStr">
        <is>
          <t>Planejada</t>
        </is>
      </c>
      <c r="K109" s="84" t="inlineStr">
        <is>
          <t>FN-085, FN-109</t>
        </is>
      </c>
      <c r="L109" s="84" t="inlineStr">
        <is>
          <t>T-079</t>
        </is>
      </c>
      <c r="M109" s="84" t="inlineStr">
        <is>
          <t>Não</t>
        </is>
      </c>
      <c r="N109" s="84" t="n"/>
    </row>
    <row r="110" ht="15" customHeight="1" s="50">
      <c r="A110" s="84" t="inlineStr">
        <is>
          <t>T-106</t>
        </is>
      </c>
      <c r="B110" s="84" t="inlineStr">
        <is>
          <t>Tesouraria e Bancos</t>
        </is>
      </c>
      <c r="C110" s="84" t="inlineStr">
        <is>
          <t>Conciliação bancária</t>
        </is>
      </c>
      <c r="D110" s="84" t="inlineStr">
        <is>
          <t>Reconciliation</t>
        </is>
      </c>
      <c r="E110" s="85">
        <f>IF(D110="","",IFERROR(INDEX(Arquétipos!$B$5:$B$40,MATCH(D110,Arquétipos!$A$5:$A$40,0)),""))</f>
        <v/>
      </c>
      <c r="F110" s="84" t="n"/>
      <c r="G110" s="84" t="n"/>
      <c r="H110" s="84" t="inlineStr">
        <is>
          <t>F3</t>
        </is>
      </c>
      <c r="I110" s="84" t="inlineStr">
        <is>
          <t>Alta</t>
        </is>
      </c>
      <c r="J110" s="84" t="inlineStr">
        <is>
          <t>Planejada</t>
        </is>
      </c>
      <c r="K110" s="84" t="inlineStr">
        <is>
          <t>FN-086, FN-087, FN-088</t>
        </is>
      </c>
      <c r="L110" s="84" t="inlineStr">
        <is>
          <t>T-104, T-043</t>
        </is>
      </c>
      <c r="M110" s="84" t="inlineStr">
        <is>
          <t>Não</t>
        </is>
      </c>
      <c r="N110" s="84" t="n"/>
    </row>
    <row r="111" ht="15" customHeight="1" s="50">
      <c r="A111" s="84" t="inlineStr">
        <is>
          <t>T-107</t>
        </is>
      </c>
      <c r="B111" s="84" t="inlineStr">
        <is>
          <t>Tesouraria e Bancos</t>
        </is>
      </c>
      <c r="C111" s="84" t="inlineStr">
        <is>
          <t>Transferência entre contas</t>
        </is>
      </c>
      <c r="D111" s="84" t="inlineStr">
        <is>
          <t>Form</t>
        </is>
      </c>
      <c r="E111" s="85">
        <f>IF(D111="","",IFERROR(INDEX(Arquétipos!$B$5:$B$40,MATCH(D111,Arquétipos!$A$5:$A$40,0)),""))</f>
        <v/>
      </c>
      <c r="F111" s="84" t="n"/>
      <c r="G111" s="84" t="n"/>
      <c r="H111" s="84" t="inlineStr">
        <is>
          <t>F3</t>
        </is>
      </c>
      <c r="I111" s="84" t="inlineStr">
        <is>
          <t>Média</t>
        </is>
      </c>
      <c r="J111" s="84" t="inlineStr">
        <is>
          <t>Planejada</t>
        </is>
      </c>
      <c r="K111" s="84" t="inlineStr">
        <is>
          <t>FN-089</t>
        </is>
      </c>
      <c r="L111" s="84" t="inlineStr">
        <is>
          <t>T-079</t>
        </is>
      </c>
      <c r="M111" s="84" t="inlineStr">
        <is>
          <t>Não</t>
        </is>
      </c>
      <c r="N111" s="84" t="n"/>
    </row>
    <row r="112" ht="15" customHeight="1" s="50">
      <c r="A112" s="84" t="inlineStr">
        <is>
          <t>T-108</t>
        </is>
      </c>
      <c r="B112" s="84" t="inlineStr">
        <is>
          <t>Tesouraria e Bancos</t>
        </is>
      </c>
      <c r="C112" s="84" t="inlineStr">
        <is>
          <t>Saldos bancários</t>
        </is>
      </c>
      <c r="D112" s="84" t="inlineStr">
        <is>
          <t>Report</t>
        </is>
      </c>
      <c r="E112" s="85">
        <f>IF(D112="","",IFERROR(INDEX(Arquétipos!$B$5:$B$40,MATCH(D112,Arquétipos!$A$5:$A$40,0)),""))</f>
        <v/>
      </c>
      <c r="F112" s="84" t="n"/>
      <c r="G112" s="84" t="n"/>
      <c r="H112" s="84" t="inlineStr">
        <is>
          <t>F3</t>
        </is>
      </c>
      <c r="I112" s="84" t="inlineStr">
        <is>
          <t>Média</t>
        </is>
      </c>
      <c r="J112" s="84" t="inlineStr">
        <is>
          <t>Planejada</t>
        </is>
      </c>
      <c r="K112" s="84" t="inlineStr">
        <is>
          <t>FN-051</t>
        </is>
      </c>
      <c r="L112" s="84" t="inlineStr">
        <is>
          <t>T-079</t>
        </is>
      </c>
      <c r="M112" s="84" t="inlineStr">
        <is>
          <t>Não</t>
        </is>
      </c>
      <c r="N112" s="84" t="n"/>
    </row>
    <row r="113" ht="15" customHeight="1" s="50">
      <c r="A113" s="84" t="inlineStr">
        <is>
          <t>T-109</t>
        </is>
      </c>
      <c r="B113" s="84" t="inlineStr">
        <is>
          <t>Tesouraria e Bancos</t>
        </is>
      </c>
      <c r="C113" s="84" t="inlineStr">
        <is>
          <t>Fluxo de caixa realizado</t>
        </is>
      </c>
      <c r="D113" s="84" t="inlineStr">
        <is>
          <t>Report</t>
        </is>
      </c>
      <c r="E113" s="85">
        <f>IF(D113="","",IFERROR(INDEX(Arquétipos!$B$5:$B$40,MATCH(D113,Arquétipos!$A$5:$A$40,0)),""))</f>
        <v/>
      </c>
      <c r="F113" s="84" t="n"/>
      <c r="G113" s="84" t="n"/>
      <c r="H113" s="84" t="inlineStr">
        <is>
          <t>F4</t>
        </is>
      </c>
      <c r="I113" s="84" t="inlineStr">
        <is>
          <t>Alta</t>
        </is>
      </c>
      <c r="J113" s="84" t="inlineStr">
        <is>
          <t>Planejada</t>
        </is>
      </c>
      <c r="K113" s="84" t="inlineStr">
        <is>
          <t>FN-091</t>
        </is>
      </c>
      <c r="L113" s="84" t="inlineStr">
        <is>
          <t>T-104</t>
        </is>
      </c>
      <c r="M113" s="84" t="inlineStr">
        <is>
          <t>Não</t>
        </is>
      </c>
      <c r="N113" s="84" t="n"/>
    </row>
    <row r="114" ht="15" customHeight="1" s="50">
      <c r="A114" s="84" t="inlineStr">
        <is>
          <t>T-110</t>
        </is>
      </c>
      <c r="B114" s="84" t="inlineStr">
        <is>
          <t>Tesouraria e Bancos</t>
        </is>
      </c>
      <c r="C114" s="84" t="inlineStr">
        <is>
          <t>Fluxo de caixa projetado × realizado</t>
        </is>
      </c>
      <c r="D114" s="84" t="inlineStr">
        <is>
          <t>Comparative</t>
        </is>
      </c>
      <c r="E114" s="85">
        <f>IF(D114="","",IFERROR(INDEX(Arquétipos!$B$5:$B$40,MATCH(D114,Arquétipos!$A$5:$A$40,0)),""))</f>
        <v/>
      </c>
      <c r="F114" s="84" t="n"/>
      <c r="G114" s="84" t="n"/>
      <c r="H114" s="84" t="inlineStr">
        <is>
          <t>F4</t>
        </is>
      </c>
      <c r="I114" s="84" t="inlineStr">
        <is>
          <t>Média</t>
        </is>
      </c>
      <c r="J114" s="84" t="inlineStr">
        <is>
          <t>Planejada</t>
        </is>
      </c>
      <c r="K114" s="84" t="inlineStr">
        <is>
          <t>FN-092</t>
        </is>
      </c>
      <c r="L114" s="84" t="inlineStr">
        <is>
          <t>T-104</t>
        </is>
      </c>
      <c r="M114" s="84" t="inlineStr">
        <is>
          <t>Não</t>
        </is>
      </c>
      <c r="N114" s="84" t="n"/>
    </row>
    <row r="115" ht="15" customHeight="1" s="50">
      <c r="A115" s="84" t="inlineStr">
        <is>
          <t>T-111</t>
        </is>
      </c>
      <c r="B115" s="84" t="inlineStr">
        <is>
          <t>Tesouraria e Bancos</t>
        </is>
      </c>
      <c r="C115" s="84" t="inlineStr">
        <is>
          <t>Regras de conciliação</t>
        </is>
      </c>
      <c r="D115" s="84" t="inlineStr">
        <is>
          <t>List</t>
        </is>
      </c>
      <c r="E115" s="85">
        <f>IF(D115="","",IFERROR(INDEX(Arquétipos!$B$5:$B$40,MATCH(D115,Arquétipos!$A$5:$A$40,0)),""))</f>
        <v/>
      </c>
      <c r="F115" s="84" t="n"/>
      <c r="G115" s="84" t="n"/>
      <c r="H115" s="84" t="inlineStr">
        <is>
          <t>F4</t>
        </is>
      </c>
      <c r="I115" s="84" t="inlineStr">
        <is>
          <t>Baixa</t>
        </is>
      </c>
      <c r="J115" s="84" t="inlineStr">
        <is>
          <t>Planejada</t>
        </is>
      </c>
      <c r="K115" s="84" t="inlineStr">
        <is>
          <t>FN-090</t>
        </is>
      </c>
      <c r="L115" s="84" t="inlineStr">
        <is>
          <t>T-106</t>
        </is>
      </c>
      <c r="M115" s="84" t="inlineStr">
        <is>
          <t>Não</t>
        </is>
      </c>
      <c r="N115" s="84" t="n"/>
    </row>
    <row r="116" ht="15" customHeight="1" s="50">
      <c r="A116" s="84" t="inlineStr">
        <is>
          <t>T-112</t>
        </is>
      </c>
      <c r="B116" s="84" t="inlineStr">
        <is>
          <t>Tesouraria e Bancos</t>
        </is>
      </c>
      <c r="C116" s="84" t="inlineStr">
        <is>
          <t>Regra de conciliação</t>
        </is>
      </c>
      <c r="D116" s="84" t="inlineStr">
        <is>
          <t>Form</t>
        </is>
      </c>
      <c r="E116" s="85">
        <f>IF(D116="","",IFERROR(INDEX(Arquétipos!$B$5:$B$40,MATCH(D116,Arquétipos!$A$5:$A$40,0)),""))</f>
        <v/>
      </c>
      <c r="F116" s="84" t="n"/>
      <c r="G116" s="84" t="n"/>
      <c r="H116" s="84" t="inlineStr">
        <is>
          <t>F4</t>
        </is>
      </c>
      <c r="I116" s="84" t="inlineStr">
        <is>
          <t>Baixa</t>
        </is>
      </c>
      <c r="J116" s="84" t="inlineStr">
        <is>
          <t>Planejada</t>
        </is>
      </c>
      <c r="K116" s="84" t="inlineStr">
        <is>
          <t>FN-090</t>
        </is>
      </c>
      <c r="L116" s="84" t="inlineStr">
        <is>
          <t>T-106</t>
        </is>
      </c>
      <c r="M116" s="84" t="inlineStr">
        <is>
          <t>Não</t>
        </is>
      </c>
      <c r="N116" s="84" t="n"/>
    </row>
    <row r="117" ht="15" customHeight="1" s="50">
      <c r="A117" s="84" t="inlineStr">
        <is>
          <t>T-113</t>
        </is>
      </c>
      <c r="B117" s="84" t="inlineStr">
        <is>
          <t>Orçamento</t>
        </is>
      </c>
      <c r="C117" s="84" t="inlineStr">
        <is>
          <t>Orçamentos</t>
        </is>
      </c>
      <c r="D117" s="84" t="inlineStr">
        <is>
          <t>List</t>
        </is>
      </c>
      <c r="E117" s="85">
        <f>IF(D117="","",IFERROR(INDEX(Arquétipos!$B$5:$B$40,MATCH(D117,Arquétipos!$A$5:$A$40,0)),""))</f>
        <v/>
      </c>
      <c r="F117" s="84" t="n"/>
      <c r="G117" s="84" t="n"/>
      <c r="H117" s="84" t="inlineStr">
        <is>
          <t>F4</t>
        </is>
      </c>
      <c r="I117" s="84" t="inlineStr">
        <is>
          <t>Média</t>
        </is>
      </c>
      <c r="J117" s="84" t="inlineStr">
        <is>
          <t>Planejada</t>
        </is>
      </c>
      <c r="K117" s="84" t="inlineStr">
        <is>
          <t>FN-093</t>
        </is>
      </c>
      <c r="L117" s="84" t="n"/>
      <c r="M117" s="84" t="inlineStr">
        <is>
          <t>Não</t>
        </is>
      </c>
      <c r="N117" s="84" t="n"/>
    </row>
    <row r="118" ht="15" customHeight="1" s="50">
      <c r="A118" s="84" t="inlineStr">
        <is>
          <t>T-114</t>
        </is>
      </c>
      <c r="B118" s="84" t="inlineStr">
        <is>
          <t>Orçamento</t>
        </is>
      </c>
      <c r="C118" s="84" t="inlineStr">
        <is>
          <t>Orçamento (linhas por conta e mês)</t>
        </is>
      </c>
      <c r="D118" s="84" t="inlineStr">
        <is>
          <t>MasterDetail</t>
        </is>
      </c>
      <c r="E118" s="85">
        <f>IF(D118="","",IFERROR(INDEX(Arquétipos!$B$5:$B$40,MATCH(D118,Arquétipos!$A$5:$A$40,0)),""))</f>
        <v/>
      </c>
      <c r="F118" s="84" t="n"/>
      <c r="G118" s="84" t="n"/>
      <c r="H118" s="84" t="inlineStr">
        <is>
          <t>F4</t>
        </is>
      </c>
      <c r="I118" s="84" t="inlineStr">
        <is>
          <t>Média</t>
        </is>
      </c>
      <c r="J118" s="84" t="inlineStr">
        <is>
          <t>Planejada</t>
        </is>
      </c>
      <c r="K118" s="84" t="inlineStr">
        <is>
          <t>FN-093</t>
        </is>
      </c>
      <c r="L118" s="84" t="inlineStr">
        <is>
          <t>T-031, T-113</t>
        </is>
      </c>
      <c r="M118" s="84" t="inlineStr">
        <is>
          <t>Não</t>
        </is>
      </c>
      <c r="N118" s="84" t="n"/>
    </row>
    <row r="119" ht="15" customHeight="1" s="50">
      <c r="A119" s="84" t="inlineStr">
        <is>
          <t>T-115</t>
        </is>
      </c>
      <c r="B119" s="84" t="inlineStr">
        <is>
          <t>Orçamento</t>
        </is>
      </c>
      <c r="C119" s="84" t="inlineStr">
        <is>
          <t>Distribuição mensal do orçamento</t>
        </is>
      </c>
      <c r="D119" s="84" t="inlineStr">
        <is>
          <t>BulkEdit</t>
        </is>
      </c>
      <c r="E119" s="85">
        <f>IF(D119="","",IFERROR(INDEX(Arquétipos!$B$5:$B$40,MATCH(D119,Arquétipos!$A$5:$A$40,0)),""))</f>
        <v/>
      </c>
      <c r="F119" s="84" t="n"/>
      <c r="G119" s="84" t="n"/>
      <c r="H119" s="84" t="inlineStr">
        <is>
          <t>F4</t>
        </is>
      </c>
      <c r="I119" s="84" t="inlineStr">
        <is>
          <t>Baixa</t>
        </is>
      </c>
      <c r="J119" s="84" t="inlineStr">
        <is>
          <t>Planejada</t>
        </is>
      </c>
      <c r="K119" s="84" t="inlineStr">
        <is>
          <t>FN-093</t>
        </is>
      </c>
      <c r="L119" s="84" t="inlineStr">
        <is>
          <t>T-113</t>
        </is>
      </c>
      <c r="M119" s="84" t="inlineStr">
        <is>
          <t>Não</t>
        </is>
      </c>
      <c r="N119" s="84" t="n"/>
    </row>
    <row r="120" ht="15" customHeight="1" s="50">
      <c r="A120" s="84" t="inlineStr">
        <is>
          <t>T-116</t>
        </is>
      </c>
      <c r="B120" s="84" t="inlineStr">
        <is>
          <t>Orçamento</t>
        </is>
      </c>
      <c r="C120" s="84" t="inlineStr">
        <is>
          <t>Orçado × realizado</t>
        </is>
      </c>
      <c r="D120" s="84" t="inlineStr">
        <is>
          <t>Comparative</t>
        </is>
      </c>
      <c r="E120" s="85">
        <f>IF(D120="","",IFERROR(INDEX(Arquétipos!$B$5:$B$40,MATCH(D120,Arquétipos!$A$5:$A$40,0)),""))</f>
        <v/>
      </c>
      <c r="F120" s="84" t="n"/>
      <c r="G120" s="84" t="n"/>
      <c r="H120" s="84" t="inlineStr">
        <is>
          <t>F4</t>
        </is>
      </c>
      <c r="I120" s="84" t="inlineStr">
        <is>
          <t>Alta</t>
        </is>
      </c>
      <c r="J120" s="84" t="inlineStr">
        <is>
          <t>Planejada</t>
        </is>
      </c>
      <c r="K120" s="84" t="inlineStr">
        <is>
          <t>FN-094</t>
        </is>
      </c>
      <c r="L120" s="84" t="inlineStr">
        <is>
          <t>T-113, T-059</t>
        </is>
      </c>
      <c r="M120" s="84" t="inlineStr">
        <is>
          <t>Não</t>
        </is>
      </c>
      <c r="N120" s="84" t="n"/>
    </row>
    <row r="121" ht="15" customHeight="1" s="50">
      <c r="A121" s="84" t="inlineStr">
        <is>
          <t>T-117</t>
        </is>
      </c>
      <c r="B121" s="84" t="inlineStr">
        <is>
          <t>Orçamento</t>
        </is>
      </c>
      <c r="C121" s="84" t="inlineStr">
        <is>
          <t>Revisões do orçamento</t>
        </is>
      </c>
      <c r="D121" s="84" t="inlineStr">
        <is>
          <t>AuditTrail</t>
        </is>
      </c>
      <c r="E121" s="85">
        <f>IF(D121="","",IFERROR(INDEX(Arquétipos!$B$5:$B$40,MATCH(D121,Arquétipos!$A$5:$A$40,0)),""))</f>
        <v/>
      </c>
      <c r="F121" s="84" t="n"/>
      <c r="G121" s="84" t="n"/>
      <c r="H121" s="84" t="inlineStr">
        <is>
          <t>F5</t>
        </is>
      </c>
      <c r="I121" s="84" t="inlineStr">
        <is>
          <t>Baixa</t>
        </is>
      </c>
      <c r="J121" s="84" t="inlineStr">
        <is>
          <t>Planejada</t>
        </is>
      </c>
      <c r="K121" s="84" t="inlineStr">
        <is>
          <t>FN-095, FN-113</t>
        </is>
      </c>
      <c r="L121" s="84" t="inlineStr">
        <is>
          <t>T-113</t>
        </is>
      </c>
      <c r="M121" s="84" t="inlineStr">
        <is>
          <t>Não</t>
        </is>
      </c>
      <c r="N121" s="84" t="n"/>
    </row>
    <row r="122" ht="15" customHeight="1" s="50">
      <c r="A122" s="84" t="inlineStr">
        <is>
          <t>T-118</t>
        </is>
      </c>
      <c r="B122" s="84" t="inlineStr">
        <is>
          <t>Orçamento</t>
        </is>
      </c>
      <c r="C122" s="84" t="inlineStr">
        <is>
          <t>Cenários de projeção</t>
        </is>
      </c>
      <c r="D122" s="84" t="inlineStr">
        <is>
          <t>Comparative</t>
        </is>
      </c>
      <c r="E122" s="85">
        <f>IF(D122="","",IFERROR(INDEX(Arquétipos!$B$5:$B$40,MATCH(D122,Arquétipos!$A$5:$A$40,0)),""))</f>
        <v/>
      </c>
      <c r="F122" s="84" t="n"/>
      <c r="G122" s="84" t="n"/>
      <c r="H122" s="84" t="inlineStr">
        <is>
          <t>F6</t>
        </is>
      </c>
      <c r="I122" s="84" t="inlineStr">
        <is>
          <t>Baixa</t>
        </is>
      </c>
      <c r="J122" s="84" t="inlineStr">
        <is>
          <t>Planejada</t>
        </is>
      </c>
      <c r="K122" s="84" t="inlineStr">
        <is>
          <t>FN-094</t>
        </is>
      </c>
      <c r="L122" s="84" t="inlineStr">
        <is>
          <t>T-113</t>
        </is>
      </c>
      <c r="M122" s="84" t="inlineStr">
        <is>
          <t>Não</t>
        </is>
      </c>
      <c r="N122" s="84" t="n"/>
    </row>
    <row r="123" ht="15" customHeight="1" s="50">
      <c r="A123" s="84" t="inlineStr">
        <is>
          <t>T-119</t>
        </is>
      </c>
      <c r="B123" s="84" t="inlineStr">
        <is>
          <t>Relatórios Financeiros</t>
        </is>
      </c>
      <c r="C123" s="84" t="inlineStr">
        <is>
          <t>Balanço patrimonial</t>
        </is>
      </c>
      <c r="D123" s="84" t="inlineStr">
        <is>
          <t>Report</t>
        </is>
      </c>
      <c r="E123" s="85">
        <f>IF(D123="","",IFERROR(INDEX(Arquétipos!$B$5:$B$40,MATCH(D123,Arquétipos!$A$5:$A$40,0)),""))</f>
        <v/>
      </c>
      <c r="F123" s="84" t="n"/>
      <c r="G123" s="84" t="n"/>
      <c r="H123" s="84" t="inlineStr">
        <is>
          <t>F4</t>
        </is>
      </c>
      <c r="I123" s="84" t="inlineStr">
        <is>
          <t>Alta</t>
        </is>
      </c>
      <c r="J123" s="84" t="inlineStr">
        <is>
          <t>Planejada</t>
        </is>
      </c>
      <c r="K123" s="84" t="inlineStr">
        <is>
          <t>FN-096, FN-100</t>
        </is>
      </c>
      <c r="L123" s="84" t="inlineStr">
        <is>
          <t>T-059</t>
        </is>
      </c>
      <c r="M123" s="84" t="inlineStr">
        <is>
          <t>Não</t>
        </is>
      </c>
      <c r="N123" s="84" t="n"/>
    </row>
    <row r="124" ht="15" customHeight="1" s="50">
      <c r="A124" s="84" t="inlineStr">
        <is>
          <t>T-120</t>
        </is>
      </c>
      <c r="B124" s="84" t="inlineStr">
        <is>
          <t>Relatórios Financeiros</t>
        </is>
      </c>
      <c r="C124" s="84" t="inlineStr">
        <is>
          <t>DRE</t>
        </is>
      </c>
      <c r="D124" s="84" t="inlineStr">
        <is>
          <t>Report</t>
        </is>
      </c>
      <c r="E124" s="85">
        <f>IF(D124="","",IFERROR(INDEX(Arquétipos!$B$5:$B$40,MATCH(D124,Arquétipos!$A$5:$A$40,0)),""))</f>
        <v/>
      </c>
      <c r="F124" s="84" t="n"/>
      <c r="G124" s="84" t="n"/>
      <c r="H124" s="84" t="inlineStr">
        <is>
          <t>F4</t>
        </is>
      </c>
      <c r="I124" s="84" t="inlineStr">
        <is>
          <t>Alta</t>
        </is>
      </c>
      <c r="J124" s="84" t="inlineStr">
        <is>
          <t>Planejada</t>
        </is>
      </c>
      <c r="K124" s="84" t="inlineStr">
        <is>
          <t>FN-097, FN-100</t>
        </is>
      </c>
      <c r="L124" s="84" t="inlineStr">
        <is>
          <t>T-059</t>
        </is>
      </c>
      <c r="M124" s="84" t="inlineStr">
        <is>
          <t>Não</t>
        </is>
      </c>
      <c r="N124" s="84" t="n"/>
    </row>
    <row r="125" ht="15" customHeight="1" s="50">
      <c r="A125" s="84" t="inlineStr">
        <is>
          <t>T-121</t>
        </is>
      </c>
      <c r="B125" s="84" t="inlineStr">
        <is>
          <t>Relatórios Financeiros</t>
        </is>
      </c>
      <c r="C125" s="84" t="inlineStr">
        <is>
          <t>Fluxo de caixa (DFC)</t>
        </is>
      </c>
      <c r="D125" s="84" t="inlineStr">
        <is>
          <t>Report</t>
        </is>
      </c>
      <c r="E125" s="85">
        <f>IF(D125="","",IFERROR(INDEX(Arquétipos!$B$5:$B$40,MATCH(D125,Arquétipos!$A$5:$A$40,0)),""))</f>
        <v/>
      </c>
      <c r="F125" s="84" t="n"/>
      <c r="G125" s="84" t="n"/>
      <c r="H125" s="84" t="inlineStr">
        <is>
          <t>F4</t>
        </is>
      </c>
      <c r="I125" s="84" t="inlineStr">
        <is>
          <t>Média</t>
        </is>
      </c>
      <c r="J125" s="84" t="inlineStr">
        <is>
          <t>Planejada</t>
        </is>
      </c>
      <c r="K125" s="84" t="inlineStr">
        <is>
          <t>FN-098, FN-100</t>
        </is>
      </c>
      <c r="L125" s="84" t="inlineStr">
        <is>
          <t>T-059</t>
        </is>
      </c>
      <c r="M125" s="84" t="inlineStr">
        <is>
          <t>Não</t>
        </is>
      </c>
      <c r="N125" s="84" t="n"/>
    </row>
    <row r="126" ht="15" customHeight="1" s="50">
      <c r="A126" s="84" t="inlineStr">
        <is>
          <t>T-122</t>
        </is>
      </c>
      <c r="B126" s="84" t="inlineStr">
        <is>
          <t>Relatórios Financeiros</t>
        </is>
      </c>
      <c r="C126" s="84" t="inlineStr">
        <is>
          <t>Indicadores financeiros</t>
        </is>
      </c>
      <c r="D126" s="84" t="inlineStr">
        <is>
          <t>Dashboard</t>
        </is>
      </c>
      <c r="E126" s="85">
        <f>IF(D126="","",IFERROR(INDEX(Arquétipos!$B$5:$B$40,MATCH(D126,Arquétipos!$A$5:$A$40,0)),""))</f>
        <v/>
      </c>
      <c r="F126" s="84" t="n"/>
      <c r="G126" s="84" t="n"/>
      <c r="H126" s="84" t="inlineStr">
        <is>
          <t>F4</t>
        </is>
      </c>
      <c r="I126" s="84" t="inlineStr">
        <is>
          <t>Média</t>
        </is>
      </c>
      <c r="J126" s="84" t="inlineStr">
        <is>
          <t>Planejada</t>
        </is>
      </c>
      <c r="K126" s="84" t="inlineStr">
        <is>
          <t>FN-101</t>
        </is>
      </c>
      <c r="L126" s="84" t="inlineStr">
        <is>
          <t>T-059</t>
        </is>
      </c>
      <c r="M126" s="84" t="inlineStr">
        <is>
          <t>Não</t>
        </is>
      </c>
      <c r="N126" s="84" t="n"/>
    </row>
    <row r="127" ht="15" customHeight="1" s="50">
      <c r="A127" s="84" t="inlineStr">
        <is>
          <t>T-123</t>
        </is>
      </c>
      <c r="B127" s="84" t="inlineStr">
        <is>
          <t>Relatórios Financeiros</t>
        </is>
      </c>
      <c r="C127" s="84" t="inlineStr">
        <is>
          <t>Análise contábil livre</t>
        </is>
      </c>
      <c r="D127" s="84" t="inlineStr">
        <is>
          <t>Pivot</t>
        </is>
      </c>
      <c r="E127" s="85">
        <f>IF(D127="","",IFERROR(INDEX(Arquétipos!$B$5:$B$40,MATCH(D127,Arquétipos!$A$5:$A$40,0)),""))</f>
        <v/>
      </c>
      <c r="F127" s="84" t="n"/>
      <c r="G127" s="84" t="n"/>
      <c r="H127" s="84" t="inlineStr">
        <is>
          <t>F4</t>
        </is>
      </c>
      <c r="I127" s="84" t="inlineStr">
        <is>
          <t>Média</t>
        </is>
      </c>
      <c r="J127" s="84" t="inlineStr">
        <is>
          <t>Planejada</t>
        </is>
      </c>
      <c r="K127" s="84" t="inlineStr">
        <is>
          <t>FN-051</t>
        </is>
      </c>
      <c r="L127" s="84" t="inlineStr">
        <is>
          <t>T-059</t>
        </is>
      </c>
      <c r="M127" s="84" t="inlineStr">
        <is>
          <t>Não</t>
        </is>
      </c>
      <c r="N127" s="84" t="n"/>
    </row>
    <row r="128" ht="15" customHeight="1" s="50">
      <c r="A128" s="84" t="inlineStr">
        <is>
          <t>T-124</t>
        </is>
      </c>
      <c r="B128" s="84" t="inlineStr">
        <is>
          <t>Relatórios Financeiros</t>
        </is>
      </c>
      <c r="C128" s="84" t="inlineStr">
        <is>
          <t>Biblioteca de relatórios</t>
        </is>
      </c>
      <c r="D128" s="84" t="inlineStr">
        <is>
          <t>List</t>
        </is>
      </c>
      <c r="E128" s="85">
        <f>IF(D128="","",IFERROR(INDEX(Arquétipos!$B$5:$B$40,MATCH(D128,Arquétipos!$A$5:$A$40,0)),""))</f>
        <v/>
      </c>
      <c r="F128" s="84" t="n"/>
      <c r="G128" s="84" t="n"/>
      <c r="H128" s="84" t="inlineStr">
        <is>
          <t>F4</t>
        </is>
      </c>
      <c r="I128" s="84" t="inlineStr">
        <is>
          <t>Média</t>
        </is>
      </c>
      <c r="J128" s="84" t="inlineStr">
        <is>
          <t>Planejada</t>
        </is>
      </c>
      <c r="K128" s="84" t="n"/>
      <c r="L128" s="84" t="inlineStr">
        <is>
          <t>T-002</t>
        </is>
      </c>
      <c r="M128" s="84" t="inlineStr">
        <is>
          <t>Não</t>
        </is>
      </c>
      <c r="N128" s="84" t="n"/>
    </row>
    <row r="129" ht="15" customHeight="1" s="50">
      <c r="A129" s="84" t="inlineStr">
        <is>
          <t>T-125</t>
        </is>
      </c>
      <c r="B129" s="84" t="inlineStr">
        <is>
          <t>Relatórios Financeiros</t>
        </is>
      </c>
      <c r="C129" s="84" t="inlineStr">
        <is>
          <t>Mutações do patrimônio líquido (DMPL)</t>
        </is>
      </c>
      <c r="D129" s="84" t="inlineStr">
        <is>
          <t>Report</t>
        </is>
      </c>
      <c r="E129" s="85">
        <f>IF(D129="","",IFERROR(INDEX(Arquétipos!$B$5:$B$40,MATCH(D129,Arquétipos!$A$5:$A$40,0)),""))</f>
        <v/>
      </c>
      <c r="F129" s="84" t="n"/>
      <c r="G129" s="84" t="n"/>
      <c r="H129" s="84" t="inlineStr">
        <is>
          <t>F5</t>
        </is>
      </c>
      <c r="I129" s="84" t="inlineStr">
        <is>
          <t>Baixa</t>
        </is>
      </c>
      <c r="J129" s="84" t="inlineStr">
        <is>
          <t>Planejada</t>
        </is>
      </c>
      <c r="K129" s="84" t="inlineStr">
        <is>
          <t>FN-099</t>
        </is>
      </c>
      <c r="L129" s="84" t="inlineStr">
        <is>
          <t>T-059</t>
        </is>
      </c>
      <c r="M129" s="84" t="inlineStr">
        <is>
          <t>Não</t>
        </is>
      </c>
      <c r="N129" s="84" t="n"/>
    </row>
    <row r="130" ht="15" customHeight="1" s="50">
      <c r="A130" s="84" t="inlineStr">
        <is>
          <t>T-126</t>
        </is>
      </c>
      <c r="B130" s="84" t="inlineStr">
        <is>
          <t>Relatórios Financeiros</t>
        </is>
      </c>
      <c r="C130" s="84" t="inlineStr">
        <is>
          <t>Construtor de relatórios</t>
        </is>
      </c>
      <c r="D130" s="84" t="inlineStr">
        <is>
          <t>Form</t>
        </is>
      </c>
      <c r="E130" s="85">
        <f>IF(D130="","",IFERROR(INDEX(Arquétipos!$B$5:$B$40,MATCH(D130,Arquétipos!$A$5:$A$40,0)),""))</f>
        <v/>
      </c>
      <c r="F130" s="84" t="n"/>
      <c r="G130" s="84" t="n"/>
      <c r="H130" s="84" t="inlineStr">
        <is>
          <t>F6</t>
        </is>
      </c>
      <c r="I130" s="84" t="inlineStr">
        <is>
          <t>Baixa</t>
        </is>
      </c>
      <c r="J130" s="84" t="inlineStr">
        <is>
          <t>Planejada</t>
        </is>
      </c>
      <c r="K130" s="84" t="n"/>
      <c r="L130" s="84" t="n"/>
      <c r="M130" s="84" t="inlineStr">
        <is>
          <t>Não</t>
        </is>
      </c>
      <c r="N130" s="84" t="n"/>
    </row>
    <row r="131" ht="15" customHeight="1" s="50">
      <c r="A131" s="84" t="inlineStr">
        <is>
          <t>T-127</t>
        </is>
      </c>
      <c r="B131" s="84" t="inlineStr">
        <is>
          <t>Relatórios Financeiros</t>
        </is>
      </c>
      <c r="C131" s="84" t="inlineStr">
        <is>
          <t>Agendamento de relatórios</t>
        </is>
      </c>
      <c r="D131" s="84" t="inlineStr">
        <is>
          <t>Settings</t>
        </is>
      </c>
      <c r="E131" s="85">
        <f>IF(D131="","",IFERROR(INDEX(Arquétipos!$B$5:$B$40,MATCH(D131,Arquétipos!$A$5:$A$40,0)),""))</f>
        <v/>
      </c>
      <c r="F131" s="84" t="n"/>
      <c r="G131" s="84" t="n"/>
      <c r="H131" s="84" t="inlineStr">
        <is>
          <t>F6</t>
        </is>
      </c>
      <c r="I131" s="84" t="inlineStr">
        <is>
          <t>Baixa</t>
        </is>
      </c>
      <c r="J131" s="84" t="inlineStr">
        <is>
          <t>Planejada</t>
        </is>
      </c>
      <c r="K131" s="84" t="n"/>
      <c r="L131" s="84" t="n"/>
      <c r="M131" s="84" t="inlineStr">
        <is>
          <t>Não</t>
        </is>
      </c>
      <c r="N131" s="84" t="n"/>
    </row>
    <row r="132" ht="15" customHeight="1" s="50">
      <c r="A132" s="84" t="inlineStr">
        <is>
          <t>T-128</t>
        </is>
      </c>
      <c r="B132" s="84" t="inlineStr">
        <is>
          <t>Relatórios Financeiros</t>
        </is>
      </c>
      <c r="C132" s="84" t="inlineStr">
        <is>
          <t>Notas explicativas</t>
        </is>
      </c>
      <c r="D132" s="84" t="inlineStr">
        <is>
          <t>Document</t>
        </is>
      </c>
      <c r="E132" s="85">
        <f>IF(D132="","",IFERROR(INDEX(Arquétipos!$B$5:$B$40,MATCH(D132,Arquétipos!$A$5:$A$40,0)),""))</f>
        <v/>
      </c>
      <c r="F132" s="84" t="n"/>
      <c r="G132" s="84" t="n"/>
      <c r="H132" s="84" t="inlineStr">
        <is>
          <t>F6</t>
        </is>
      </c>
      <c r="I132" s="84" t="inlineStr">
        <is>
          <t>Baixa</t>
        </is>
      </c>
      <c r="J132" s="84" t="inlineStr">
        <is>
          <t>Planejada</t>
        </is>
      </c>
      <c r="K132" s="84" t="n"/>
      <c r="L132" s="84" t="n"/>
      <c r="M132" s="84" t="inlineStr">
        <is>
          <t>Não</t>
        </is>
      </c>
      <c r="N132" s="84" t="n"/>
    </row>
    <row r="133" ht="15" customHeight="1" s="50">
      <c r="A133" s="84" t="inlineStr">
        <is>
          <t>T-129</t>
        </is>
      </c>
      <c r="B133" s="84" t="inlineStr">
        <is>
          <t>Fiscal e Tributos</t>
        </is>
      </c>
      <c r="C133" s="84" t="inlineStr">
        <is>
          <t>Impostos</t>
        </is>
      </c>
      <c r="D133" s="84" t="inlineStr">
        <is>
          <t>List</t>
        </is>
      </c>
      <c r="E133" s="85">
        <f>IF(D133="","",IFERROR(INDEX(Arquétipos!$B$5:$B$40,MATCH(D133,Arquétipos!$A$5:$A$40,0)),""))</f>
        <v/>
      </c>
      <c r="F133" s="84" t="n"/>
      <c r="G133" s="84" t="n"/>
      <c r="H133" s="84" t="inlineStr">
        <is>
          <t>F5</t>
        </is>
      </c>
      <c r="I133" s="84" t="inlineStr">
        <is>
          <t>Média</t>
        </is>
      </c>
      <c r="J133" s="84" t="inlineStr">
        <is>
          <t>Planejada</t>
        </is>
      </c>
      <c r="K133" s="84" t="n"/>
      <c r="L133" s="84" t="n"/>
      <c r="M133" s="84" t="inlineStr">
        <is>
          <t>Não</t>
        </is>
      </c>
      <c r="N133" s="84" t="n"/>
    </row>
    <row r="134" ht="15" customHeight="1" s="50">
      <c r="A134" s="84" t="inlineStr">
        <is>
          <t>T-130</t>
        </is>
      </c>
      <c r="B134" s="84" t="inlineStr">
        <is>
          <t>Fiscal e Tributos</t>
        </is>
      </c>
      <c r="C134" s="84" t="inlineStr">
        <is>
          <t>Imposto</t>
        </is>
      </c>
      <c r="D134" s="84" t="inlineStr">
        <is>
          <t>Form</t>
        </is>
      </c>
      <c r="E134" s="85">
        <f>IF(D134="","",IFERROR(INDEX(Arquétipos!$B$5:$B$40,MATCH(D134,Arquétipos!$A$5:$A$40,0)),""))</f>
        <v/>
      </c>
      <c r="F134" s="84" t="n"/>
      <c r="G134" s="84" t="n"/>
      <c r="H134" s="84" t="inlineStr">
        <is>
          <t>F5</t>
        </is>
      </c>
      <c r="I134" s="84" t="inlineStr">
        <is>
          <t>Média</t>
        </is>
      </c>
      <c r="J134" s="84" t="inlineStr">
        <is>
          <t>Planejada</t>
        </is>
      </c>
      <c r="K134" s="84" t="inlineStr">
        <is>
          <t>FN-102</t>
        </is>
      </c>
      <c r="L134" s="84" t="inlineStr">
        <is>
          <t>T-129</t>
        </is>
      </c>
      <c r="M134" s="84" t="inlineStr">
        <is>
          <t>Não</t>
        </is>
      </c>
      <c r="N134" s="84" t="n"/>
    </row>
    <row r="135" ht="15" customHeight="1" s="50">
      <c r="A135" s="84" t="inlineStr">
        <is>
          <t>T-131</t>
        </is>
      </c>
      <c r="B135" s="84" t="inlineStr">
        <is>
          <t>Fiscal e Tributos</t>
        </is>
      </c>
      <c r="C135" s="84" t="inlineStr">
        <is>
          <t>Posições fiscais</t>
        </is>
      </c>
      <c r="D135" s="84" t="inlineStr">
        <is>
          <t>Mapping</t>
        </is>
      </c>
      <c r="E135" s="85">
        <f>IF(D135="","",IFERROR(INDEX(Arquétipos!$B$5:$B$40,MATCH(D135,Arquétipos!$A$5:$A$40,0)),""))</f>
        <v/>
      </c>
      <c r="F135" s="84" t="n"/>
      <c r="G135" s="84" t="n"/>
      <c r="H135" s="84" t="inlineStr">
        <is>
          <t>F5</t>
        </is>
      </c>
      <c r="I135" s="84" t="inlineStr">
        <is>
          <t>Baixa</t>
        </is>
      </c>
      <c r="J135" s="84" t="inlineStr">
        <is>
          <t>Planejada</t>
        </is>
      </c>
      <c r="K135" s="84" t="n"/>
      <c r="L135" s="84" t="inlineStr">
        <is>
          <t>T-129</t>
        </is>
      </c>
      <c r="M135" s="84" t="inlineStr">
        <is>
          <t>Não</t>
        </is>
      </c>
      <c r="N135" s="84" t="n"/>
    </row>
    <row r="136" ht="15" customHeight="1" s="50">
      <c r="A136" s="84" t="inlineStr">
        <is>
          <t>T-132</t>
        </is>
      </c>
      <c r="B136" s="84" t="inlineStr">
        <is>
          <t>Fiscal e Tributos</t>
        </is>
      </c>
      <c r="C136" s="84" t="inlineStr">
        <is>
          <t>Retenções</t>
        </is>
      </c>
      <c r="D136" s="84" t="inlineStr">
        <is>
          <t>List</t>
        </is>
      </c>
      <c r="E136" s="85">
        <f>IF(D136="","",IFERROR(INDEX(Arquétipos!$B$5:$B$40,MATCH(D136,Arquétipos!$A$5:$A$40,0)),""))</f>
        <v/>
      </c>
      <c r="F136" s="84" t="n"/>
      <c r="G136" s="84" t="n"/>
      <c r="H136" s="84" t="inlineStr">
        <is>
          <t>F5</t>
        </is>
      </c>
      <c r="I136" s="84" t="inlineStr">
        <is>
          <t>Média</t>
        </is>
      </c>
      <c r="J136" s="84" t="inlineStr">
        <is>
          <t>Planejada</t>
        </is>
      </c>
      <c r="K136" s="84" t="inlineStr">
        <is>
          <t>FN-104</t>
        </is>
      </c>
      <c r="L136" s="84" t="inlineStr">
        <is>
          <t>T-129</t>
        </is>
      </c>
      <c r="M136" s="84" t="inlineStr">
        <is>
          <t>Não</t>
        </is>
      </c>
      <c r="N136" s="84" t="n"/>
    </row>
    <row r="137" ht="15" customHeight="1" s="50">
      <c r="A137" s="84" t="inlineStr">
        <is>
          <t>T-133</t>
        </is>
      </c>
      <c r="B137" s="84" t="inlineStr">
        <is>
          <t>Fiscal e Tributos</t>
        </is>
      </c>
      <c r="C137" s="84" t="inlineStr">
        <is>
          <t>Apuração de impostos</t>
        </is>
      </c>
      <c r="D137" s="84" t="inlineStr">
        <is>
          <t>Wizard</t>
        </is>
      </c>
      <c r="E137" s="85">
        <f>IF(D137="","",IFERROR(INDEX(Arquétipos!$B$5:$B$40,MATCH(D137,Arquétipos!$A$5:$A$40,0)),""))</f>
        <v/>
      </c>
      <c r="F137" s="84" t="n"/>
      <c r="G137" s="84" t="n"/>
      <c r="H137" s="84" t="inlineStr">
        <is>
          <t>F5</t>
        </is>
      </c>
      <c r="I137" s="84" t="inlineStr">
        <is>
          <t>Média</t>
        </is>
      </c>
      <c r="J137" s="84" t="inlineStr">
        <is>
          <t>Planejada</t>
        </is>
      </c>
      <c r="K137" s="84" t="inlineStr">
        <is>
          <t>FN-103</t>
        </is>
      </c>
      <c r="L137" s="84" t="inlineStr">
        <is>
          <t>T-129</t>
        </is>
      </c>
      <c r="M137" s="84" t="inlineStr">
        <is>
          <t>Não</t>
        </is>
      </c>
      <c r="N137" s="84" t="n"/>
    </row>
    <row r="138" ht="15" customHeight="1" s="50">
      <c r="A138" s="84" t="inlineStr">
        <is>
          <t>T-134</t>
        </is>
      </c>
      <c r="B138" s="84" t="inlineStr">
        <is>
          <t>Fiscal e Tributos</t>
        </is>
      </c>
      <c r="C138" s="84" t="inlineStr">
        <is>
          <t>Obrigações acessórias</t>
        </is>
      </c>
      <c r="D138" s="84" t="inlineStr">
        <is>
          <t>Calendar</t>
        </is>
      </c>
      <c r="E138" s="85">
        <f>IF(D138="","",IFERROR(INDEX(Arquétipos!$B$5:$B$40,MATCH(D138,Arquétipos!$A$5:$A$40,0)),""))</f>
        <v/>
      </c>
      <c r="F138" s="84" t="n"/>
      <c r="G138" s="84" t="n"/>
      <c r="H138" s="84" t="inlineStr">
        <is>
          <t>F5</t>
        </is>
      </c>
      <c r="I138" s="84" t="inlineStr">
        <is>
          <t>Baixa</t>
        </is>
      </c>
      <c r="J138" s="84" t="inlineStr">
        <is>
          <t>Planejada</t>
        </is>
      </c>
      <c r="K138" s="84" t="n"/>
      <c r="L138" s="84" t="n"/>
      <c r="M138" s="84" t="inlineStr">
        <is>
          <t>Não</t>
        </is>
      </c>
      <c r="N138" s="84" t="n"/>
    </row>
    <row r="139" ht="15" customHeight="1" s="50">
      <c r="A139" s="84" t="inlineStr">
        <is>
          <t>T-135</t>
        </is>
      </c>
      <c r="B139" s="84" t="inlineStr">
        <is>
          <t>Fiscal e Tributos</t>
        </is>
      </c>
      <c r="C139" s="84" t="inlineStr">
        <is>
          <t>Geração da ECD (SPED Contábil)</t>
        </is>
      </c>
      <c r="D139" s="84" t="inlineStr">
        <is>
          <t>Wizard</t>
        </is>
      </c>
      <c r="E139" s="85">
        <f>IF(D139="","",IFERROR(INDEX(Arquétipos!$B$5:$B$40,MATCH(D139,Arquétipos!$A$5:$A$40,0)),""))</f>
        <v/>
      </c>
      <c r="F139" s="84" t="n"/>
      <c r="G139" s="84" t="inlineStr">
        <is>
          <t>Localização Brasil</t>
        </is>
      </c>
      <c r="H139" s="84" t="inlineStr">
        <is>
          <t>F5</t>
        </is>
      </c>
      <c r="I139" s="84" t="inlineStr">
        <is>
          <t>Baixa</t>
        </is>
      </c>
      <c r="J139" s="84" t="inlineStr">
        <is>
          <t>Planejada</t>
        </is>
      </c>
      <c r="K139" s="84" t="inlineStr">
        <is>
          <t>FN-105</t>
        </is>
      </c>
      <c r="L139" s="84" t="inlineStr">
        <is>
          <t>T-031, T-059</t>
        </is>
      </c>
      <c r="M139" s="84" t="inlineStr">
        <is>
          <t>Não</t>
        </is>
      </c>
      <c r="N139" s="84" t="n"/>
    </row>
    <row r="140" ht="15" customHeight="1" s="50">
      <c r="A140" s="84" t="inlineStr">
        <is>
          <t>T-136</t>
        </is>
      </c>
      <c r="B140" s="84" t="inlineStr">
        <is>
          <t>Fiscal e Tributos</t>
        </is>
      </c>
      <c r="C140" s="84" t="inlineStr">
        <is>
          <t>Guia de recolhimento</t>
        </is>
      </c>
      <c r="D140" s="84" t="inlineStr">
        <is>
          <t>Document</t>
        </is>
      </c>
      <c r="E140" s="85">
        <f>IF(D140="","",IFERROR(INDEX(Arquétipos!$B$5:$B$40,MATCH(D140,Arquétipos!$A$5:$A$40,0)),""))</f>
        <v/>
      </c>
      <c r="F140" s="84" t="n"/>
      <c r="G140" s="84" t="n"/>
      <c r="H140" s="84" t="inlineStr">
        <is>
          <t>F5</t>
        </is>
      </c>
      <c r="I140" s="84" t="inlineStr">
        <is>
          <t>Baixa</t>
        </is>
      </c>
      <c r="J140" s="84" t="inlineStr">
        <is>
          <t>Planejada</t>
        </is>
      </c>
      <c r="K140" s="84" t="inlineStr">
        <is>
          <t>FN-117</t>
        </is>
      </c>
      <c r="L140" s="84" t="inlineStr">
        <is>
          <t>T-129</t>
        </is>
      </c>
      <c r="M140" s="84" t="inlineStr">
        <is>
          <t>Não</t>
        </is>
      </c>
      <c r="N140" s="84" t="n"/>
    </row>
    <row r="141" ht="15" customHeight="1" s="50">
      <c r="A141" s="84" t="inlineStr">
        <is>
          <t>T-137</t>
        </is>
      </c>
      <c r="B141" s="84" t="inlineStr">
        <is>
          <t>Ativo Imobilizado</t>
        </is>
      </c>
      <c r="C141" s="84" t="inlineStr">
        <is>
          <t>Ativos imobilizados</t>
        </is>
      </c>
      <c r="D141" s="84" t="inlineStr">
        <is>
          <t>List</t>
        </is>
      </c>
      <c r="E141" s="85">
        <f>IF(D141="","",IFERROR(INDEX(Arquétipos!$B$5:$B$40,MATCH(D141,Arquétipos!$A$5:$A$40,0)),""))</f>
        <v/>
      </c>
      <c r="F141" s="84" t="n"/>
      <c r="G141" s="84" t="n"/>
      <c r="H141" s="84" t="inlineStr">
        <is>
          <t>F5</t>
        </is>
      </c>
      <c r="I141" s="84" t="inlineStr">
        <is>
          <t>Média</t>
        </is>
      </c>
      <c r="J141" s="84" t="inlineStr">
        <is>
          <t>Planejada</t>
        </is>
      </c>
      <c r="K141" s="84" t="n"/>
      <c r="L141" s="84" t="n"/>
      <c r="M141" s="84" t="inlineStr">
        <is>
          <t>Não</t>
        </is>
      </c>
      <c r="N141" s="84" t="n"/>
    </row>
    <row r="142" ht="15" customHeight="1" s="50">
      <c r="A142" s="84" t="inlineStr">
        <is>
          <t>T-138</t>
        </is>
      </c>
      <c r="B142" s="84" t="inlineStr">
        <is>
          <t>Ativo Imobilizado</t>
        </is>
      </c>
      <c r="C142" s="84" t="inlineStr">
        <is>
          <t>Ativo</t>
        </is>
      </c>
      <c r="D142" s="84" t="inlineStr">
        <is>
          <t>Form</t>
        </is>
      </c>
      <c r="E142" s="85">
        <f>IF(D142="","",IFERROR(INDEX(Arquétipos!$B$5:$B$40,MATCH(D142,Arquétipos!$A$5:$A$40,0)),""))</f>
        <v/>
      </c>
      <c r="F142" s="84" t="n"/>
      <c r="G142" s="84" t="n"/>
      <c r="H142" s="84" t="inlineStr">
        <is>
          <t>F5</t>
        </is>
      </c>
      <c r="I142" s="84" t="inlineStr">
        <is>
          <t>Média</t>
        </is>
      </c>
      <c r="J142" s="84" t="inlineStr">
        <is>
          <t>Planejada</t>
        </is>
      </c>
      <c r="K142" s="84" t="n"/>
      <c r="L142" s="84" t="inlineStr">
        <is>
          <t>T-137</t>
        </is>
      </c>
      <c r="M142" s="84" t="inlineStr">
        <is>
          <t>Não</t>
        </is>
      </c>
      <c r="N142" s="84" t="n"/>
    </row>
    <row r="143" ht="15" customHeight="1" s="50">
      <c r="A143" s="84" t="inlineStr">
        <is>
          <t>T-139</t>
        </is>
      </c>
      <c r="B143" s="84" t="inlineStr">
        <is>
          <t>Ativo Imobilizado</t>
        </is>
      </c>
      <c r="C143" s="84" t="inlineStr">
        <is>
          <t>Depreciação mensal</t>
        </is>
      </c>
      <c r="D143" s="84" t="inlineStr">
        <is>
          <t>Wizard</t>
        </is>
      </c>
      <c r="E143" s="85">
        <f>IF(D143="","",IFERROR(INDEX(Arquétipos!$B$5:$B$40,MATCH(D143,Arquétipos!$A$5:$A$40,0)),""))</f>
        <v/>
      </c>
      <c r="F143" s="84" t="n"/>
      <c r="G143" s="84" t="n"/>
      <c r="H143" s="84" t="inlineStr">
        <is>
          <t>F5</t>
        </is>
      </c>
      <c r="I143" s="84" t="inlineStr">
        <is>
          <t>Média</t>
        </is>
      </c>
      <c r="J143" s="84" t="inlineStr">
        <is>
          <t>Planejada</t>
        </is>
      </c>
      <c r="K143" s="84" t="inlineStr">
        <is>
          <t>FN-106</t>
        </is>
      </c>
      <c r="L143" s="84" t="inlineStr">
        <is>
          <t>T-137, T-044</t>
        </is>
      </c>
      <c r="M143" s="84" t="inlineStr">
        <is>
          <t>Não</t>
        </is>
      </c>
      <c r="N143" s="84" t="n"/>
    </row>
    <row r="144" ht="15" customHeight="1" s="50">
      <c r="A144" s="84" t="inlineStr">
        <is>
          <t>T-140</t>
        </is>
      </c>
      <c r="B144" s="84" t="inlineStr">
        <is>
          <t>Ativo Imobilizado</t>
        </is>
      </c>
      <c r="C144" s="84" t="inlineStr">
        <is>
          <t>Mapa de depreciação</t>
        </is>
      </c>
      <c r="D144" s="84" t="inlineStr">
        <is>
          <t>Report</t>
        </is>
      </c>
      <c r="E144" s="85">
        <f>IF(D144="","",IFERROR(INDEX(Arquétipos!$B$5:$B$40,MATCH(D144,Arquétipos!$A$5:$A$40,0)),""))</f>
        <v/>
      </c>
      <c r="F144" s="84" t="n"/>
      <c r="G144" s="84" t="n"/>
      <c r="H144" s="84" t="inlineStr">
        <is>
          <t>F5</t>
        </is>
      </c>
      <c r="I144" s="84" t="inlineStr">
        <is>
          <t>Média</t>
        </is>
      </c>
      <c r="J144" s="84" t="inlineStr">
        <is>
          <t>Planejada</t>
        </is>
      </c>
      <c r="K144" s="84" t="inlineStr">
        <is>
          <t>FN-106</t>
        </is>
      </c>
      <c r="L144" s="84" t="inlineStr">
        <is>
          <t>T-137</t>
        </is>
      </c>
      <c r="M144" s="84" t="inlineStr">
        <is>
          <t>Não</t>
        </is>
      </c>
      <c r="N144" s="84" t="n"/>
    </row>
    <row r="145" ht="15" customHeight="1" s="50">
      <c r="A145" s="84" t="inlineStr">
        <is>
          <t>T-141</t>
        </is>
      </c>
      <c r="B145" s="84" t="inlineStr">
        <is>
          <t>Ativo Imobilizado</t>
        </is>
      </c>
      <c r="C145" s="84" t="inlineStr">
        <is>
          <t>Baixa de ativo</t>
        </is>
      </c>
      <c r="D145" s="84" t="inlineStr">
        <is>
          <t>Wizard</t>
        </is>
      </c>
      <c r="E145" s="85">
        <f>IF(D145="","",IFERROR(INDEX(Arquétipos!$B$5:$B$40,MATCH(D145,Arquétipos!$A$5:$A$40,0)),""))</f>
        <v/>
      </c>
      <c r="F145" s="84" t="n"/>
      <c r="G145" s="84" t="n"/>
      <c r="H145" s="84" t="inlineStr">
        <is>
          <t>F5</t>
        </is>
      </c>
      <c r="I145" s="84" t="inlineStr">
        <is>
          <t>Baixa</t>
        </is>
      </c>
      <c r="J145" s="84" t="inlineStr">
        <is>
          <t>Planejada</t>
        </is>
      </c>
      <c r="K145" s="84" t="inlineStr">
        <is>
          <t>FN-107</t>
        </is>
      </c>
      <c r="L145" s="84" t="inlineStr">
        <is>
          <t>T-137</t>
        </is>
      </c>
      <c r="M145" s="84" t="inlineStr">
        <is>
          <t>Não</t>
        </is>
      </c>
      <c r="N145" s="84" t="n"/>
    </row>
    <row r="146" ht="15" customHeight="1" s="50">
      <c r="A146" s="84" t="inlineStr">
        <is>
          <t>T-142</t>
        </is>
      </c>
      <c r="B146" s="84" t="inlineStr">
        <is>
          <t>Importação e Integração</t>
        </is>
      </c>
      <c r="C146" s="84" t="inlineStr">
        <is>
          <t>Central de importações</t>
        </is>
      </c>
      <c r="D146" s="84" t="inlineStr">
        <is>
          <t>List</t>
        </is>
      </c>
      <c r="E146" s="85">
        <f>IF(D146="","",IFERROR(INDEX(Arquétipos!$B$5:$B$40,MATCH(D146,Arquétipos!$A$5:$A$40,0)),""))</f>
        <v/>
      </c>
      <c r="F146" s="84" t="n"/>
      <c r="G146" s="84" t="n"/>
      <c r="H146" s="84" t="inlineStr">
        <is>
          <t>F3</t>
        </is>
      </c>
      <c r="I146" s="84" t="inlineStr">
        <is>
          <t>Média</t>
        </is>
      </c>
      <c r="J146" s="84" t="inlineStr">
        <is>
          <t>Planejada</t>
        </is>
      </c>
      <c r="K146" s="84" t="inlineStr">
        <is>
          <t>FN-108</t>
        </is>
      </c>
      <c r="L146" s="84" t="n"/>
      <c r="M146" s="84" t="inlineStr">
        <is>
          <t>Não</t>
        </is>
      </c>
      <c r="N146" s="84" t="n"/>
    </row>
    <row r="147" ht="15" customHeight="1" s="50">
      <c r="A147" s="84" t="inlineStr">
        <is>
          <t>T-143</t>
        </is>
      </c>
      <c r="B147" s="84" t="inlineStr">
        <is>
          <t>Importação e Integração</t>
        </is>
      </c>
      <c r="C147" s="84" t="inlineStr">
        <is>
          <t>Mapeamento de colunas</t>
        </is>
      </c>
      <c r="D147" s="84" t="inlineStr">
        <is>
          <t>Mapping</t>
        </is>
      </c>
      <c r="E147" s="85">
        <f>IF(D147="","",IFERROR(INDEX(Arquétipos!$B$5:$B$40,MATCH(D147,Arquétipos!$A$5:$A$40,0)),""))</f>
        <v/>
      </c>
      <c r="F147" s="84" t="n"/>
      <c r="G147" s="84" t="n"/>
      <c r="H147" s="84" t="inlineStr">
        <is>
          <t>F3</t>
        </is>
      </c>
      <c r="I147" s="84" t="inlineStr">
        <is>
          <t>Média</t>
        </is>
      </c>
      <c r="J147" s="84" t="inlineStr">
        <is>
          <t>Planejada</t>
        </is>
      </c>
      <c r="K147" s="84" t="inlineStr">
        <is>
          <t>FN-108</t>
        </is>
      </c>
      <c r="L147" s="84" t="n"/>
      <c r="M147" s="84" t="inlineStr">
        <is>
          <t>Não</t>
        </is>
      </c>
      <c r="N147" s="84" t="n"/>
    </row>
    <row r="148" ht="15" customHeight="1" s="50">
      <c r="A148" s="84" t="inlineStr">
        <is>
          <t>T-144</t>
        </is>
      </c>
      <c r="B148" s="84" t="inlineStr">
        <is>
          <t>Importação e Integração</t>
        </is>
      </c>
      <c r="C148" s="84" t="inlineStr">
        <is>
          <t>Histórico de importações</t>
        </is>
      </c>
      <c r="D148" s="84" t="inlineStr">
        <is>
          <t>AuditTrail</t>
        </is>
      </c>
      <c r="E148" s="85">
        <f>IF(D148="","",IFERROR(INDEX(Arquétipos!$B$5:$B$40,MATCH(D148,Arquétipos!$A$5:$A$40,0)),""))</f>
        <v/>
      </c>
      <c r="F148" s="84" t="n"/>
      <c r="G148" s="84" t="n"/>
      <c r="H148" s="84" t="inlineStr">
        <is>
          <t>F5</t>
        </is>
      </c>
      <c r="I148" s="84" t="inlineStr">
        <is>
          <t>Baixa</t>
        </is>
      </c>
      <c r="J148" s="84" t="inlineStr">
        <is>
          <t>Planejada</t>
        </is>
      </c>
      <c r="K148" s="84" t="inlineStr">
        <is>
          <t>FN-113</t>
        </is>
      </c>
      <c r="L148" s="84" t="n"/>
      <c r="M148" s="84" t="inlineStr">
        <is>
          <t>Não</t>
        </is>
      </c>
      <c r="N148" s="84" t="n"/>
    </row>
    <row r="149" ht="15" customHeight="1" s="50">
      <c r="A149" s="84" t="inlineStr">
        <is>
          <t>T-145</t>
        </is>
      </c>
      <c r="B149" s="84" t="inlineStr">
        <is>
          <t>Importação e Integração</t>
        </is>
      </c>
      <c r="C149" s="84" t="inlineStr">
        <is>
          <t>Exportação de dados</t>
        </is>
      </c>
      <c r="D149" s="84" t="inlineStr">
        <is>
          <t>Wizard</t>
        </is>
      </c>
      <c r="E149" s="85">
        <f>IF(D149="","",IFERROR(INDEX(Arquétipos!$B$5:$B$40,MATCH(D149,Arquétipos!$A$5:$A$40,0)),""))</f>
        <v/>
      </c>
      <c r="F149" s="84" t="n"/>
      <c r="G149" s="84" t="n"/>
      <c r="H149" s="84" t="inlineStr">
        <is>
          <t>F5</t>
        </is>
      </c>
      <c r="I149" s="84" t="inlineStr">
        <is>
          <t>Baixa</t>
        </is>
      </c>
      <c r="J149" s="84" t="inlineStr">
        <is>
          <t>Planejada</t>
        </is>
      </c>
      <c r="K149" s="84" t="inlineStr">
        <is>
          <t>FN-110</t>
        </is>
      </c>
      <c r="L149" s="84" t="n"/>
      <c r="M149" s="84" t="inlineStr">
        <is>
          <t>Não</t>
        </is>
      </c>
      <c r="N149" s="84" t="n"/>
    </row>
    <row r="150" ht="15" customHeight="1" s="50">
      <c r="A150" s="84" t="inlineStr">
        <is>
          <t>T-146</t>
        </is>
      </c>
      <c r="B150" s="84" t="inlineStr">
        <is>
          <t>Importação e Integração</t>
        </is>
      </c>
      <c r="C150" s="84" t="inlineStr">
        <is>
          <t>Conectores bancários</t>
        </is>
      </c>
      <c r="D150" s="84" t="inlineStr">
        <is>
          <t>List</t>
        </is>
      </c>
      <c r="E150" s="85">
        <f>IF(D150="","",IFERROR(INDEX(Arquétipos!$B$5:$B$40,MATCH(D150,Arquétipos!$A$5:$A$40,0)),""))</f>
        <v/>
      </c>
      <c r="F150" s="84" t="n"/>
      <c r="G150" s="84" t="n"/>
      <c r="H150" s="84" t="inlineStr">
        <is>
          <t>F6</t>
        </is>
      </c>
      <c r="I150" s="84" t="inlineStr">
        <is>
          <t>Baixa</t>
        </is>
      </c>
      <c r="J150" s="84" t="inlineStr">
        <is>
          <t>Planejada</t>
        </is>
      </c>
      <c r="K150" s="84" t="n"/>
      <c r="L150" s="84" t="n"/>
      <c r="M150" s="84" t="inlineStr">
        <is>
          <t>Não</t>
        </is>
      </c>
      <c r="N150" s="84" t="n"/>
    </row>
    <row r="151" ht="15" customHeight="1" s="50">
      <c r="A151" s="84" t="inlineStr">
        <is>
          <t>T-147</t>
        </is>
      </c>
      <c r="B151" s="84" t="inlineStr">
        <is>
          <t>Auditoria e Conformidade</t>
        </is>
      </c>
      <c r="C151" s="84" t="inlineStr">
        <is>
          <t>Trilha de auditoria global</t>
        </is>
      </c>
      <c r="D151" s="84" t="inlineStr">
        <is>
          <t>AuditTrail</t>
        </is>
      </c>
      <c r="E151" s="85">
        <f>IF(D151="","",IFERROR(INDEX(Arquétipos!$B$5:$B$40,MATCH(D151,Arquétipos!$A$5:$A$40,0)),""))</f>
        <v/>
      </c>
      <c r="F151" s="84" t="n"/>
      <c r="G151" s="84" t="n"/>
      <c r="H151" s="84" t="inlineStr">
        <is>
          <t>F2</t>
        </is>
      </c>
      <c r="I151" s="84" t="inlineStr">
        <is>
          <t>Alta</t>
        </is>
      </c>
      <c r="J151" s="84" t="inlineStr">
        <is>
          <t>Planejada</t>
        </is>
      </c>
      <c r="K151" s="84" t="inlineStr">
        <is>
          <t>FN-112, FN-113</t>
        </is>
      </c>
      <c r="L151" s="84" t="n"/>
      <c r="M151" s="84" t="inlineStr">
        <is>
          <t>Não</t>
        </is>
      </c>
      <c r="N151" s="84" t="n"/>
    </row>
    <row r="152" ht="15" customHeight="1" s="50">
      <c r="A152" s="84" t="inlineStr">
        <is>
          <t>T-148</t>
        </is>
      </c>
      <c r="B152" s="84" t="inlineStr">
        <is>
          <t>Auditoria e Conformidade</t>
        </is>
      </c>
      <c r="C152" s="84" t="inlineStr">
        <is>
          <t>Exceções e alertas</t>
        </is>
      </c>
      <c r="D152" s="84" t="inlineStr">
        <is>
          <t>Inbox</t>
        </is>
      </c>
      <c r="E152" s="85">
        <f>IF(D152="","",IFERROR(INDEX(Arquétipos!$B$5:$B$40,MATCH(D152,Arquétipos!$A$5:$A$40,0)),""))</f>
        <v/>
      </c>
      <c r="F152" s="84" t="n"/>
      <c r="G152" s="84" t="n"/>
      <c r="H152" s="84" t="inlineStr">
        <is>
          <t>F5</t>
        </is>
      </c>
      <c r="I152" s="84" t="inlineStr">
        <is>
          <t>Média</t>
        </is>
      </c>
      <c r="J152" s="84" t="inlineStr">
        <is>
          <t>Planejada</t>
        </is>
      </c>
      <c r="K152" s="84" t="inlineStr">
        <is>
          <t>FN-116</t>
        </is>
      </c>
      <c r="L152" s="84" t="n"/>
      <c r="M152" s="84" t="inlineStr">
        <is>
          <t>Não</t>
        </is>
      </c>
      <c r="N152" s="84" t="n"/>
    </row>
    <row r="153" ht="15" customHeight="1" s="50">
      <c r="A153" s="84" t="inlineStr">
        <is>
          <t>T-149</t>
        </is>
      </c>
      <c r="B153" s="84" t="inlineStr">
        <is>
          <t>Auditoria e Conformidade</t>
        </is>
      </c>
      <c r="C153" s="84" t="inlineStr">
        <is>
          <t>Regras de controle interno</t>
        </is>
      </c>
      <c r="D153" s="84" t="inlineStr">
        <is>
          <t>List</t>
        </is>
      </c>
      <c r="E153" s="85">
        <f>IF(D153="","",IFERROR(INDEX(Arquétipos!$B$5:$B$40,MATCH(D153,Arquétipos!$A$5:$A$40,0)),""))</f>
        <v/>
      </c>
      <c r="F153" s="84" t="n"/>
      <c r="G153" s="84" t="n"/>
      <c r="H153" s="84" t="inlineStr">
        <is>
          <t>F5</t>
        </is>
      </c>
      <c r="I153" s="84" t="inlineStr">
        <is>
          <t>Baixa</t>
        </is>
      </c>
      <c r="J153" s="84" t="inlineStr">
        <is>
          <t>Planejada</t>
        </is>
      </c>
      <c r="K153" s="84" t="inlineStr">
        <is>
          <t>FN-116</t>
        </is>
      </c>
      <c r="L153" s="84" t="n"/>
      <c r="M153" s="84" t="inlineStr">
        <is>
          <t>Não</t>
        </is>
      </c>
      <c r="N153" s="84" t="n"/>
    </row>
    <row r="154" ht="15" customHeight="1" s="50">
      <c r="A154" s="84" t="inlineStr">
        <is>
          <t>T-150</t>
        </is>
      </c>
      <c r="B154" s="84" t="inlineStr">
        <is>
          <t>Auditoria e Conformidade</t>
        </is>
      </c>
      <c r="C154" s="84" t="inlineStr">
        <is>
          <t>Verificação de integridade do razão</t>
        </is>
      </c>
      <c r="D154" s="84" t="inlineStr">
        <is>
          <t>PeriodClose</t>
        </is>
      </c>
      <c r="E154" s="85">
        <f>IF(D154="","",IFERROR(INDEX(Arquétipos!$B$5:$B$40,MATCH(D154,Arquétipos!$A$5:$A$40,0)),""))</f>
        <v/>
      </c>
      <c r="F154" s="84" t="n"/>
      <c r="G154" s="84" t="n"/>
      <c r="H154" s="84" t="inlineStr">
        <is>
          <t>F5</t>
        </is>
      </c>
      <c r="I154" s="84" t="inlineStr">
        <is>
          <t>Média</t>
        </is>
      </c>
      <c r="J154" s="84" t="inlineStr">
        <is>
          <t>Planejada</t>
        </is>
      </c>
      <c r="K154" s="84" t="inlineStr">
        <is>
          <t>FN-114</t>
        </is>
      </c>
      <c r="L154" s="84" t="n"/>
      <c r="M154" s="84" t="inlineStr">
        <is>
          <t>Não</t>
        </is>
      </c>
      <c r="N154" s="84" t="n"/>
    </row>
    <row r="155" ht="15" customHeight="1" s="50">
      <c r="A155" s="84" t="inlineStr">
        <is>
          <t>T-151</t>
        </is>
      </c>
      <c r="B155" s="84" t="inlineStr">
        <is>
          <t>Auditoria e Conformidade</t>
        </is>
      </c>
      <c r="C155" s="84" t="inlineStr">
        <is>
          <t>Segregação de funções</t>
        </is>
      </c>
      <c r="D155" s="84" t="inlineStr">
        <is>
          <t>Report</t>
        </is>
      </c>
      <c r="E155" s="85">
        <f>IF(D155="","",IFERROR(INDEX(Arquétipos!$B$5:$B$40,MATCH(D155,Arquétipos!$A$5:$A$40,0)),""))</f>
        <v/>
      </c>
      <c r="F155" s="84" t="n"/>
      <c r="G155" s="84" t="n"/>
      <c r="H155" s="84" t="inlineStr">
        <is>
          <t>F5</t>
        </is>
      </c>
      <c r="I155" s="84" t="inlineStr">
        <is>
          <t>Baixa</t>
        </is>
      </c>
      <c r="J155" s="84" t="inlineStr">
        <is>
          <t>Planejada</t>
        </is>
      </c>
      <c r="K155" s="84" t="inlineStr">
        <is>
          <t>FN-115</t>
        </is>
      </c>
      <c r="L155" s="84" t="n"/>
      <c r="M155" s="84" t="inlineStr">
        <is>
          <t>Não</t>
        </is>
      </c>
      <c r="N155" s="84" t="n"/>
    </row>
    <row r="156" ht="15" customHeight="1" s="50">
      <c r="A156" s="84" t="inlineStr">
        <is>
          <t>T-152</t>
        </is>
      </c>
      <c r="B156" s="84" t="inlineStr">
        <is>
          <t>Auditoria e Conformidade</t>
        </is>
      </c>
      <c r="C156" s="84" t="inlineStr">
        <is>
          <t>Alterações de configuração</t>
        </is>
      </c>
      <c r="D156" s="84" t="inlineStr">
        <is>
          <t>AuditTrail</t>
        </is>
      </c>
      <c r="E156" s="85">
        <f>IF(D156="","",IFERROR(INDEX(Arquétipos!$B$5:$B$40,MATCH(D156,Arquétipos!$A$5:$A$40,0)),""))</f>
        <v/>
      </c>
      <c r="F156" s="84" t="n"/>
      <c r="G156" s="84" t="n"/>
      <c r="H156" s="84" t="inlineStr">
        <is>
          <t>F5</t>
        </is>
      </c>
      <c r="I156" s="84" t="inlineStr">
        <is>
          <t>Baixa</t>
        </is>
      </c>
      <c r="J156" s="84" t="inlineStr">
        <is>
          <t>Planejada</t>
        </is>
      </c>
      <c r="K156" s="84" t="inlineStr">
        <is>
          <t>FN-113</t>
        </is>
      </c>
      <c r="L156" s="84" t="n"/>
      <c r="M156" s="84" t="inlineStr">
        <is>
          <t>Não</t>
        </is>
      </c>
      <c r="N156" s="84" t="n"/>
    </row>
    <row r="157" ht="15" customHeight="1" s="50">
      <c r="A157" s="84" t="inlineStr">
        <is>
          <t>T-153</t>
        </is>
      </c>
      <c r="B157" s="84" t="inlineStr">
        <is>
          <t>Documentos e Impressão</t>
        </is>
      </c>
      <c r="C157" s="84" t="inlineStr">
        <is>
          <t>Modelos de documento</t>
        </is>
      </c>
      <c r="D157" s="84" t="inlineStr">
        <is>
          <t>List</t>
        </is>
      </c>
      <c r="E157" s="85">
        <f>IF(D157="","",IFERROR(INDEX(Arquétipos!$B$5:$B$40,MATCH(D157,Arquétipos!$A$5:$A$40,0)),""))</f>
        <v/>
      </c>
      <c r="F157" s="84" t="n"/>
      <c r="G157" s="84" t="n"/>
      <c r="H157" s="84" t="inlineStr">
        <is>
          <t>F5</t>
        </is>
      </c>
      <c r="I157" s="84" t="inlineStr">
        <is>
          <t>Baixa</t>
        </is>
      </c>
      <c r="J157" s="84" t="inlineStr">
        <is>
          <t>Planejada</t>
        </is>
      </c>
      <c r="K157" s="84" t="inlineStr">
        <is>
          <t>FN-118</t>
        </is>
      </c>
      <c r="L157" s="84" t="n"/>
      <c r="M157" s="84" t="inlineStr">
        <is>
          <t>Não</t>
        </is>
      </c>
      <c r="N157" s="84" t="n"/>
    </row>
    <row r="158" ht="15" customHeight="1" s="50">
      <c r="A158" s="84" t="inlineStr">
        <is>
          <t>T-154</t>
        </is>
      </c>
      <c r="B158" s="84" t="inlineStr">
        <is>
          <t>Documentos e Impressão</t>
        </is>
      </c>
      <c r="C158" s="84" t="inlineStr">
        <is>
          <t>Pré-visualização de documento</t>
        </is>
      </c>
      <c r="D158" s="84" t="inlineStr">
        <is>
          <t>Document</t>
        </is>
      </c>
      <c r="E158" s="85">
        <f>IF(D158="","",IFERROR(INDEX(Arquétipos!$B$5:$B$40,MATCH(D158,Arquétipos!$A$5:$A$40,0)),""))</f>
        <v/>
      </c>
      <c r="F158" s="84" t="n"/>
      <c r="G158" s="84" t="n"/>
      <c r="H158" s="84" t="inlineStr">
        <is>
          <t>F5</t>
        </is>
      </c>
      <c r="I158" s="84" t="inlineStr">
        <is>
          <t>Média</t>
        </is>
      </c>
      <c r="J158" s="84" t="inlineStr">
        <is>
          <t>Planejada</t>
        </is>
      </c>
      <c r="K158" s="84" t="inlineStr">
        <is>
          <t>FN-117</t>
        </is>
      </c>
      <c r="L158" s="84" t="n"/>
      <c r="M158" s="84" t="inlineStr">
        <is>
          <t>Não</t>
        </is>
      </c>
      <c r="N158" s="84" t="n"/>
    </row>
    <row r="159" ht="15" customHeight="1" s="50">
      <c r="A159" s="84" t="inlineStr">
        <is>
          <t>T-155</t>
        </is>
      </c>
      <c r="B159" s="84" t="inlineStr">
        <is>
          <t>Documentos e Impressão</t>
        </is>
      </c>
      <c r="C159" s="84" t="inlineStr">
        <is>
          <t>Impressão de lançamento</t>
        </is>
      </c>
      <c r="D159" s="84" t="inlineStr">
        <is>
          <t>Document</t>
        </is>
      </c>
      <c r="E159" s="85">
        <f>IF(D159="","",IFERROR(INDEX(Arquétipos!$B$5:$B$40,MATCH(D159,Arquétipos!$A$5:$A$40,0)),""))</f>
        <v/>
      </c>
      <c r="F159" s="84" t="n"/>
      <c r="G159" s="84" t="n"/>
      <c r="H159" s="84" t="inlineStr">
        <is>
          <t>F5</t>
        </is>
      </c>
      <c r="I159" s="84" t="inlineStr">
        <is>
          <t>Média</t>
        </is>
      </c>
      <c r="J159" s="84" t="inlineStr">
        <is>
          <t>Planejada</t>
        </is>
      </c>
      <c r="K159" s="84" t="inlineStr">
        <is>
          <t>FN-117</t>
        </is>
      </c>
      <c r="L159" s="84" t="inlineStr">
        <is>
          <t>T-044</t>
        </is>
      </c>
      <c r="M159" s="84" t="inlineStr">
        <is>
          <t>Não</t>
        </is>
      </c>
      <c r="N159" s="84" t="n"/>
    </row>
    <row r="160" ht="15" customHeight="1" s="50">
      <c r="A160" s="84" t="inlineStr">
        <is>
          <t>T-156</t>
        </is>
      </c>
      <c r="B160" s="84" t="inlineStr">
        <is>
          <t>Documentos e Impressão</t>
        </is>
      </c>
      <c r="C160" s="84" t="inlineStr">
        <is>
          <t>Impressão de balancete</t>
        </is>
      </c>
      <c r="D160" s="84" t="inlineStr">
        <is>
          <t>Document</t>
        </is>
      </c>
      <c r="E160" s="85">
        <f>IF(D160="","",IFERROR(INDEX(Arquétipos!$B$5:$B$40,MATCH(D160,Arquétipos!$A$5:$A$40,0)),""))</f>
        <v/>
      </c>
      <c r="F160" s="84" t="n"/>
      <c r="G160" s="84" t="n"/>
      <c r="H160" s="84" t="inlineStr">
        <is>
          <t>F4</t>
        </is>
      </c>
      <c r="I160" s="84" t="inlineStr">
        <is>
          <t>Média</t>
        </is>
      </c>
      <c r="J160" s="84" t="inlineStr">
        <is>
          <t>Planejada</t>
        </is>
      </c>
      <c r="K160" s="84" t="inlineStr">
        <is>
          <t>FN-117</t>
        </is>
      </c>
      <c r="L160" s="84" t="inlineStr">
        <is>
          <t>T-059</t>
        </is>
      </c>
      <c r="M160" s="84" t="inlineStr">
        <is>
          <t>Não</t>
        </is>
      </c>
      <c r="N160" s="84" t="n"/>
    </row>
    <row r="161" ht="15" customHeight="1" s="50">
      <c r="A161" s="84" t="inlineStr">
        <is>
          <t>T-157</t>
        </is>
      </c>
      <c r="B161" s="84" t="inlineStr">
        <is>
          <t>Documentos e Impressão</t>
        </is>
      </c>
      <c r="C161" s="84" t="inlineStr">
        <is>
          <t>Relatório para prestação de contas</t>
        </is>
      </c>
      <c r="D161" s="84" t="inlineStr">
        <is>
          <t>Document</t>
        </is>
      </c>
      <c r="E161" s="85">
        <f>IF(D161="","",IFERROR(INDEX(Arquétipos!$B$5:$B$40,MATCH(D161,Arquétipos!$A$5:$A$40,0)),""))</f>
        <v/>
      </c>
      <c r="F161" s="84" t="n"/>
      <c r="G161" s="84" t="n"/>
      <c r="H161" s="84" t="inlineStr">
        <is>
          <t>F5</t>
        </is>
      </c>
      <c r="I161" s="84" t="inlineStr">
        <is>
          <t>Baixa</t>
        </is>
      </c>
      <c r="J161" s="84" t="inlineStr">
        <is>
          <t>Planejada</t>
        </is>
      </c>
      <c r="K161" s="84" t="inlineStr">
        <is>
          <t>FN-117</t>
        </is>
      </c>
      <c r="L161" s="84" t="n"/>
      <c r="M161" s="84" t="inlineStr">
        <is>
          <t>Não</t>
        </is>
      </c>
      <c r="N161" s="84" t="n"/>
    </row>
    <row r="162" ht="15" customHeight="1" s="50">
      <c r="A162" s="84" t="inlineStr">
        <is>
          <t>T-158</t>
        </is>
      </c>
      <c r="B162" s="84" t="inlineStr">
        <is>
          <t>Setor Público (opcional)</t>
        </is>
      </c>
      <c r="C162" s="84" t="inlineStr">
        <is>
          <t>Classificação orçamentária (receita e despesa)</t>
        </is>
      </c>
      <c r="D162" s="84" t="inlineStr">
        <is>
          <t>Tree</t>
        </is>
      </c>
      <c r="E162" s="85">
        <f>IF(D162="","",IFERROR(INDEX(Arquétipos!$B$5:$B$40,MATCH(D162,Arquétipos!$A$5:$A$40,0)),""))</f>
        <v/>
      </c>
      <c r="F162" s="84" t="n"/>
      <c r="G162" s="84" t="inlineStr">
        <is>
          <t>Opcional: PCASP/MCASP</t>
        </is>
      </c>
      <c r="H162" s="84" t="inlineStr">
        <is>
          <t>F5</t>
        </is>
      </c>
      <c r="I162" s="84" t="inlineStr">
        <is>
          <t>Baixa</t>
        </is>
      </c>
      <c r="J162" s="84" t="inlineStr">
        <is>
          <t>Planejada</t>
        </is>
      </c>
      <c r="K162" s="84" t="n"/>
      <c r="L162" s="84" t="n"/>
      <c r="M162" s="84" t="inlineStr">
        <is>
          <t>Não</t>
        </is>
      </c>
      <c r="N162" s="84" t="n"/>
    </row>
    <row r="163" ht="15" customHeight="1" s="50">
      <c r="A163" s="84" t="inlineStr">
        <is>
          <t>T-159</t>
        </is>
      </c>
      <c r="B163" s="84" t="inlineStr">
        <is>
          <t>Setor Público (opcional)</t>
        </is>
      </c>
      <c r="C163" s="84" t="inlineStr">
        <is>
          <t>Natureza da despesa</t>
        </is>
      </c>
      <c r="D163" s="84" t="inlineStr">
        <is>
          <t>Tree</t>
        </is>
      </c>
      <c r="E163" s="85">
        <f>IF(D163="","",IFERROR(INDEX(Arquétipos!$B$5:$B$40,MATCH(D163,Arquétipos!$A$5:$A$40,0)),""))</f>
        <v/>
      </c>
      <c r="F163" s="84" t="n"/>
      <c r="G163" s="84" t="n"/>
      <c r="H163" s="84" t="inlineStr">
        <is>
          <t>F5</t>
        </is>
      </c>
      <c r="I163" s="84" t="inlineStr">
        <is>
          <t>Baixa</t>
        </is>
      </c>
      <c r="J163" s="84" t="inlineStr">
        <is>
          <t>Planejada</t>
        </is>
      </c>
      <c r="K163" s="84" t="n"/>
      <c r="L163" s="84" t="n"/>
      <c r="M163" s="84" t="inlineStr">
        <is>
          <t>Não</t>
        </is>
      </c>
      <c r="N163" s="84" t="n"/>
    </row>
    <row r="164" ht="15" customHeight="1" s="50">
      <c r="A164" s="84" t="inlineStr">
        <is>
          <t>T-160</t>
        </is>
      </c>
      <c r="B164" s="84" t="inlineStr">
        <is>
          <t>Setor Público (opcional)</t>
        </is>
      </c>
      <c r="C164" s="84" t="inlineStr">
        <is>
          <t>Empenho</t>
        </is>
      </c>
      <c r="D164" s="84" t="inlineStr">
        <is>
          <t>MasterDetail</t>
        </is>
      </c>
      <c r="E164" s="85">
        <f>IF(D164="","",IFERROR(INDEX(Arquétipos!$B$5:$B$40,MATCH(D164,Arquétipos!$A$5:$A$40,0)),""))</f>
        <v/>
      </c>
      <c r="F164" s="84" t="n"/>
      <c r="G164" s="84" t="n"/>
      <c r="H164" s="84" t="inlineStr">
        <is>
          <t>F5</t>
        </is>
      </c>
      <c r="I164" s="84" t="inlineStr">
        <is>
          <t>Baixa</t>
        </is>
      </c>
      <c r="J164" s="84" t="inlineStr">
        <is>
          <t>Planejada</t>
        </is>
      </c>
      <c r="K164" s="84" t="inlineStr">
        <is>
          <t>FN-119</t>
        </is>
      </c>
      <c r="L164" s="84" t="n"/>
      <c r="M164" s="84" t="inlineStr">
        <is>
          <t>Não</t>
        </is>
      </c>
      <c r="N164" s="84" t="n"/>
    </row>
    <row r="165" ht="15" customHeight="1" s="50">
      <c r="A165" s="84" t="inlineStr">
        <is>
          <t>T-161</t>
        </is>
      </c>
      <c r="B165" s="84" t="inlineStr">
        <is>
          <t>Setor Público (opcional)</t>
        </is>
      </c>
      <c r="C165" s="84" t="inlineStr">
        <is>
          <t>Liquidação</t>
        </is>
      </c>
      <c r="D165" s="84" t="inlineStr">
        <is>
          <t>Form</t>
        </is>
      </c>
      <c r="E165" s="85">
        <f>IF(D165="","",IFERROR(INDEX(Arquétipos!$B$5:$B$40,MATCH(D165,Arquétipos!$A$5:$A$40,0)),""))</f>
        <v/>
      </c>
      <c r="F165" s="84" t="n"/>
      <c r="G165" s="84" t="n"/>
      <c r="H165" s="84" t="inlineStr">
        <is>
          <t>F5</t>
        </is>
      </c>
      <c r="I165" s="84" t="inlineStr">
        <is>
          <t>Baixa</t>
        </is>
      </c>
      <c r="J165" s="84" t="inlineStr">
        <is>
          <t>Planejada</t>
        </is>
      </c>
      <c r="K165" s="84" t="inlineStr">
        <is>
          <t>FN-120</t>
        </is>
      </c>
      <c r="L165" s="84" t="n"/>
      <c r="M165" s="84" t="inlineStr">
        <is>
          <t>Não</t>
        </is>
      </c>
      <c r="N165" s="84" t="n"/>
    </row>
    <row r="166" ht="15" customHeight="1" s="50">
      <c r="A166" s="84" t="inlineStr">
        <is>
          <t>T-162</t>
        </is>
      </c>
      <c r="B166" s="84" t="inlineStr">
        <is>
          <t>Setor Público (opcional)</t>
        </is>
      </c>
      <c r="C166" s="84" t="inlineStr">
        <is>
          <t>Pagamento orçamentário</t>
        </is>
      </c>
      <c r="D166" s="84" t="inlineStr">
        <is>
          <t>Form</t>
        </is>
      </c>
      <c r="E166" s="85">
        <f>IF(D166="","",IFERROR(INDEX(Arquétipos!$B$5:$B$40,MATCH(D166,Arquétipos!$A$5:$A$40,0)),""))</f>
        <v/>
      </c>
      <c r="F166" s="84" t="n"/>
      <c r="G166" s="84" t="n"/>
      <c r="H166" s="84" t="inlineStr">
        <is>
          <t>F5</t>
        </is>
      </c>
      <c r="I166" s="84" t="inlineStr">
        <is>
          <t>Baixa</t>
        </is>
      </c>
      <c r="J166" s="84" t="inlineStr">
        <is>
          <t>Planejada</t>
        </is>
      </c>
      <c r="K166" s="84" t="inlineStr">
        <is>
          <t>FN-121</t>
        </is>
      </c>
      <c r="L166" s="84" t="n"/>
      <c r="M166" s="84" t="inlineStr">
        <is>
          <t>Não</t>
        </is>
      </c>
      <c r="N166" s="84" t="n"/>
    </row>
    <row r="167" ht="15" customHeight="1" s="50">
      <c r="A167" s="84" t="inlineStr">
        <is>
          <t>T-163</t>
        </is>
      </c>
      <c r="B167" s="84" t="inlineStr">
        <is>
          <t>Setor Público (opcional)</t>
        </is>
      </c>
      <c r="C167" s="84" t="inlineStr">
        <is>
          <t>Execução orçamentária</t>
        </is>
      </c>
      <c r="D167" s="84" t="inlineStr">
        <is>
          <t>Comparative</t>
        </is>
      </c>
      <c r="E167" s="85">
        <f>IF(D167="","",IFERROR(INDEX(Arquétipos!$B$5:$B$40,MATCH(D167,Arquétipos!$A$5:$A$40,0)),""))</f>
        <v/>
      </c>
      <c r="F167" s="84" t="n"/>
      <c r="G167" s="84" t="n"/>
      <c r="H167" s="84" t="inlineStr">
        <is>
          <t>F5</t>
        </is>
      </c>
      <c r="I167" s="84" t="inlineStr">
        <is>
          <t>Baixa</t>
        </is>
      </c>
      <c r="J167" s="84" t="inlineStr">
        <is>
          <t>Planejada</t>
        </is>
      </c>
      <c r="K167" s="84" t="inlineStr">
        <is>
          <t>FN-122</t>
        </is>
      </c>
      <c r="L167" s="84" t="n"/>
      <c r="M167" s="84" t="inlineStr">
        <is>
          <t>Não</t>
        </is>
      </c>
      <c r="N167" s="84" t="n"/>
    </row>
    <row r="168" ht="15" customHeight="1" s="50">
      <c r="A168" s="84" t="inlineStr">
        <is>
          <t>T-164</t>
        </is>
      </c>
      <c r="B168" s="84" t="inlineStr">
        <is>
          <t>Setor Público (opcional)</t>
        </is>
      </c>
      <c r="C168" s="84" t="inlineStr">
        <is>
          <t>Restos a pagar</t>
        </is>
      </c>
      <c r="D168" s="84" t="inlineStr">
        <is>
          <t>Report</t>
        </is>
      </c>
      <c r="E168" s="85">
        <f>IF(D168="","",IFERROR(INDEX(Arquétipos!$B$5:$B$40,MATCH(D168,Arquétipos!$A$5:$A$40,0)),""))</f>
        <v/>
      </c>
      <c r="F168" s="84" t="n"/>
      <c r="G168" s="84" t="n"/>
      <c r="H168" s="84" t="inlineStr">
        <is>
          <t>F6</t>
        </is>
      </c>
      <c r="I168" s="84" t="inlineStr">
        <is>
          <t>Baixa</t>
        </is>
      </c>
      <c r="J168" s="84" t="inlineStr">
        <is>
          <t>Planejada</t>
        </is>
      </c>
      <c r="K168" s="84" t="inlineStr">
        <is>
          <t>FN-123</t>
        </is>
      </c>
      <c r="L168" s="84" t="n"/>
      <c r="M168" s="84" t="inlineStr">
        <is>
          <t>Não</t>
        </is>
      </c>
      <c r="N168" s="84" t="n"/>
    </row>
    <row r="169" ht="15" customHeight="1" s="50">
      <c r="A169" s="84" t="inlineStr">
        <is>
          <t>T-165</t>
        </is>
      </c>
      <c r="B169" s="84" t="inlineStr">
        <is>
          <t>Setor Público (opcional)</t>
        </is>
      </c>
      <c r="C169" s="84" t="inlineStr">
        <is>
          <t>Balanço orçamentário</t>
        </is>
      </c>
      <c r="D169" s="84" t="inlineStr">
        <is>
          <t>Report</t>
        </is>
      </c>
      <c r="E169" s="85">
        <f>IF(D169="","",IFERROR(INDEX(Arquétipos!$B$5:$B$40,MATCH(D169,Arquétipos!$A$5:$A$40,0)),""))</f>
        <v/>
      </c>
      <c r="F169" s="84" t="n"/>
      <c r="G169" s="84" t="n"/>
      <c r="H169" s="84" t="inlineStr">
        <is>
          <t>F6</t>
        </is>
      </c>
      <c r="I169" s="84" t="inlineStr">
        <is>
          <t>Baixa</t>
        </is>
      </c>
      <c r="J169" s="84" t="inlineStr">
        <is>
          <t>Planejada</t>
        </is>
      </c>
      <c r="K169" s="84" t="n"/>
      <c r="L169" s="84" t="n"/>
      <c r="M169" s="84" t="inlineStr">
        <is>
          <t>Não</t>
        </is>
      </c>
      <c r="N169" s="84" t="n"/>
    </row>
    <row r="170" ht="15" customHeight="1" s="50">
      <c r="A170" s="84" t="inlineStr">
        <is>
          <t>T-166</t>
        </is>
      </c>
      <c r="B170" s="84" t="inlineStr">
        <is>
          <t>Setor Público (opcional)</t>
        </is>
      </c>
      <c r="C170" s="84" t="inlineStr">
        <is>
          <t>Balanço financeiro</t>
        </is>
      </c>
      <c r="D170" s="84" t="inlineStr">
        <is>
          <t>Report</t>
        </is>
      </c>
      <c r="E170" s="85">
        <f>IF(D170="","",IFERROR(INDEX(Arquétipos!$B$5:$B$40,MATCH(D170,Arquétipos!$A$5:$A$40,0)),""))</f>
        <v/>
      </c>
      <c r="F170" s="84" t="n"/>
      <c r="G170" s="84" t="n"/>
      <c r="H170" s="84" t="inlineStr">
        <is>
          <t>F6</t>
        </is>
      </c>
      <c r="I170" s="84" t="inlineStr">
        <is>
          <t>Baixa</t>
        </is>
      </c>
      <c r="J170" s="84" t="inlineStr">
        <is>
          <t>Planejada</t>
        </is>
      </c>
      <c r="K170" s="84" t="n"/>
      <c r="L170" s="84" t="n"/>
      <c r="M170" s="84" t="inlineStr">
        <is>
          <t>Não</t>
        </is>
      </c>
      <c r="N170" s="84" t="n"/>
    </row>
    <row r="171" ht="15" customHeight="1" s="50">
      <c r="A171" s="84" t="inlineStr">
        <is>
          <t>T-167</t>
        </is>
      </c>
      <c r="B171" s="84" t="inlineStr">
        <is>
          <t>Setor Público (opcional)</t>
        </is>
      </c>
      <c r="C171" s="84" t="inlineStr">
        <is>
          <t>Demonstração das variações patrimoniais</t>
        </is>
      </c>
      <c r="D171" s="84" t="inlineStr">
        <is>
          <t>Report</t>
        </is>
      </c>
      <c r="E171" s="85">
        <f>IF(D171="","",IFERROR(INDEX(Arquétipos!$B$5:$B$40,MATCH(D171,Arquétipos!$A$5:$A$40,0)),""))</f>
        <v/>
      </c>
      <c r="F171" s="84" t="n"/>
      <c r="G171" s="84" t="n"/>
      <c r="H171" s="84" t="inlineStr">
        <is>
          <t>F6</t>
        </is>
      </c>
      <c r="I171" s="84" t="inlineStr">
        <is>
          <t>Baixa</t>
        </is>
      </c>
      <c r="J171" s="84" t="inlineStr">
        <is>
          <t>Planejada</t>
        </is>
      </c>
      <c r="K171" s="84" t="n"/>
      <c r="L171" s="84" t="n"/>
      <c r="M171" s="84" t="inlineStr">
        <is>
          <t>Não</t>
        </is>
      </c>
      <c r="N171" s="84" t="n"/>
    </row>
    <row r="172" ht="15" customHeight="1" s="50">
      <c r="A172" s="84" t="inlineStr">
        <is>
          <t>T-168</t>
        </is>
      </c>
      <c r="B172" s="84" t="inlineStr">
        <is>
          <t>Setor Público (opcional)</t>
        </is>
      </c>
      <c r="C172" s="84" t="inlineStr">
        <is>
          <t>Conciliação de saldos PCASP</t>
        </is>
      </c>
      <c r="D172" s="84" t="inlineStr">
        <is>
          <t>Reconciliation</t>
        </is>
      </c>
      <c r="E172" s="85">
        <f>IF(D172="","",IFERROR(INDEX(Arquétipos!$B$5:$B$40,MATCH(D172,Arquétipos!$A$5:$A$40,0)),""))</f>
        <v/>
      </c>
      <c r="F172" s="84" t="n"/>
      <c r="G172" s="84" t="n"/>
      <c r="H172" s="84" t="inlineStr">
        <is>
          <t>F6</t>
        </is>
      </c>
      <c r="I172" s="84" t="inlineStr">
        <is>
          <t>Baixa</t>
        </is>
      </c>
      <c r="J172" s="84" t="inlineStr">
        <is>
          <t>Planejada</t>
        </is>
      </c>
      <c r="K172" s="84" t="inlineStr">
        <is>
          <t>FN-124</t>
        </is>
      </c>
      <c r="L172" s="84" t="n"/>
      <c r="M172" s="84" t="inlineStr">
        <is>
          <t>Não</t>
        </is>
      </c>
      <c r="N172" s="84" t="n"/>
    </row>
    <row r="173" ht="15" customHeight="1" s="50">
      <c r="A173" s="84" t="inlineStr">
        <is>
          <t>T-169</t>
        </is>
      </c>
      <c r="B173" s="84" t="inlineStr">
        <is>
          <t>Setor Público (opcional)</t>
        </is>
      </c>
      <c r="C173" s="84" t="inlineStr">
        <is>
          <t>Anexos de gestão fiscal</t>
        </is>
      </c>
      <c r="D173" s="84" t="inlineStr">
        <is>
          <t>Document</t>
        </is>
      </c>
      <c r="E173" s="85">
        <f>IF(D173="","",IFERROR(INDEX(Arquétipos!$B$5:$B$40,MATCH(D173,Arquétipos!$A$5:$A$40,0)),""))</f>
        <v/>
      </c>
      <c r="F173" s="84" t="n"/>
      <c r="G173" s="84" t="n"/>
      <c r="H173" s="84" t="inlineStr">
        <is>
          <t>F6</t>
        </is>
      </c>
      <c r="I173" s="84" t="inlineStr">
        <is>
          <t>Baixa</t>
        </is>
      </c>
      <c r="J173" s="84" t="inlineStr">
        <is>
          <t>Planejada</t>
        </is>
      </c>
      <c r="K173" s="84" t="n"/>
      <c r="L173" s="84" t="n"/>
      <c r="M173" s="84" t="inlineStr">
        <is>
          <t>Não</t>
        </is>
      </c>
      <c r="N173" s="84" t="n"/>
    </row>
    <row r="174" ht="15" customHeight="1" s="50">
      <c r="A174" s="84" t="inlineStr">
        <is>
          <t>T-170</t>
        </is>
      </c>
      <c r="B174" s="84" t="inlineStr">
        <is>
          <t>Painéis</t>
        </is>
      </c>
      <c r="C174" s="84" t="inlineStr">
        <is>
          <t>Painel contábil</t>
        </is>
      </c>
      <c r="D174" s="84" t="inlineStr">
        <is>
          <t>Dashboard</t>
        </is>
      </c>
      <c r="E174" s="85">
        <f>IF(D174="","",IFERROR(INDEX(Arquétipos!$B$5:$B$40,MATCH(D174,Arquétipos!$A$5:$A$40,0)),""))</f>
        <v/>
      </c>
      <c r="F174" s="84" t="n"/>
      <c r="G174" s="84" t="n"/>
      <c r="H174" s="84" t="inlineStr">
        <is>
          <t>F4</t>
        </is>
      </c>
      <c r="I174" s="84" t="inlineStr">
        <is>
          <t>Média</t>
        </is>
      </c>
      <c r="J174" s="84" t="inlineStr">
        <is>
          <t>Planejada</t>
        </is>
      </c>
      <c r="K174" s="84" t="inlineStr">
        <is>
          <t>FN-051</t>
        </is>
      </c>
      <c r="L174" s="84" t="inlineStr">
        <is>
          <t>T-059</t>
        </is>
      </c>
      <c r="M174" s="84" t="inlineStr">
        <is>
          <t>Não</t>
        </is>
      </c>
      <c r="N174" s="84" t="n"/>
    </row>
    <row r="175" ht="15" customHeight="1" s="50">
      <c r="A175" s="84" t="inlineStr">
        <is>
          <t>T-171</t>
        </is>
      </c>
      <c r="B175" s="84" t="inlineStr">
        <is>
          <t>Painéis</t>
        </is>
      </c>
      <c r="C175" s="84" t="inlineStr">
        <is>
          <t>Painel financeiro (pagar, receber, caixa)</t>
        </is>
      </c>
      <c r="D175" s="84" t="inlineStr">
        <is>
          <t>Dashboard</t>
        </is>
      </c>
      <c r="E175" s="85">
        <f>IF(D175="","",IFERROR(INDEX(Arquétipos!$B$5:$B$40,MATCH(D175,Arquétipos!$A$5:$A$40,0)),""))</f>
        <v/>
      </c>
      <c r="F175" s="84" t="n"/>
      <c r="G175" s="84" t="n"/>
      <c r="H175" s="84" t="inlineStr">
        <is>
          <t>F4</t>
        </is>
      </c>
      <c r="I175" s="84" t="inlineStr">
        <is>
          <t>Média</t>
        </is>
      </c>
      <c r="J175" s="84" t="inlineStr">
        <is>
          <t>Planejada</t>
        </is>
      </c>
      <c r="K175" s="84" t="inlineStr">
        <is>
          <t>FN-091</t>
        </is>
      </c>
      <c r="L175" s="84" t="inlineStr">
        <is>
          <t>T-088, T-096</t>
        </is>
      </c>
      <c r="M175" s="84" t="inlineStr">
        <is>
          <t>Não</t>
        </is>
      </c>
      <c r="N175" s="84" t="n"/>
    </row>
    <row r="176" ht="15" customHeight="1" s="50">
      <c r="A176" s="84" t="inlineStr">
        <is>
          <t>T-172</t>
        </is>
      </c>
      <c r="B176" s="84" t="inlineStr">
        <is>
          <t>Painéis</t>
        </is>
      </c>
      <c r="C176" s="84" t="inlineStr">
        <is>
          <t>Painel de fechamento</t>
        </is>
      </c>
      <c r="D176" s="84" t="inlineStr">
        <is>
          <t>Dashboard</t>
        </is>
      </c>
      <c r="E176" s="85">
        <f>IF(D176="","",IFERROR(INDEX(Arquétipos!$B$5:$B$40,MATCH(D176,Arquétipos!$A$5:$A$40,0)),""))</f>
        <v/>
      </c>
      <c r="F176" s="84" t="n"/>
      <c r="G176" s="84" t="n"/>
      <c r="H176" s="84" t="inlineStr">
        <is>
          <t>F4</t>
        </is>
      </c>
      <c r="I176" s="84" t="inlineStr">
        <is>
          <t>Média</t>
        </is>
      </c>
      <c r="J176" s="84" t="inlineStr">
        <is>
          <t>Planejada</t>
        </is>
      </c>
      <c r="K176" s="84" t="inlineStr">
        <is>
          <t>FN-058</t>
        </is>
      </c>
      <c r="L176" s="84" t="inlineStr">
        <is>
          <t>T-067</t>
        </is>
      </c>
      <c r="M176" s="84" t="inlineStr">
        <is>
          <t>Não</t>
        </is>
      </c>
      <c r="N176" s="84" t="n"/>
    </row>
    <row r="177" ht="15" customHeight="1" s="50">
      <c r="A177" s="84" t="inlineStr">
        <is>
          <t>T-173</t>
        </is>
      </c>
      <c r="B177" s="84" t="inlineStr">
        <is>
          <t>Painéis</t>
        </is>
      </c>
      <c r="C177" s="84" t="inlineStr">
        <is>
          <t>Central de pendências</t>
        </is>
      </c>
      <c r="D177" s="84" t="inlineStr">
        <is>
          <t>Inbox</t>
        </is>
      </c>
      <c r="E177" s="85">
        <f>IF(D177="","",IFERROR(INDEX(Arquétipos!$B$5:$B$40,MATCH(D177,Arquétipos!$A$5:$A$40,0)),""))</f>
        <v/>
      </c>
      <c r="F177" s="84" t="n"/>
      <c r="G177" s="84" t="n"/>
      <c r="H177" s="84" t="inlineStr">
        <is>
          <t>F4</t>
        </is>
      </c>
      <c r="I177" s="84" t="inlineStr">
        <is>
          <t>Média</t>
        </is>
      </c>
      <c r="J177" s="84" t="inlineStr">
        <is>
          <t>Planejada</t>
        </is>
      </c>
      <c r="K177" s="84" t="inlineStr">
        <is>
          <t>FN-125</t>
        </is>
      </c>
      <c r="L177" s="84" t="n"/>
      <c r="M177" s="84" t="inlineStr">
        <is>
          <t>Não</t>
        </is>
      </c>
      <c r="N177" s="84" t="n"/>
    </row>
    <row r="178" ht="15" customHeight="1" s="50">
      <c r="A178" s="86" t="n"/>
      <c r="B178" s="84" t="n"/>
      <c r="C178" s="84" t="n"/>
      <c r="D178" s="84" t="n"/>
      <c r="E178" s="85">
        <f>IF(D178="","",IFERROR(INDEX(Arquétipos!$B$5:$B$40,MATCH(D178,Arquétipos!$A$5:$A$40,0)),""))</f>
        <v/>
      </c>
      <c r="F178" s="84" t="n"/>
      <c r="G178" s="84" t="n"/>
      <c r="H178" s="86" t="n"/>
      <c r="I178" s="86" t="n"/>
      <c r="J178" s="86" t="n"/>
      <c r="K178" s="84" t="n"/>
      <c r="L178" s="84" t="n"/>
      <c r="M178" s="86" t="n"/>
      <c r="N178" s="84" t="n"/>
    </row>
    <row r="179" ht="15" customHeight="1" s="50">
      <c r="A179" s="86" t="n"/>
      <c r="B179" s="84" t="n"/>
      <c r="C179" s="84" t="n"/>
      <c r="D179" s="84" t="n"/>
      <c r="E179" s="85">
        <f>IF(D179="","",IFERROR(INDEX(Arquétipos!$B$5:$B$40,MATCH(D179,Arquétipos!$A$5:$A$40,0)),""))</f>
        <v/>
      </c>
      <c r="F179" s="84" t="n"/>
      <c r="G179" s="84" t="n"/>
      <c r="H179" s="86" t="n"/>
      <c r="I179" s="86" t="n"/>
      <c r="J179" s="86" t="n"/>
      <c r="K179" s="84" t="n"/>
      <c r="L179" s="84" t="n"/>
      <c r="M179" s="86" t="n"/>
      <c r="N179" s="84" t="n"/>
    </row>
    <row r="180" ht="15" customHeight="1" s="50">
      <c r="A180" s="86" t="n"/>
      <c r="B180" s="84" t="n"/>
      <c r="C180" s="84" t="n"/>
      <c r="D180" s="84" t="n"/>
      <c r="E180" s="85">
        <f>IF(D180="","",IFERROR(INDEX(Arquétipos!$B$5:$B$40,MATCH(D180,Arquétipos!$A$5:$A$40,0)),""))</f>
        <v/>
      </c>
      <c r="F180" s="84" t="n"/>
      <c r="G180" s="84" t="n"/>
      <c r="H180" s="86" t="n"/>
      <c r="I180" s="86" t="n"/>
      <c r="J180" s="86" t="n"/>
      <c r="K180" s="84" t="n"/>
      <c r="L180" s="84" t="n"/>
      <c r="M180" s="86" t="n"/>
      <c r="N180" s="84" t="n"/>
    </row>
    <row r="181" ht="15" customHeight="1" s="50">
      <c r="A181" s="86" t="n"/>
      <c r="B181" s="84" t="n"/>
      <c r="C181" s="84" t="n"/>
      <c r="D181" s="84" t="n"/>
      <c r="E181" s="85">
        <f>IF(D181="","",IFERROR(INDEX(Arquétipos!$B$5:$B$40,MATCH(D181,Arquétipos!$A$5:$A$40,0)),""))</f>
        <v/>
      </c>
      <c r="F181" s="84" t="n"/>
      <c r="G181" s="84" t="n"/>
      <c r="H181" s="86" t="n"/>
      <c r="I181" s="86" t="n"/>
      <c r="J181" s="86" t="n"/>
      <c r="K181" s="84" t="n"/>
      <c r="L181" s="84" t="n"/>
      <c r="M181" s="86" t="n"/>
      <c r="N181" s="84" t="n"/>
    </row>
    <row r="182" ht="15" customHeight="1" s="50">
      <c r="A182" s="86" t="n"/>
      <c r="B182" s="84" t="n"/>
      <c r="C182" s="84" t="n"/>
      <c r="D182" s="84" t="n"/>
      <c r="E182" s="85">
        <f>IF(D182="","",IFERROR(INDEX(Arquétipos!$B$5:$B$40,MATCH(D182,Arquétipos!$A$5:$A$40,0)),""))</f>
        <v/>
      </c>
      <c r="F182" s="84" t="n"/>
      <c r="G182" s="84" t="n"/>
      <c r="H182" s="86" t="n"/>
      <c r="I182" s="86" t="n"/>
      <c r="J182" s="86" t="n"/>
      <c r="K182" s="84" t="n"/>
      <c r="L182" s="84" t="n"/>
      <c r="M182" s="86" t="n"/>
      <c r="N182" s="84" t="n"/>
    </row>
    <row r="183" ht="15" customHeight="1" s="50">
      <c r="A183" s="86" t="n"/>
      <c r="B183" s="84" t="n"/>
      <c r="C183" s="84" t="n"/>
      <c r="D183" s="84" t="n"/>
      <c r="E183" s="85">
        <f>IF(D183="","",IFERROR(INDEX(Arquétipos!$B$5:$B$40,MATCH(D183,Arquétipos!$A$5:$A$40,0)),""))</f>
        <v/>
      </c>
      <c r="F183" s="84" t="n"/>
      <c r="G183" s="84" t="n"/>
      <c r="H183" s="86" t="n"/>
      <c r="I183" s="86" t="n"/>
      <c r="J183" s="86" t="n"/>
      <c r="K183" s="84" t="n"/>
      <c r="L183" s="84" t="n"/>
      <c r="M183" s="86" t="n"/>
      <c r="N183" s="84" t="n"/>
    </row>
    <row r="184" ht="15" customHeight="1" s="50">
      <c r="A184" s="86" t="n"/>
      <c r="B184" s="84" t="n"/>
      <c r="C184" s="84" t="n"/>
      <c r="D184" s="84" t="n"/>
      <c r="E184" s="85">
        <f>IF(D184="","",IFERROR(INDEX(Arquétipos!$B$5:$B$40,MATCH(D184,Arquétipos!$A$5:$A$40,0)),""))</f>
        <v/>
      </c>
      <c r="F184" s="84" t="n"/>
      <c r="G184" s="84" t="n"/>
      <c r="H184" s="86" t="n"/>
      <c r="I184" s="86" t="n"/>
      <c r="J184" s="86" t="n"/>
      <c r="K184" s="84" t="n"/>
      <c r="L184" s="84" t="n"/>
      <c r="M184" s="86" t="n"/>
      <c r="N184" s="84" t="n"/>
    </row>
    <row r="185" ht="15" customHeight="1" s="50">
      <c r="A185" s="86" t="n"/>
      <c r="B185" s="84" t="n"/>
      <c r="C185" s="84" t="n"/>
      <c r="D185" s="84" t="n"/>
      <c r="E185" s="85">
        <f>IF(D185="","",IFERROR(INDEX(Arquétipos!$B$5:$B$40,MATCH(D185,Arquétipos!$A$5:$A$40,0)),""))</f>
        <v/>
      </c>
      <c r="F185" s="84" t="n"/>
      <c r="G185" s="84" t="n"/>
      <c r="H185" s="86" t="n"/>
      <c r="I185" s="86" t="n"/>
      <c r="J185" s="86" t="n"/>
      <c r="K185" s="84" t="n"/>
      <c r="L185" s="84" t="n"/>
      <c r="M185" s="86" t="n"/>
      <c r="N185" s="84" t="n"/>
    </row>
    <row r="186" ht="15" customHeight="1" s="50">
      <c r="A186" s="86" t="n"/>
      <c r="B186" s="84" t="n"/>
      <c r="C186" s="84" t="n"/>
      <c r="D186" s="84" t="n"/>
      <c r="E186" s="85">
        <f>IF(D186="","",IFERROR(INDEX(Arquétipos!$B$5:$B$40,MATCH(D186,Arquétipos!$A$5:$A$40,0)),""))</f>
        <v/>
      </c>
      <c r="F186" s="84" t="n"/>
      <c r="G186" s="84" t="n"/>
      <c r="H186" s="86" t="n"/>
      <c r="I186" s="86" t="n"/>
      <c r="J186" s="86" t="n"/>
      <c r="K186" s="84" t="n"/>
      <c r="L186" s="84" t="n"/>
      <c r="M186" s="86" t="n"/>
      <c r="N186" s="84" t="n"/>
    </row>
    <row r="187" ht="15" customHeight="1" s="50">
      <c r="A187" s="86" t="n"/>
      <c r="B187" s="84" t="n"/>
      <c r="C187" s="84" t="n"/>
      <c r="D187" s="84" t="n"/>
      <c r="E187" s="85">
        <f>IF(D187="","",IFERROR(INDEX(Arquétipos!$B$5:$B$40,MATCH(D187,Arquétipos!$A$5:$A$40,0)),""))</f>
        <v/>
      </c>
      <c r="F187" s="84" t="n"/>
      <c r="G187" s="84" t="n"/>
      <c r="H187" s="86" t="n"/>
      <c r="I187" s="86" t="n"/>
      <c r="J187" s="86" t="n"/>
      <c r="K187" s="84" t="n"/>
      <c r="L187" s="84" t="n"/>
      <c r="M187" s="86" t="n"/>
      <c r="N187" s="84" t="n"/>
    </row>
    <row r="188" ht="15" customHeight="1" s="50">
      <c r="A188" s="86" t="n"/>
      <c r="B188" s="84" t="n"/>
      <c r="C188" s="84" t="n"/>
      <c r="D188" s="84" t="n"/>
      <c r="E188" s="85">
        <f>IF(D188="","",IFERROR(INDEX(Arquétipos!$B$5:$B$40,MATCH(D188,Arquétipos!$A$5:$A$40,0)),""))</f>
        <v/>
      </c>
      <c r="F188" s="84" t="n"/>
      <c r="G188" s="84" t="n"/>
      <c r="H188" s="86" t="n"/>
      <c r="I188" s="86" t="n"/>
      <c r="J188" s="86" t="n"/>
      <c r="K188" s="84" t="n"/>
      <c r="L188" s="84" t="n"/>
      <c r="M188" s="86" t="n"/>
      <c r="N188" s="84" t="n"/>
    </row>
    <row r="189" ht="15" customHeight="1" s="50">
      <c r="A189" s="86" t="n"/>
      <c r="B189" s="84" t="n"/>
      <c r="C189" s="84" t="n"/>
      <c r="D189" s="84" t="n"/>
      <c r="E189" s="85">
        <f>IF(D189="","",IFERROR(INDEX(Arquétipos!$B$5:$B$40,MATCH(D189,Arquétipos!$A$5:$A$40,0)),""))</f>
        <v/>
      </c>
      <c r="F189" s="84" t="n"/>
      <c r="G189" s="84" t="n"/>
      <c r="H189" s="86" t="n"/>
      <c r="I189" s="86" t="n"/>
      <c r="J189" s="86" t="n"/>
      <c r="K189" s="84" t="n"/>
      <c r="L189" s="84" t="n"/>
      <c r="M189" s="86" t="n"/>
      <c r="N189" s="84" t="n"/>
    </row>
    <row r="190" ht="15" customHeight="1" s="50">
      <c r="A190" s="86" t="n"/>
      <c r="B190" s="84" t="n"/>
      <c r="C190" s="84" t="n"/>
      <c r="D190" s="84" t="n"/>
      <c r="E190" s="85">
        <f>IF(D190="","",IFERROR(INDEX(Arquétipos!$B$5:$B$40,MATCH(D190,Arquétipos!$A$5:$A$40,0)),""))</f>
        <v/>
      </c>
      <c r="F190" s="84" t="n"/>
      <c r="G190" s="84" t="n"/>
      <c r="H190" s="86" t="n"/>
      <c r="I190" s="86" t="n"/>
      <c r="J190" s="86" t="n"/>
      <c r="K190" s="84" t="n"/>
      <c r="L190" s="84" t="n"/>
      <c r="M190" s="86" t="n"/>
      <c r="N190" s="84" t="n"/>
    </row>
    <row r="191" ht="15" customHeight="1" s="50">
      <c r="A191" s="86" t="n"/>
      <c r="B191" s="84" t="n"/>
      <c r="C191" s="84" t="n"/>
      <c r="D191" s="84" t="n"/>
      <c r="E191" s="85">
        <f>IF(D191="","",IFERROR(INDEX(Arquétipos!$B$5:$B$40,MATCH(D191,Arquétipos!$A$5:$A$40,0)),""))</f>
        <v/>
      </c>
      <c r="F191" s="84" t="n"/>
      <c r="G191" s="84" t="n"/>
      <c r="H191" s="86" t="n"/>
      <c r="I191" s="86" t="n"/>
      <c r="J191" s="86" t="n"/>
      <c r="K191" s="84" t="n"/>
      <c r="L191" s="84" t="n"/>
      <c r="M191" s="86" t="n"/>
      <c r="N191" s="84" t="n"/>
    </row>
    <row r="192" ht="15" customHeight="1" s="50">
      <c r="A192" s="86" t="n"/>
      <c r="B192" s="84" t="n"/>
      <c r="C192" s="84" t="n"/>
      <c r="D192" s="84" t="n"/>
      <c r="E192" s="85">
        <f>IF(D192="","",IFERROR(INDEX(Arquétipos!$B$5:$B$40,MATCH(D192,Arquétipos!$A$5:$A$40,0)),""))</f>
        <v/>
      </c>
      <c r="F192" s="84" t="n"/>
      <c r="G192" s="84" t="n"/>
      <c r="H192" s="86" t="n"/>
      <c r="I192" s="86" t="n"/>
      <c r="J192" s="86" t="n"/>
      <c r="K192" s="84" t="n"/>
      <c r="L192" s="84" t="n"/>
      <c r="M192" s="86" t="n"/>
      <c r="N192" s="84" t="n"/>
    </row>
    <row r="193" ht="15" customHeight="1" s="50">
      <c r="A193" s="86" t="n"/>
      <c r="B193" s="84" t="n"/>
      <c r="C193" s="84" t="n"/>
      <c r="D193" s="84" t="n"/>
      <c r="E193" s="85">
        <f>IF(D193="","",IFERROR(INDEX(Arquétipos!$B$5:$B$40,MATCH(D193,Arquétipos!$A$5:$A$40,0)),""))</f>
        <v/>
      </c>
      <c r="F193" s="84" t="n"/>
      <c r="G193" s="84" t="n"/>
      <c r="H193" s="86" t="n"/>
      <c r="I193" s="86" t="n"/>
      <c r="J193" s="86" t="n"/>
      <c r="K193" s="84" t="n"/>
      <c r="L193" s="84" t="n"/>
      <c r="M193" s="86" t="n"/>
      <c r="N193" s="84" t="n"/>
    </row>
    <row r="194" ht="15" customHeight="1" s="50">
      <c r="A194" s="86" t="n"/>
      <c r="B194" s="84" t="n"/>
      <c r="C194" s="84" t="n"/>
      <c r="D194" s="84" t="n"/>
      <c r="E194" s="85">
        <f>IF(D194="","",IFERROR(INDEX(Arquétipos!$B$5:$B$40,MATCH(D194,Arquétipos!$A$5:$A$40,0)),""))</f>
        <v/>
      </c>
      <c r="F194" s="84" t="n"/>
      <c r="G194" s="84" t="n"/>
      <c r="H194" s="86" t="n"/>
      <c r="I194" s="86" t="n"/>
      <c r="J194" s="86" t="n"/>
      <c r="K194" s="84" t="n"/>
      <c r="L194" s="84" t="n"/>
      <c r="M194" s="86" t="n"/>
      <c r="N194" s="84" t="n"/>
    </row>
    <row r="195" ht="15" customHeight="1" s="50">
      <c r="A195" s="86" t="n"/>
      <c r="B195" s="84" t="n"/>
      <c r="C195" s="84" t="n"/>
      <c r="D195" s="84" t="n"/>
      <c r="E195" s="85">
        <f>IF(D195="","",IFERROR(INDEX(Arquétipos!$B$5:$B$40,MATCH(D195,Arquétipos!$A$5:$A$40,0)),""))</f>
        <v/>
      </c>
      <c r="F195" s="84" t="n"/>
      <c r="G195" s="84" t="n"/>
      <c r="H195" s="86" t="n"/>
      <c r="I195" s="86" t="n"/>
      <c r="J195" s="86" t="n"/>
      <c r="K195" s="84" t="n"/>
      <c r="L195" s="84" t="n"/>
      <c r="M195" s="86" t="n"/>
      <c r="N195" s="84" t="n"/>
    </row>
    <row r="196" ht="15" customHeight="1" s="50">
      <c r="A196" s="86" t="n"/>
      <c r="B196" s="84" t="n"/>
      <c r="C196" s="84" t="n"/>
      <c r="D196" s="84" t="n"/>
      <c r="E196" s="85">
        <f>IF(D196="","",IFERROR(INDEX(Arquétipos!$B$5:$B$40,MATCH(D196,Arquétipos!$A$5:$A$40,0)),""))</f>
        <v/>
      </c>
      <c r="F196" s="84" t="n"/>
      <c r="G196" s="84" t="n"/>
      <c r="H196" s="86" t="n"/>
      <c r="I196" s="86" t="n"/>
      <c r="J196" s="86" t="n"/>
      <c r="K196" s="84" t="n"/>
      <c r="L196" s="84" t="n"/>
      <c r="M196" s="86" t="n"/>
      <c r="N196" s="84" t="n"/>
    </row>
    <row r="197" ht="15" customHeight="1" s="50">
      <c r="A197" s="86" t="n"/>
      <c r="B197" s="84" t="n"/>
      <c r="C197" s="84" t="n"/>
      <c r="D197" s="84" t="n"/>
      <c r="E197" s="85">
        <f>IF(D197="","",IFERROR(INDEX(Arquétipos!$B$5:$B$40,MATCH(D197,Arquétipos!$A$5:$A$40,0)),""))</f>
        <v/>
      </c>
      <c r="F197" s="84" t="n"/>
      <c r="G197" s="84" t="n"/>
      <c r="H197" s="86" t="n"/>
      <c r="I197" s="86" t="n"/>
      <c r="J197" s="86" t="n"/>
      <c r="K197" s="84" t="n"/>
      <c r="L197" s="84" t="n"/>
      <c r="M197" s="86" t="n"/>
      <c r="N197" s="84" t="n"/>
    </row>
    <row r="198" ht="15" customHeight="1" s="50">
      <c r="A198" s="86" t="n"/>
      <c r="B198" s="84" t="n"/>
      <c r="C198" s="84" t="n"/>
      <c r="D198" s="84" t="n"/>
      <c r="E198" s="85">
        <f>IF(D198="","",IFERROR(INDEX(Arquétipos!$B$5:$B$40,MATCH(D198,Arquétipos!$A$5:$A$40,0)),""))</f>
        <v/>
      </c>
      <c r="F198" s="84" t="n"/>
      <c r="G198" s="84" t="n"/>
      <c r="H198" s="86" t="n"/>
      <c r="I198" s="86" t="n"/>
      <c r="J198" s="86" t="n"/>
      <c r="K198" s="84" t="n"/>
      <c r="L198" s="84" t="n"/>
      <c r="M198" s="86" t="n"/>
      <c r="N198" s="84" t="n"/>
    </row>
    <row r="199" ht="15" customHeight="1" s="50">
      <c r="A199" s="86" t="n"/>
      <c r="B199" s="84" t="n"/>
      <c r="C199" s="84" t="n"/>
      <c r="D199" s="84" t="n"/>
      <c r="E199" s="85">
        <f>IF(D199="","",IFERROR(INDEX(Arquétipos!$B$5:$B$40,MATCH(D199,Arquétipos!$A$5:$A$40,0)),""))</f>
        <v/>
      </c>
      <c r="F199" s="84" t="n"/>
      <c r="G199" s="84" t="n"/>
      <c r="H199" s="86" t="n"/>
      <c r="I199" s="86" t="n"/>
      <c r="J199" s="86" t="n"/>
      <c r="K199" s="84" t="n"/>
      <c r="L199" s="84" t="n"/>
      <c r="M199" s="86" t="n"/>
      <c r="N199" s="84" t="n"/>
    </row>
    <row r="200" ht="15" customHeight="1" s="50">
      <c r="A200" s="86" t="n"/>
      <c r="B200" s="84" t="n"/>
      <c r="C200" s="84" t="n"/>
      <c r="D200" s="84" t="n"/>
      <c r="E200" s="85">
        <f>IF(D200="","",IFERROR(INDEX(Arquétipos!$B$5:$B$40,MATCH(D200,Arquétipos!$A$5:$A$40,0)),""))</f>
        <v/>
      </c>
      <c r="F200" s="84" t="n"/>
      <c r="G200" s="84" t="n"/>
      <c r="H200" s="86" t="n"/>
      <c r="I200" s="86" t="n"/>
      <c r="J200" s="86" t="n"/>
      <c r="K200" s="84" t="n"/>
      <c r="L200" s="84" t="n"/>
      <c r="M200" s="86" t="n"/>
      <c r="N200" s="84" t="n"/>
    </row>
    <row r="201" ht="15" customHeight="1" s="50">
      <c r="A201" s="86" t="n"/>
      <c r="B201" s="84" t="n"/>
      <c r="C201" s="84" t="n"/>
      <c r="D201" s="84" t="n"/>
      <c r="E201" s="85">
        <f>IF(D201="","",IFERROR(INDEX(Arquétipos!$B$5:$B$40,MATCH(D201,Arquétipos!$A$5:$A$40,0)),""))</f>
        <v/>
      </c>
      <c r="F201" s="84" t="n"/>
      <c r="G201" s="84" t="n"/>
      <c r="H201" s="86" t="n"/>
      <c r="I201" s="86" t="n"/>
      <c r="J201" s="86" t="n"/>
      <c r="K201" s="84" t="n"/>
      <c r="L201" s="84" t="n"/>
      <c r="M201" s="86" t="n"/>
      <c r="N201" s="84" t="n"/>
    </row>
    <row r="202" ht="15" customHeight="1" s="50">
      <c r="A202" s="86" t="n"/>
      <c r="B202" s="84" t="n"/>
      <c r="C202" s="84" t="n"/>
      <c r="D202" s="84" t="n"/>
      <c r="E202" s="85">
        <f>IF(D202="","",IFERROR(INDEX(Arquétipos!$B$5:$B$40,MATCH(D202,Arquétipos!$A$5:$A$40,0)),""))</f>
        <v/>
      </c>
      <c r="F202" s="84" t="n"/>
      <c r="G202" s="84" t="n"/>
      <c r="H202" s="86" t="n"/>
      <c r="I202" s="86" t="n"/>
      <c r="J202" s="86" t="n"/>
      <c r="K202" s="84" t="n"/>
      <c r="L202" s="84" t="n"/>
      <c r="M202" s="86" t="n"/>
      <c r="N202" s="84" t="n"/>
    </row>
    <row r="203" ht="15" customHeight="1" s="50">
      <c r="A203" s="86" t="n"/>
      <c r="B203" s="84" t="n"/>
      <c r="C203" s="84" t="n"/>
      <c r="D203" s="84" t="n"/>
      <c r="E203" s="85">
        <f>IF(D203="","",IFERROR(INDEX(Arquétipos!$B$5:$B$40,MATCH(D203,Arquétipos!$A$5:$A$40,0)),""))</f>
        <v/>
      </c>
      <c r="F203" s="84" t="n"/>
      <c r="G203" s="84" t="n"/>
      <c r="H203" s="86" t="n"/>
      <c r="I203" s="86" t="n"/>
      <c r="J203" s="86" t="n"/>
      <c r="K203" s="84" t="n"/>
      <c r="L203" s="84" t="n"/>
      <c r="M203" s="86" t="n"/>
      <c r="N203" s="84" t="n"/>
    </row>
    <row r="204" ht="15" customHeight="1" s="50">
      <c r="A204" s="86" t="n"/>
      <c r="B204" s="84" t="n"/>
      <c r="C204" s="84" t="n"/>
      <c r="D204" s="84" t="n"/>
      <c r="E204" s="85">
        <f>IF(D204="","",IFERROR(INDEX(Arquétipos!$B$5:$B$40,MATCH(D204,Arquétipos!$A$5:$A$40,0)),""))</f>
        <v/>
      </c>
      <c r="F204" s="84" t="n"/>
      <c r="G204" s="84" t="n"/>
      <c r="H204" s="86" t="n"/>
      <c r="I204" s="86" t="n"/>
      <c r="J204" s="86" t="n"/>
      <c r="K204" s="84" t="n"/>
      <c r="L204" s="84" t="n"/>
      <c r="M204" s="86" t="n"/>
      <c r="N204" s="84" t="n"/>
    </row>
    <row r="205" ht="15" customHeight="1" s="50">
      <c r="A205" s="86" t="n"/>
      <c r="B205" s="84" t="n"/>
      <c r="C205" s="84" t="n"/>
      <c r="D205" s="84" t="n"/>
      <c r="E205" s="85">
        <f>IF(D205="","",IFERROR(INDEX(Arquétipos!$B$5:$B$40,MATCH(D205,Arquétipos!$A$5:$A$40,0)),""))</f>
        <v/>
      </c>
      <c r="F205" s="84" t="n"/>
      <c r="G205" s="84" t="n"/>
      <c r="H205" s="86" t="n"/>
      <c r="I205" s="86" t="n"/>
      <c r="J205" s="86" t="n"/>
      <c r="K205" s="84" t="n"/>
      <c r="L205" s="84" t="n"/>
      <c r="M205" s="86" t="n"/>
      <c r="N205" s="84" t="n"/>
    </row>
    <row r="206" ht="15" customHeight="1" s="50">
      <c r="A206" s="86" t="n"/>
      <c r="B206" s="84" t="n"/>
      <c r="C206" s="84" t="n"/>
      <c r="D206" s="84" t="n"/>
      <c r="E206" s="85">
        <f>IF(D206="","",IFERROR(INDEX(Arquétipos!$B$5:$B$40,MATCH(D206,Arquétipos!$A$5:$A$40,0)),""))</f>
        <v/>
      </c>
      <c r="F206" s="84" t="n"/>
      <c r="G206" s="84" t="n"/>
      <c r="H206" s="86" t="n"/>
      <c r="I206" s="86" t="n"/>
      <c r="J206" s="86" t="n"/>
      <c r="K206" s="84" t="n"/>
      <c r="L206" s="84" t="n"/>
      <c r="M206" s="86" t="n"/>
      <c r="N206" s="84" t="n"/>
    </row>
    <row r="207" ht="15" customHeight="1" s="50">
      <c r="A207" s="86" t="n"/>
      <c r="B207" s="84" t="n"/>
      <c r="C207" s="84" t="n"/>
      <c r="D207" s="84" t="n"/>
      <c r="E207" s="85">
        <f>IF(D207="","",IFERROR(INDEX(Arquétipos!$B$5:$B$40,MATCH(D207,Arquétipos!$A$5:$A$40,0)),""))</f>
        <v/>
      </c>
      <c r="F207" s="84" t="n"/>
      <c r="G207" s="84" t="n"/>
      <c r="H207" s="86" t="n"/>
      <c r="I207" s="86" t="n"/>
      <c r="J207" s="86" t="n"/>
      <c r="K207" s="84" t="n"/>
      <c r="L207" s="84" t="n"/>
      <c r="M207" s="86" t="n"/>
      <c r="N207" s="84" t="n"/>
    </row>
    <row r="208" ht="15" customHeight="1" s="50">
      <c r="A208" s="86" t="n"/>
      <c r="B208" s="84" t="n"/>
      <c r="C208" s="84" t="n"/>
      <c r="D208" s="84" t="n"/>
      <c r="E208" s="85">
        <f>IF(D208="","",IFERROR(INDEX(Arquétipos!$B$5:$B$40,MATCH(D208,Arquétipos!$A$5:$A$40,0)),""))</f>
        <v/>
      </c>
      <c r="F208" s="84" t="n"/>
      <c r="G208" s="84" t="n"/>
      <c r="H208" s="86" t="n"/>
      <c r="I208" s="86" t="n"/>
      <c r="J208" s="86" t="n"/>
      <c r="K208" s="84" t="n"/>
      <c r="L208" s="84" t="n"/>
      <c r="M208" s="86" t="n"/>
      <c r="N208" s="84" t="n"/>
    </row>
    <row r="209" ht="15" customHeight="1" s="50">
      <c r="A209" s="86" t="n"/>
      <c r="B209" s="84" t="n"/>
      <c r="C209" s="84" t="n"/>
      <c r="D209" s="84" t="n"/>
      <c r="E209" s="85">
        <f>IF(D209="","",IFERROR(INDEX(Arquétipos!$B$5:$B$40,MATCH(D209,Arquétipos!$A$5:$A$40,0)),""))</f>
        <v/>
      </c>
      <c r="F209" s="84" t="n"/>
      <c r="G209" s="84" t="n"/>
      <c r="H209" s="86" t="n"/>
      <c r="I209" s="86" t="n"/>
      <c r="J209" s="86" t="n"/>
      <c r="K209" s="84" t="n"/>
      <c r="L209" s="84" t="n"/>
      <c r="M209" s="86" t="n"/>
      <c r="N209" s="84" t="n"/>
    </row>
    <row r="210" ht="15" customHeight="1" s="50">
      <c r="A210" s="86" t="n"/>
      <c r="B210" s="84" t="n"/>
      <c r="C210" s="84" t="n"/>
      <c r="D210" s="84" t="n"/>
      <c r="E210" s="85">
        <f>IF(D210="","",IFERROR(INDEX(Arquétipos!$B$5:$B$40,MATCH(D210,Arquétipos!$A$5:$A$40,0)),""))</f>
        <v/>
      </c>
      <c r="F210" s="84" t="n"/>
      <c r="G210" s="84" t="n"/>
      <c r="H210" s="86" t="n"/>
      <c r="I210" s="86" t="n"/>
      <c r="J210" s="86" t="n"/>
      <c r="K210" s="84" t="n"/>
      <c r="L210" s="84" t="n"/>
      <c r="M210" s="86" t="n"/>
      <c r="N210" s="84" t="n"/>
    </row>
    <row r="211" ht="15" customHeight="1" s="50">
      <c r="A211" s="86" t="n"/>
      <c r="B211" s="84" t="n"/>
      <c r="C211" s="84" t="n"/>
      <c r="D211" s="84" t="n"/>
      <c r="E211" s="85">
        <f>IF(D211="","",IFERROR(INDEX(Arquétipos!$B$5:$B$40,MATCH(D211,Arquétipos!$A$5:$A$40,0)),""))</f>
        <v/>
      </c>
      <c r="F211" s="84" t="n"/>
      <c r="G211" s="84" t="n"/>
      <c r="H211" s="86" t="n"/>
      <c r="I211" s="86" t="n"/>
      <c r="J211" s="86" t="n"/>
      <c r="K211" s="84" t="n"/>
      <c r="L211" s="84" t="n"/>
      <c r="M211" s="86" t="n"/>
      <c r="N211" s="84" t="n"/>
    </row>
    <row r="212" ht="15" customHeight="1" s="50">
      <c r="A212" s="86" t="n"/>
      <c r="B212" s="84" t="n"/>
      <c r="C212" s="84" t="n"/>
      <c r="D212" s="84" t="n"/>
      <c r="E212" s="85">
        <f>IF(D212="","",IFERROR(INDEX(Arquétipos!$B$5:$B$40,MATCH(D212,Arquétipos!$A$5:$A$40,0)),""))</f>
        <v/>
      </c>
      <c r="F212" s="84" t="n"/>
      <c r="G212" s="84" t="n"/>
      <c r="H212" s="86" t="n"/>
      <c r="I212" s="86" t="n"/>
      <c r="J212" s="86" t="n"/>
      <c r="K212" s="84" t="n"/>
      <c r="L212" s="84" t="n"/>
      <c r="M212" s="86" t="n"/>
      <c r="N212" s="84" t="n"/>
    </row>
    <row r="213" ht="15" customHeight="1" s="50">
      <c r="A213" s="86" t="n"/>
      <c r="B213" s="84" t="n"/>
      <c r="C213" s="84" t="n"/>
      <c r="D213" s="84" t="n"/>
      <c r="E213" s="85">
        <f>IF(D213="","",IFERROR(INDEX(Arquétipos!$B$5:$B$40,MATCH(D213,Arquétipos!$A$5:$A$40,0)),""))</f>
        <v/>
      </c>
      <c r="F213" s="84" t="n"/>
      <c r="G213" s="84" t="n"/>
      <c r="H213" s="86" t="n"/>
      <c r="I213" s="86" t="n"/>
      <c r="J213" s="86" t="n"/>
      <c r="K213" s="84" t="n"/>
      <c r="L213" s="84" t="n"/>
      <c r="M213" s="86" t="n"/>
      <c r="N213" s="84" t="n"/>
    </row>
    <row r="214" ht="15" customHeight="1" s="50">
      <c r="A214" s="86" t="n"/>
      <c r="B214" s="84" t="n"/>
      <c r="C214" s="84" t="n"/>
      <c r="D214" s="84" t="n"/>
      <c r="E214" s="85">
        <f>IF(D214="","",IFERROR(INDEX(Arquétipos!$B$5:$B$40,MATCH(D214,Arquétipos!$A$5:$A$40,0)),""))</f>
        <v/>
      </c>
      <c r="F214" s="84" t="n"/>
      <c r="G214" s="84" t="n"/>
      <c r="H214" s="86" t="n"/>
      <c r="I214" s="86" t="n"/>
      <c r="J214" s="86" t="n"/>
      <c r="K214" s="84" t="n"/>
      <c r="L214" s="84" t="n"/>
      <c r="M214" s="86" t="n"/>
      <c r="N214" s="84" t="n"/>
    </row>
    <row r="215" ht="15" customHeight="1" s="50">
      <c r="A215" s="86" t="n"/>
      <c r="B215" s="84" t="n"/>
      <c r="C215" s="84" t="n"/>
      <c r="D215" s="84" t="n"/>
      <c r="E215" s="85">
        <f>IF(D215="","",IFERROR(INDEX(Arquétipos!$B$5:$B$40,MATCH(D215,Arquétipos!$A$5:$A$40,0)),""))</f>
        <v/>
      </c>
      <c r="F215" s="84" t="n"/>
      <c r="G215" s="84" t="n"/>
      <c r="H215" s="86" t="n"/>
      <c r="I215" s="86" t="n"/>
      <c r="J215" s="86" t="n"/>
      <c r="K215" s="84" t="n"/>
      <c r="L215" s="84" t="n"/>
      <c r="M215" s="86" t="n"/>
      <c r="N215" s="84" t="n"/>
    </row>
    <row r="216" ht="15" customHeight="1" s="50">
      <c r="A216" s="86" t="n"/>
      <c r="B216" s="84" t="n"/>
      <c r="C216" s="84" t="n"/>
      <c r="D216" s="84" t="n"/>
      <c r="E216" s="85">
        <f>IF(D216="","",IFERROR(INDEX(Arquétipos!$B$5:$B$40,MATCH(D216,Arquétipos!$A$5:$A$40,0)),""))</f>
        <v/>
      </c>
      <c r="F216" s="84" t="n"/>
      <c r="G216" s="84" t="n"/>
      <c r="H216" s="86" t="n"/>
      <c r="I216" s="86" t="n"/>
      <c r="J216" s="86" t="n"/>
      <c r="K216" s="84" t="n"/>
      <c r="L216" s="84" t="n"/>
      <c r="M216" s="86" t="n"/>
      <c r="N216" s="84" t="n"/>
    </row>
    <row r="217" ht="15" customHeight="1" s="50">
      <c r="A217" s="86" t="n"/>
      <c r="B217" s="84" t="n"/>
      <c r="C217" s="84" t="n"/>
      <c r="D217" s="84" t="n"/>
      <c r="E217" s="85">
        <f>IF(D217="","",IFERROR(INDEX(Arquétipos!$B$5:$B$40,MATCH(D217,Arquétipos!$A$5:$A$40,0)),""))</f>
        <v/>
      </c>
      <c r="F217" s="84" t="n"/>
      <c r="G217" s="84" t="n"/>
      <c r="H217" s="86" t="n"/>
      <c r="I217" s="86" t="n"/>
      <c r="J217" s="86" t="n"/>
      <c r="K217" s="84" t="n"/>
      <c r="L217" s="84" t="n"/>
      <c r="M217" s="86" t="n"/>
      <c r="N217" s="84" t="n"/>
    </row>
    <row r="218" ht="15" customHeight="1" s="50">
      <c r="A218" s="86" t="n"/>
      <c r="B218" s="84" t="n"/>
      <c r="C218" s="84" t="n"/>
      <c r="D218" s="84" t="n"/>
      <c r="E218" s="85">
        <f>IF(D218="","",IFERROR(INDEX(Arquétipos!$B$5:$B$40,MATCH(D218,Arquétipos!$A$5:$A$40,0)),""))</f>
        <v/>
      </c>
      <c r="F218" s="84" t="n"/>
      <c r="G218" s="84" t="n"/>
      <c r="H218" s="86" t="n"/>
      <c r="I218" s="86" t="n"/>
      <c r="J218" s="86" t="n"/>
      <c r="K218" s="84" t="n"/>
      <c r="L218" s="84" t="n"/>
      <c r="M218" s="86" t="n"/>
      <c r="N218" s="84" t="n"/>
    </row>
    <row r="219" ht="15" customHeight="1" s="50">
      <c r="A219" s="86" t="n"/>
      <c r="B219" s="84" t="n"/>
      <c r="C219" s="84" t="n"/>
      <c r="D219" s="84" t="n"/>
      <c r="E219" s="85">
        <f>IF(D219="","",IFERROR(INDEX(Arquétipos!$B$5:$B$40,MATCH(D219,Arquétipos!$A$5:$A$40,0)),""))</f>
        <v/>
      </c>
      <c r="F219" s="84" t="n"/>
      <c r="G219" s="84" t="n"/>
      <c r="H219" s="86" t="n"/>
      <c r="I219" s="86" t="n"/>
      <c r="J219" s="86" t="n"/>
      <c r="K219" s="84" t="n"/>
      <c r="L219" s="84" t="n"/>
      <c r="M219" s="86" t="n"/>
      <c r="N219" s="84" t="n"/>
    </row>
    <row r="220" ht="15" customHeight="1" s="50">
      <c r="A220" s="86" t="n"/>
      <c r="B220" s="84" t="n"/>
      <c r="C220" s="84" t="n"/>
      <c r="D220" s="84" t="n"/>
      <c r="E220" s="85">
        <f>IF(D220="","",IFERROR(INDEX(Arquétipos!$B$5:$B$40,MATCH(D220,Arquétipos!$A$5:$A$40,0)),""))</f>
        <v/>
      </c>
      <c r="F220" s="84" t="n"/>
      <c r="G220" s="84" t="n"/>
      <c r="H220" s="86" t="n"/>
      <c r="I220" s="86" t="n"/>
      <c r="J220" s="86" t="n"/>
      <c r="K220" s="84" t="n"/>
      <c r="L220" s="84" t="n"/>
      <c r="M220" s="86" t="n"/>
      <c r="N220" s="84" t="n"/>
    </row>
    <row r="221" ht="15" customHeight="1" s="50">
      <c r="A221" s="86" t="n"/>
      <c r="B221" s="84" t="n"/>
      <c r="C221" s="84" t="n"/>
      <c r="D221" s="84" t="n"/>
      <c r="E221" s="85">
        <f>IF(D221="","",IFERROR(INDEX(Arquétipos!$B$5:$B$40,MATCH(D221,Arquétipos!$A$5:$A$40,0)),""))</f>
        <v/>
      </c>
      <c r="F221" s="84" t="n"/>
      <c r="G221" s="84" t="n"/>
      <c r="H221" s="86" t="n"/>
      <c r="I221" s="86" t="n"/>
      <c r="J221" s="86" t="n"/>
      <c r="K221" s="84" t="n"/>
      <c r="L221" s="84" t="n"/>
      <c r="M221" s="86" t="n"/>
      <c r="N221" s="84" t="n"/>
    </row>
    <row r="222" ht="15" customHeight="1" s="50">
      <c r="A222" s="86" t="n"/>
      <c r="B222" s="84" t="n"/>
      <c r="C222" s="84" t="n"/>
      <c r="D222" s="84" t="n"/>
      <c r="E222" s="85">
        <f>IF(D222="","",IFERROR(INDEX(Arquétipos!$B$5:$B$40,MATCH(D222,Arquétipos!$A$5:$A$40,0)),""))</f>
        <v/>
      </c>
      <c r="F222" s="84" t="n"/>
      <c r="G222" s="84" t="n"/>
      <c r="H222" s="86" t="n"/>
      <c r="I222" s="86" t="n"/>
      <c r="J222" s="86" t="n"/>
      <c r="K222" s="84" t="n"/>
      <c r="L222" s="84" t="n"/>
      <c r="M222" s="86" t="n"/>
      <c r="N222" s="84" t="n"/>
    </row>
    <row r="223" ht="15" customHeight="1" s="50">
      <c r="A223" s="86" t="n"/>
      <c r="B223" s="84" t="n"/>
      <c r="C223" s="84" t="n"/>
      <c r="D223" s="84" t="n"/>
      <c r="E223" s="85">
        <f>IF(D223="","",IFERROR(INDEX(Arquétipos!$B$5:$B$40,MATCH(D223,Arquétipos!$A$5:$A$40,0)),""))</f>
        <v/>
      </c>
      <c r="F223" s="84" t="n"/>
      <c r="G223" s="84" t="n"/>
      <c r="H223" s="86" t="n"/>
      <c r="I223" s="86" t="n"/>
      <c r="J223" s="86" t="n"/>
      <c r="K223" s="84" t="n"/>
      <c r="L223" s="84" t="n"/>
      <c r="M223" s="86" t="n"/>
      <c r="N223" s="84" t="n"/>
    </row>
    <row r="224" ht="15" customHeight="1" s="50">
      <c r="A224" s="86" t="n"/>
      <c r="B224" s="84" t="n"/>
      <c r="C224" s="84" t="n"/>
      <c r="D224" s="84" t="n"/>
      <c r="E224" s="85">
        <f>IF(D224="","",IFERROR(INDEX(Arquétipos!$B$5:$B$40,MATCH(D224,Arquétipos!$A$5:$A$40,0)),""))</f>
        <v/>
      </c>
      <c r="F224" s="84" t="n"/>
      <c r="G224" s="84" t="n"/>
      <c r="H224" s="86" t="n"/>
      <c r="I224" s="86" t="n"/>
      <c r="J224" s="86" t="n"/>
      <c r="K224" s="84" t="n"/>
      <c r="L224" s="84" t="n"/>
      <c r="M224" s="86" t="n"/>
      <c r="N224" s="84" t="n"/>
    </row>
    <row r="225" ht="15" customHeight="1" s="50">
      <c r="A225" s="86" t="n"/>
      <c r="B225" s="84" t="n"/>
      <c r="C225" s="84" t="n"/>
      <c r="D225" s="84" t="n"/>
      <c r="E225" s="85">
        <f>IF(D225="","",IFERROR(INDEX(Arquétipos!$B$5:$B$40,MATCH(D225,Arquétipos!$A$5:$A$40,0)),""))</f>
        <v/>
      </c>
      <c r="F225" s="84" t="n"/>
      <c r="G225" s="84" t="n"/>
      <c r="H225" s="86" t="n"/>
      <c r="I225" s="86" t="n"/>
      <c r="J225" s="86" t="n"/>
      <c r="K225" s="84" t="n"/>
      <c r="L225" s="84" t="n"/>
      <c r="M225" s="86" t="n"/>
      <c r="N225" s="84" t="n"/>
    </row>
    <row r="226" ht="15" customHeight="1" s="50">
      <c r="A226" s="86" t="n"/>
      <c r="B226" s="84" t="n"/>
      <c r="C226" s="84" t="n"/>
      <c r="D226" s="84" t="n"/>
      <c r="E226" s="85">
        <f>IF(D226="","",IFERROR(INDEX(Arquétipos!$B$5:$B$40,MATCH(D226,Arquétipos!$A$5:$A$40,0)),""))</f>
        <v/>
      </c>
      <c r="F226" s="84" t="n"/>
      <c r="G226" s="84" t="n"/>
      <c r="H226" s="86" t="n"/>
      <c r="I226" s="86" t="n"/>
      <c r="J226" s="86" t="n"/>
      <c r="K226" s="84" t="n"/>
      <c r="L226" s="84" t="n"/>
      <c r="M226" s="86" t="n"/>
      <c r="N226" s="84" t="n"/>
    </row>
    <row r="227" ht="15" customHeight="1" s="50">
      <c r="A227" s="86" t="n"/>
      <c r="B227" s="84" t="n"/>
      <c r="C227" s="84" t="n"/>
      <c r="D227" s="84" t="n"/>
      <c r="E227" s="85">
        <f>IF(D227="","",IFERROR(INDEX(Arquétipos!$B$5:$B$40,MATCH(D227,Arquétipos!$A$5:$A$40,0)),""))</f>
        <v/>
      </c>
      <c r="F227" s="84" t="n"/>
      <c r="G227" s="84" t="n"/>
      <c r="H227" s="86" t="n"/>
      <c r="I227" s="86" t="n"/>
      <c r="J227" s="86" t="n"/>
      <c r="K227" s="84" t="n"/>
      <c r="L227" s="84" t="n"/>
      <c r="M227" s="86" t="n"/>
      <c r="N227" s="84" t="n"/>
    </row>
    <row r="228" ht="15" customHeight="1" s="50">
      <c r="A228" s="86" t="n"/>
      <c r="B228" s="84" t="n"/>
      <c r="C228" s="84" t="n"/>
      <c r="D228" s="84" t="n"/>
      <c r="E228" s="85">
        <f>IF(D228="","",IFERROR(INDEX(Arquétipos!$B$5:$B$40,MATCH(D228,Arquétipos!$A$5:$A$40,0)),""))</f>
        <v/>
      </c>
      <c r="F228" s="84" t="n"/>
      <c r="G228" s="84" t="n"/>
      <c r="H228" s="86" t="n"/>
      <c r="I228" s="86" t="n"/>
      <c r="J228" s="86" t="n"/>
      <c r="K228" s="84" t="n"/>
      <c r="L228" s="84" t="n"/>
      <c r="M228" s="86" t="n"/>
      <c r="N228" s="84" t="n"/>
    </row>
    <row r="229" ht="15" customHeight="1" s="50">
      <c r="A229" s="86" t="n"/>
      <c r="B229" s="84" t="n"/>
      <c r="C229" s="84" t="n"/>
      <c r="D229" s="84" t="n"/>
      <c r="E229" s="85">
        <f>IF(D229="","",IFERROR(INDEX(Arquétipos!$B$5:$B$40,MATCH(D229,Arquétipos!$A$5:$A$40,0)),""))</f>
        <v/>
      </c>
      <c r="F229" s="84" t="n"/>
      <c r="G229" s="84" t="n"/>
      <c r="H229" s="86" t="n"/>
      <c r="I229" s="86" t="n"/>
      <c r="J229" s="86" t="n"/>
      <c r="K229" s="84" t="n"/>
      <c r="L229" s="84" t="n"/>
      <c r="M229" s="86" t="n"/>
      <c r="N229" s="84" t="n"/>
    </row>
    <row r="230" ht="15" customHeight="1" s="50">
      <c r="A230" s="86" t="n"/>
      <c r="B230" s="84" t="n"/>
      <c r="C230" s="84" t="n"/>
      <c r="D230" s="84" t="n"/>
      <c r="E230" s="85">
        <f>IF(D230="","",IFERROR(INDEX(Arquétipos!$B$5:$B$40,MATCH(D230,Arquétipos!$A$5:$A$40,0)),""))</f>
        <v/>
      </c>
      <c r="F230" s="84" t="n"/>
      <c r="G230" s="84" t="n"/>
      <c r="H230" s="86" t="n"/>
      <c r="I230" s="86" t="n"/>
      <c r="J230" s="86" t="n"/>
      <c r="K230" s="84" t="n"/>
      <c r="L230" s="84" t="n"/>
      <c r="M230" s="86" t="n"/>
      <c r="N230" s="84" t="n"/>
    </row>
    <row r="231" ht="15" customHeight="1" s="50">
      <c r="A231" s="86" t="n"/>
      <c r="B231" s="84" t="n"/>
      <c r="C231" s="84" t="n"/>
      <c r="D231" s="84" t="n"/>
      <c r="E231" s="85">
        <f>IF(D231="","",IFERROR(INDEX(Arquétipos!$B$5:$B$40,MATCH(D231,Arquétipos!$A$5:$A$40,0)),""))</f>
        <v/>
      </c>
      <c r="F231" s="84" t="n"/>
      <c r="G231" s="84" t="n"/>
      <c r="H231" s="86" t="n"/>
      <c r="I231" s="86" t="n"/>
      <c r="J231" s="86" t="n"/>
      <c r="K231" s="84" t="n"/>
      <c r="L231" s="84" t="n"/>
      <c r="M231" s="86" t="n"/>
      <c r="N231" s="84" t="n"/>
    </row>
    <row r="232" ht="15" customHeight="1" s="50">
      <c r="A232" s="86" t="n"/>
      <c r="B232" s="84" t="n"/>
      <c r="C232" s="84" t="n"/>
      <c r="D232" s="84" t="n"/>
      <c r="E232" s="85">
        <f>IF(D232="","",IFERROR(INDEX(Arquétipos!$B$5:$B$40,MATCH(D232,Arquétipos!$A$5:$A$40,0)),""))</f>
        <v/>
      </c>
      <c r="F232" s="84" t="n"/>
      <c r="G232" s="84" t="n"/>
      <c r="H232" s="86" t="n"/>
      <c r="I232" s="86" t="n"/>
      <c r="J232" s="86" t="n"/>
      <c r="K232" s="84" t="n"/>
      <c r="L232" s="84" t="n"/>
      <c r="M232" s="86" t="n"/>
      <c r="N232" s="84" t="n"/>
    </row>
    <row r="233" ht="15" customHeight="1" s="50">
      <c r="A233" s="86" t="n"/>
      <c r="B233" s="84" t="n"/>
      <c r="C233" s="84" t="n"/>
      <c r="D233" s="84" t="n"/>
      <c r="E233" s="85">
        <f>IF(D233="","",IFERROR(INDEX(Arquétipos!$B$5:$B$40,MATCH(D233,Arquétipos!$A$5:$A$40,0)),""))</f>
        <v/>
      </c>
      <c r="F233" s="84" t="n"/>
      <c r="G233" s="84" t="n"/>
      <c r="H233" s="86" t="n"/>
      <c r="I233" s="86" t="n"/>
      <c r="J233" s="86" t="n"/>
      <c r="K233" s="84" t="n"/>
      <c r="L233" s="84" t="n"/>
      <c r="M233" s="86" t="n"/>
      <c r="N233" s="84" t="n"/>
    </row>
    <row r="234" ht="15" customHeight="1" s="50">
      <c r="A234" s="86" t="n"/>
      <c r="B234" s="84" t="n"/>
      <c r="C234" s="84" t="n"/>
      <c r="D234" s="84" t="n"/>
      <c r="E234" s="85">
        <f>IF(D234="","",IFERROR(INDEX(Arquétipos!$B$5:$B$40,MATCH(D234,Arquétipos!$A$5:$A$40,0)),""))</f>
        <v/>
      </c>
      <c r="F234" s="84" t="n"/>
      <c r="G234" s="84" t="n"/>
      <c r="H234" s="86" t="n"/>
      <c r="I234" s="86" t="n"/>
      <c r="J234" s="86" t="n"/>
      <c r="K234" s="84" t="n"/>
      <c r="L234" s="84" t="n"/>
      <c r="M234" s="86" t="n"/>
      <c r="N234" s="84" t="n"/>
    </row>
    <row r="235" ht="15" customHeight="1" s="50">
      <c r="A235" s="86" t="n"/>
      <c r="B235" s="84" t="n"/>
      <c r="C235" s="84" t="n"/>
      <c r="D235" s="84" t="n"/>
      <c r="E235" s="85">
        <f>IF(D235="","",IFERROR(INDEX(Arquétipos!$B$5:$B$40,MATCH(D235,Arquétipos!$A$5:$A$40,0)),""))</f>
        <v/>
      </c>
      <c r="F235" s="84" t="n"/>
      <c r="G235" s="84" t="n"/>
      <c r="H235" s="86" t="n"/>
      <c r="I235" s="86" t="n"/>
      <c r="J235" s="86" t="n"/>
      <c r="K235" s="84" t="n"/>
      <c r="L235" s="84" t="n"/>
      <c r="M235" s="86" t="n"/>
      <c r="N235" s="84" t="n"/>
    </row>
    <row r="236" ht="15" customHeight="1" s="50">
      <c r="A236" s="86" t="n"/>
      <c r="B236" s="84" t="n"/>
      <c r="C236" s="84" t="n"/>
      <c r="D236" s="84" t="n"/>
      <c r="E236" s="85">
        <f>IF(D236="","",IFERROR(INDEX(Arquétipos!$B$5:$B$40,MATCH(D236,Arquétipos!$A$5:$A$40,0)),""))</f>
        <v/>
      </c>
      <c r="F236" s="84" t="n"/>
      <c r="G236" s="84" t="n"/>
      <c r="H236" s="86" t="n"/>
      <c r="I236" s="86" t="n"/>
      <c r="J236" s="86" t="n"/>
      <c r="K236" s="84" t="n"/>
      <c r="L236" s="84" t="n"/>
      <c r="M236" s="86" t="n"/>
      <c r="N236" s="84" t="n"/>
    </row>
    <row r="237" ht="15" customHeight="1" s="50">
      <c r="A237" s="86" t="n"/>
      <c r="B237" s="84" t="n"/>
      <c r="C237" s="84" t="n"/>
      <c r="D237" s="84" t="n"/>
      <c r="E237" s="85">
        <f>IF(D237="","",IFERROR(INDEX(Arquétipos!$B$5:$B$40,MATCH(D237,Arquétipos!$A$5:$A$40,0)),""))</f>
        <v/>
      </c>
      <c r="F237" s="84" t="n"/>
      <c r="G237" s="84" t="n"/>
      <c r="H237" s="86" t="n"/>
      <c r="I237" s="86" t="n"/>
      <c r="J237" s="86" t="n"/>
      <c r="K237" s="84" t="n"/>
      <c r="L237" s="84" t="n"/>
      <c r="M237" s="86" t="n"/>
      <c r="N237" s="84" t="n"/>
    </row>
    <row r="238" ht="15" customHeight="1" s="50">
      <c r="A238" s="86" t="n"/>
      <c r="B238" s="84" t="n"/>
      <c r="C238" s="84" t="n"/>
      <c r="D238" s="84" t="n"/>
      <c r="E238" s="85">
        <f>IF(D238="","",IFERROR(INDEX(Arquétipos!$B$5:$B$40,MATCH(D238,Arquétipos!$A$5:$A$40,0)),""))</f>
        <v/>
      </c>
      <c r="F238" s="84" t="n"/>
      <c r="G238" s="84" t="n"/>
      <c r="H238" s="86" t="n"/>
      <c r="I238" s="86" t="n"/>
      <c r="J238" s="86" t="n"/>
      <c r="K238" s="84" t="n"/>
      <c r="L238" s="84" t="n"/>
      <c r="M238" s="86" t="n"/>
      <c r="N238" s="84" t="n"/>
    </row>
    <row r="239" ht="15" customHeight="1" s="50">
      <c r="A239" s="86" t="n"/>
      <c r="B239" s="84" t="n"/>
      <c r="C239" s="84" t="n"/>
      <c r="D239" s="84" t="n"/>
      <c r="E239" s="85">
        <f>IF(D239="","",IFERROR(INDEX(Arquétipos!$B$5:$B$40,MATCH(D239,Arquétipos!$A$5:$A$40,0)),""))</f>
        <v/>
      </c>
      <c r="F239" s="84" t="n"/>
      <c r="G239" s="84" t="n"/>
      <c r="H239" s="86" t="n"/>
      <c r="I239" s="86" t="n"/>
      <c r="J239" s="86" t="n"/>
      <c r="K239" s="84" t="n"/>
      <c r="L239" s="84" t="n"/>
      <c r="M239" s="86" t="n"/>
      <c r="N239" s="84" t="n"/>
    </row>
    <row r="240" ht="15" customHeight="1" s="50">
      <c r="A240" s="86" t="n"/>
      <c r="B240" s="84" t="n"/>
      <c r="C240" s="84" t="n"/>
      <c r="D240" s="84" t="n"/>
      <c r="E240" s="85">
        <f>IF(D240="","",IFERROR(INDEX(Arquétipos!$B$5:$B$40,MATCH(D240,Arquétipos!$A$5:$A$40,0)),""))</f>
        <v/>
      </c>
      <c r="F240" s="84" t="n"/>
      <c r="G240" s="84" t="n"/>
      <c r="H240" s="86" t="n"/>
      <c r="I240" s="86" t="n"/>
      <c r="J240" s="86" t="n"/>
      <c r="K240" s="84" t="n"/>
      <c r="L240" s="84" t="n"/>
      <c r="M240" s="86" t="n"/>
      <c r="N240" s="84" t="n"/>
    </row>
    <row r="241" ht="15" customHeight="1" s="50">
      <c r="A241" s="86" t="n"/>
      <c r="B241" s="84" t="n"/>
      <c r="C241" s="84" t="n"/>
      <c r="D241" s="84" t="n"/>
      <c r="E241" s="85">
        <f>IF(D241="","",IFERROR(INDEX(Arquétipos!$B$5:$B$40,MATCH(D241,Arquétipos!$A$5:$A$40,0)),""))</f>
        <v/>
      </c>
      <c r="F241" s="84" t="n"/>
      <c r="G241" s="84" t="n"/>
      <c r="H241" s="86" t="n"/>
      <c r="I241" s="86" t="n"/>
      <c r="J241" s="86" t="n"/>
      <c r="K241" s="84" t="n"/>
      <c r="L241" s="84" t="n"/>
      <c r="M241" s="86" t="n"/>
      <c r="N241" s="84" t="n"/>
    </row>
    <row r="242" ht="15" customHeight="1" s="50">
      <c r="A242" s="86" t="n"/>
      <c r="B242" s="84" t="n"/>
      <c r="C242" s="84" t="n"/>
      <c r="D242" s="84" t="n"/>
      <c r="E242" s="85">
        <f>IF(D242="","",IFERROR(INDEX(Arquétipos!$B$5:$B$40,MATCH(D242,Arquétipos!$A$5:$A$40,0)),""))</f>
        <v/>
      </c>
      <c r="F242" s="84" t="n"/>
      <c r="G242" s="84" t="n"/>
      <c r="H242" s="86" t="n"/>
      <c r="I242" s="86" t="n"/>
      <c r="J242" s="86" t="n"/>
      <c r="K242" s="84" t="n"/>
      <c r="L242" s="84" t="n"/>
      <c r="M242" s="86" t="n"/>
      <c r="N242" s="84" t="n"/>
    </row>
    <row r="243" ht="15" customHeight="1" s="50">
      <c r="A243" s="86" t="n"/>
      <c r="B243" s="84" t="n"/>
      <c r="C243" s="84" t="n"/>
      <c r="D243" s="84" t="n"/>
      <c r="E243" s="85">
        <f>IF(D243="","",IFERROR(INDEX(Arquétipos!$B$5:$B$40,MATCH(D243,Arquétipos!$A$5:$A$40,0)),""))</f>
        <v/>
      </c>
      <c r="F243" s="84" t="n"/>
      <c r="G243" s="84" t="n"/>
      <c r="H243" s="86" t="n"/>
      <c r="I243" s="86" t="n"/>
      <c r="J243" s="86" t="n"/>
      <c r="K243" s="84" t="n"/>
      <c r="L243" s="84" t="n"/>
      <c r="M243" s="86" t="n"/>
      <c r="N243" s="84" t="n"/>
    </row>
    <row r="244" ht="15" customHeight="1" s="50">
      <c r="A244" s="86" t="n"/>
      <c r="B244" s="84" t="n"/>
      <c r="C244" s="84" t="n"/>
      <c r="D244" s="84" t="n"/>
      <c r="E244" s="85">
        <f>IF(D244="","",IFERROR(INDEX(Arquétipos!$B$5:$B$40,MATCH(D244,Arquétipos!$A$5:$A$40,0)),""))</f>
        <v/>
      </c>
      <c r="F244" s="84" t="n"/>
      <c r="G244" s="84" t="n"/>
      <c r="H244" s="86" t="n"/>
      <c r="I244" s="86" t="n"/>
      <c r="J244" s="86" t="n"/>
      <c r="K244" s="84" t="n"/>
      <c r="L244" s="84" t="n"/>
      <c r="M244" s="86" t="n"/>
      <c r="N244" s="84" t="n"/>
    </row>
    <row r="245" ht="15" customHeight="1" s="50">
      <c r="A245" s="86" t="n"/>
      <c r="B245" s="84" t="n"/>
      <c r="C245" s="84" t="n"/>
      <c r="D245" s="84" t="n"/>
      <c r="E245" s="85">
        <f>IF(D245="","",IFERROR(INDEX(Arquétipos!$B$5:$B$40,MATCH(D245,Arquétipos!$A$5:$A$40,0)),""))</f>
        <v/>
      </c>
      <c r="F245" s="84" t="n"/>
      <c r="G245" s="84" t="n"/>
      <c r="H245" s="86" t="n"/>
      <c r="I245" s="86" t="n"/>
      <c r="J245" s="86" t="n"/>
      <c r="K245" s="84" t="n"/>
      <c r="L245" s="84" t="n"/>
      <c r="M245" s="86" t="n"/>
      <c r="N245" s="84" t="n"/>
    </row>
    <row r="246" ht="15" customHeight="1" s="50">
      <c r="A246" s="86" t="n"/>
      <c r="B246" s="84" t="n"/>
      <c r="C246" s="84" t="n"/>
      <c r="D246" s="84" t="n"/>
      <c r="E246" s="85">
        <f>IF(D246="","",IFERROR(INDEX(Arquétipos!$B$5:$B$40,MATCH(D246,Arquétipos!$A$5:$A$40,0)),""))</f>
        <v/>
      </c>
      <c r="F246" s="84" t="n"/>
      <c r="G246" s="84" t="n"/>
      <c r="H246" s="86" t="n"/>
      <c r="I246" s="86" t="n"/>
      <c r="J246" s="86" t="n"/>
      <c r="K246" s="84" t="n"/>
      <c r="L246" s="84" t="n"/>
      <c r="M246" s="86" t="n"/>
      <c r="N246" s="84" t="n"/>
    </row>
    <row r="247" ht="15" customHeight="1" s="50">
      <c r="A247" s="86" t="n"/>
      <c r="B247" s="84" t="n"/>
      <c r="C247" s="84" t="n"/>
      <c r="D247" s="84" t="n"/>
      <c r="E247" s="85">
        <f>IF(D247="","",IFERROR(INDEX(Arquétipos!$B$5:$B$40,MATCH(D247,Arquétipos!$A$5:$A$40,0)),""))</f>
        <v/>
      </c>
      <c r="F247" s="84" t="n"/>
      <c r="G247" s="84" t="n"/>
      <c r="H247" s="86" t="n"/>
      <c r="I247" s="86" t="n"/>
      <c r="J247" s="86" t="n"/>
      <c r="K247" s="84" t="n"/>
      <c r="L247" s="84" t="n"/>
      <c r="M247" s="86" t="n"/>
      <c r="N247" s="84" t="n"/>
    </row>
    <row r="248" ht="15" customHeight="1" s="50">
      <c r="A248" s="86" t="n"/>
      <c r="B248" s="84" t="n"/>
      <c r="C248" s="84" t="n"/>
      <c r="D248" s="84" t="n"/>
      <c r="E248" s="85">
        <f>IF(D248="","",IFERROR(INDEX(Arquétipos!$B$5:$B$40,MATCH(D248,Arquétipos!$A$5:$A$40,0)),""))</f>
        <v/>
      </c>
      <c r="F248" s="84" t="n"/>
      <c r="G248" s="84" t="n"/>
      <c r="H248" s="86" t="n"/>
      <c r="I248" s="86" t="n"/>
      <c r="J248" s="86" t="n"/>
      <c r="K248" s="84" t="n"/>
      <c r="L248" s="84" t="n"/>
      <c r="M248" s="86" t="n"/>
      <c r="N248" s="84" t="n"/>
    </row>
    <row r="249" ht="15" customHeight="1" s="50">
      <c r="A249" s="86" t="n"/>
      <c r="B249" s="84" t="n"/>
      <c r="C249" s="84" t="n"/>
      <c r="D249" s="84" t="n"/>
      <c r="E249" s="85">
        <f>IF(D249="","",IFERROR(INDEX(Arquétipos!$B$5:$B$40,MATCH(D249,Arquétipos!$A$5:$A$40,0)),""))</f>
        <v/>
      </c>
      <c r="F249" s="84" t="n"/>
      <c r="G249" s="84" t="n"/>
      <c r="H249" s="86" t="n"/>
      <c r="I249" s="86" t="n"/>
      <c r="J249" s="86" t="n"/>
      <c r="K249" s="84" t="n"/>
      <c r="L249" s="84" t="n"/>
      <c r="M249" s="86" t="n"/>
      <c r="N249" s="84" t="n"/>
    </row>
    <row r="250" ht="15" customHeight="1" s="50">
      <c r="A250" s="86" t="n"/>
      <c r="B250" s="84" t="n"/>
      <c r="C250" s="84" t="n"/>
      <c r="D250" s="84" t="n"/>
      <c r="E250" s="85">
        <f>IF(D250="","",IFERROR(INDEX(Arquétipos!$B$5:$B$40,MATCH(D250,Arquétipos!$A$5:$A$40,0)),""))</f>
        <v/>
      </c>
      <c r="F250" s="84" t="n"/>
      <c r="G250" s="84" t="n"/>
      <c r="H250" s="86" t="n"/>
      <c r="I250" s="86" t="n"/>
      <c r="J250" s="86" t="n"/>
      <c r="K250" s="84" t="n"/>
      <c r="L250" s="84" t="n"/>
      <c r="M250" s="86" t="n"/>
      <c r="N250" s="84" t="n"/>
    </row>
    <row r="251" ht="15" customHeight="1" s="50">
      <c r="A251" s="86" t="n"/>
      <c r="B251" s="84" t="n"/>
      <c r="C251" s="84" t="n"/>
      <c r="D251" s="84" t="n"/>
      <c r="E251" s="85">
        <f>IF(D251="","",IFERROR(INDEX(Arquétipos!$B$5:$B$40,MATCH(D251,Arquétipos!$A$5:$A$40,0)),""))</f>
        <v/>
      </c>
      <c r="F251" s="84" t="n"/>
      <c r="G251" s="84" t="n"/>
      <c r="H251" s="86" t="n"/>
      <c r="I251" s="86" t="n"/>
      <c r="J251" s="86" t="n"/>
      <c r="K251" s="84" t="n"/>
      <c r="L251" s="84" t="n"/>
      <c r="M251" s="86" t="n"/>
      <c r="N251" s="84" t="n"/>
    </row>
    <row r="252" ht="15" customHeight="1" s="50">
      <c r="A252" s="86" t="n"/>
      <c r="B252" s="84" t="n"/>
      <c r="C252" s="84" t="n"/>
      <c r="D252" s="84" t="n"/>
      <c r="E252" s="85">
        <f>IF(D252="","",IFERROR(INDEX(Arquétipos!$B$5:$B$40,MATCH(D252,Arquétipos!$A$5:$A$40,0)),""))</f>
        <v/>
      </c>
      <c r="F252" s="84" t="n"/>
      <c r="G252" s="84" t="n"/>
      <c r="H252" s="86" t="n"/>
      <c r="I252" s="86" t="n"/>
      <c r="J252" s="86" t="n"/>
      <c r="K252" s="84" t="n"/>
      <c r="L252" s="84" t="n"/>
      <c r="M252" s="86" t="n"/>
      <c r="N252" s="84" t="n"/>
    </row>
    <row r="253" ht="15" customHeight="1" s="50">
      <c r="A253" s="86" t="n"/>
      <c r="B253" s="84" t="n"/>
      <c r="C253" s="84" t="n"/>
      <c r="D253" s="84" t="n"/>
      <c r="E253" s="85">
        <f>IF(D253="","",IFERROR(INDEX(Arquétipos!$B$5:$B$40,MATCH(D253,Arquétipos!$A$5:$A$40,0)),""))</f>
        <v/>
      </c>
      <c r="F253" s="84" t="n"/>
      <c r="G253" s="84" t="n"/>
      <c r="H253" s="86" t="n"/>
      <c r="I253" s="86" t="n"/>
      <c r="J253" s="86" t="n"/>
      <c r="K253" s="84" t="n"/>
      <c r="L253" s="84" t="n"/>
      <c r="M253" s="86" t="n"/>
      <c r="N253" s="84" t="n"/>
    </row>
    <row r="254" ht="15" customHeight="1" s="50">
      <c r="A254" s="86" t="n"/>
      <c r="B254" s="84" t="n"/>
      <c r="C254" s="84" t="n"/>
      <c r="D254" s="84" t="n"/>
      <c r="E254" s="85">
        <f>IF(D254="","",IFERROR(INDEX(Arquétipos!$B$5:$B$40,MATCH(D254,Arquétipos!$A$5:$A$40,0)),""))</f>
        <v/>
      </c>
      <c r="F254" s="84" t="n"/>
      <c r="G254" s="84" t="n"/>
      <c r="H254" s="86" t="n"/>
      <c r="I254" s="86" t="n"/>
      <c r="J254" s="86" t="n"/>
      <c r="K254" s="84" t="n"/>
      <c r="L254" s="84" t="n"/>
      <c r="M254" s="86" t="n"/>
      <c r="N254" s="84" t="n"/>
    </row>
    <row r="255" ht="15" customHeight="1" s="50">
      <c r="A255" s="86" t="n"/>
      <c r="B255" s="84" t="n"/>
      <c r="C255" s="84" t="n"/>
      <c r="D255" s="84" t="n"/>
      <c r="E255" s="85">
        <f>IF(D255="","",IFERROR(INDEX(Arquétipos!$B$5:$B$40,MATCH(D255,Arquétipos!$A$5:$A$40,0)),""))</f>
        <v/>
      </c>
      <c r="F255" s="84" t="n"/>
      <c r="G255" s="84" t="n"/>
      <c r="H255" s="86" t="n"/>
      <c r="I255" s="86" t="n"/>
      <c r="J255" s="86" t="n"/>
      <c r="K255" s="84" t="n"/>
      <c r="L255" s="84" t="n"/>
      <c r="M255" s="86" t="n"/>
      <c r="N255" s="84" t="n"/>
    </row>
    <row r="256" ht="15" customHeight="1" s="50">
      <c r="A256" s="86" t="n"/>
      <c r="B256" s="84" t="n"/>
      <c r="C256" s="84" t="n"/>
      <c r="D256" s="84" t="n"/>
      <c r="E256" s="85">
        <f>IF(D256="","",IFERROR(INDEX(Arquétipos!$B$5:$B$40,MATCH(D256,Arquétipos!$A$5:$A$40,0)),""))</f>
        <v/>
      </c>
      <c r="F256" s="84" t="n"/>
      <c r="G256" s="84" t="n"/>
      <c r="H256" s="86" t="n"/>
      <c r="I256" s="86" t="n"/>
      <c r="J256" s="86" t="n"/>
      <c r="K256" s="84" t="n"/>
      <c r="L256" s="84" t="n"/>
      <c r="M256" s="86" t="n"/>
      <c r="N256" s="84" t="n"/>
    </row>
    <row r="257" ht="15" customHeight="1" s="50">
      <c r="A257" s="86" t="n"/>
      <c r="B257" s="84" t="n"/>
      <c r="C257" s="84" t="n"/>
      <c r="D257" s="84" t="n"/>
      <c r="E257" s="85">
        <f>IF(D257="","",IFERROR(INDEX(Arquétipos!$B$5:$B$40,MATCH(D257,Arquétipos!$A$5:$A$40,0)),""))</f>
        <v/>
      </c>
      <c r="F257" s="84" t="n"/>
      <c r="G257" s="84" t="n"/>
      <c r="H257" s="86" t="n"/>
      <c r="I257" s="86" t="n"/>
      <c r="J257" s="86" t="n"/>
      <c r="K257" s="84" t="n"/>
      <c r="L257" s="84" t="n"/>
      <c r="M257" s="86" t="n"/>
      <c r="N257" s="84" t="n"/>
    </row>
    <row r="258" ht="15" customHeight="1" s="50">
      <c r="A258" s="86" t="n"/>
      <c r="B258" s="84" t="n"/>
      <c r="C258" s="84" t="n"/>
      <c r="D258" s="84" t="n"/>
      <c r="E258" s="85">
        <f>IF(D258="","",IFERROR(INDEX(Arquétipos!$B$5:$B$40,MATCH(D258,Arquétipos!$A$5:$A$40,0)),""))</f>
        <v/>
      </c>
      <c r="F258" s="84" t="n"/>
      <c r="G258" s="84" t="n"/>
      <c r="H258" s="86" t="n"/>
      <c r="I258" s="86" t="n"/>
      <c r="J258" s="86" t="n"/>
      <c r="K258" s="84" t="n"/>
      <c r="L258" s="84" t="n"/>
      <c r="M258" s="86" t="n"/>
      <c r="N258" s="84" t="n"/>
    </row>
    <row r="259" ht="15" customHeight="1" s="50">
      <c r="A259" s="86" t="n"/>
      <c r="B259" s="84" t="n"/>
      <c r="C259" s="84" t="n"/>
      <c r="D259" s="84" t="n"/>
      <c r="E259" s="85">
        <f>IF(D259="","",IFERROR(INDEX(Arquétipos!$B$5:$B$40,MATCH(D259,Arquétipos!$A$5:$A$40,0)),""))</f>
        <v/>
      </c>
      <c r="F259" s="84" t="n"/>
      <c r="G259" s="84" t="n"/>
      <c r="H259" s="86" t="n"/>
      <c r="I259" s="86" t="n"/>
      <c r="J259" s="86" t="n"/>
      <c r="K259" s="84" t="n"/>
      <c r="L259" s="84" t="n"/>
      <c r="M259" s="86" t="n"/>
      <c r="N259" s="84" t="n"/>
    </row>
    <row r="260" ht="15" customHeight="1" s="50">
      <c r="A260" s="86" t="n"/>
      <c r="B260" s="84" t="n"/>
      <c r="C260" s="84" t="n"/>
      <c r="D260" s="84" t="n"/>
      <c r="E260" s="85">
        <f>IF(D260="","",IFERROR(INDEX(Arquétipos!$B$5:$B$40,MATCH(D260,Arquétipos!$A$5:$A$40,0)),""))</f>
        <v/>
      </c>
      <c r="F260" s="84" t="n"/>
      <c r="G260" s="84" t="n"/>
      <c r="H260" s="86" t="n"/>
      <c r="I260" s="86" t="n"/>
      <c r="J260" s="86" t="n"/>
      <c r="K260" s="84" t="n"/>
      <c r="L260" s="84" t="n"/>
      <c r="M260" s="86" t="n"/>
      <c r="N260" s="84" t="n"/>
    </row>
    <row r="261" ht="15" customHeight="1" s="50">
      <c r="A261" s="86" t="n"/>
      <c r="B261" s="84" t="n"/>
      <c r="C261" s="84" t="n"/>
      <c r="D261" s="84" t="n"/>
      <c r="E261" s="85">
        <f>IF(D261="","",IFERROR(INDEX(Arquétipos!$B$5:$B$40,MATCH(D261,Arquétipos!$A$5:$A$40,0)),""))</f>
        <v/>
      </c>
      <c r="F261" s="84" t="n"/>
      <c r="G261" s="84" t="n"/>
      <c r="H261" s="86" t="n"/>
      <c r="I261" s="86" t="n"/>
      <c r="J261" s="86" t="n"/>
      <c r="K261" s="84" t="n"/>
      <c r="L261" s="84" t="n"/>
      <c r="M261" s="86" t="n"/>
      <c r="N261" s="84" t="n"/>
    </row>
    <row r="262" ht="15" customHeight="1" s="50">
      <c r="A262" s="86" t="n"/>
      <c r="B262" s="84" t="n"/>
      <c r="C262" s="84" t="n"/>
      <c r="D262" s="84" t="n"/>
      <c r="E262" s="85">
        <f>IF(D262="","",IFERROR(INDEX(Arquétipos!$B$5:$B$40,MATCH(D262,Arquétipos!$A$5:$A$40,0)),""))</f>
        <v/>
      </c>
      <c r="F262" s="84" t="n"/>
      <c r="G262" s="84" t="n"/>
      <c r="H262" s="86" t="n"/>
      <c r="I262" s="86" t="n"/>
      <c r="J262" s="86" t="n"/>
      <c r="K262" s="84" t="n"/>
      <c r="L262" s="84" t="n"/>
      <c r="M262" s="86" t="n"/>
      <c r="N262" s="84" t="n"/>
    </row>
    <row r="263" ht="15" customHeight="1" s="50">
      <c r="A263" s="86" t="n"/>
      <c r="B263" s="84" t="n"/>
      <c r="C263" s="84" t="n"/>
      <c r="D263" s="84" t="n"/>
      <c r="E263" s="85">
        <f>IF(D263="","",IFERROR(INDEX(Arquétipos!$B$5:$B$40,MATCH(D263,Arquétipos!$A$5:$A$40,0)),""))</f>
        <v/>
      </c>
      <c r="F263" s="84" t="n"/>
      <c r="G263" s="84" t="n"/>
      <c r="H263" s="86" t="n"/>
      <c r="I263" s="86" t="n"/>
      <c r="J263" s="86" t="n"/>
      <c r="K263" s="84" t="n"/>
      <c r="L263" s="84" t="n"/>
      <c r="M263" s="86" t="n"/>
      <c r="N263" s="84" t="n"/>
    </row>
    <row r="264" ht="15" customHeight="1" s="50">
      <c r="A264" s="86" t="n"/>
      <c r="B264" s="84" t="n"/>
      <c r="C264" s="84" t="n"/>
      <c r="D264" s="84" t="n"/>
      <c r="E264" s="85">
        <f>IF(D264="","",IFERROR(INDEX(Arquétipos!$B$5:$B$40,MATCH(D264,Arquétipos!$A$5:$A$40,0)),""))</f>
        <v/>
      </c>
      <c r="F264" s="84" t="n"/>
      <c r="G264" s="84" t="n"/>
      <c r="H264" s="86" t="n"/>
      <c r="I264" s="86" t="n"/>
      <c r="J264" s="86" t="n"/>
      <c r="K264" s="84" t="n"/>
      <c r="L264" s="84" t="n"/>
      <c r="M264" s="86" t="n"/>
      <c r="N264" s="84" t="n"/>
    </row>
    <row r="265" ht="15" customHeight="1" s="50">
      <c r="A265" s="86" t="n"/>
      <c r="B265" s="84" t="n"/>
      <c r="C265" s="84" t="n"/>
      <c r="D265" s="84" t="n"/>
      <c r="E265" s="85">
        <f>IF(D265="","",IFERROR(INDEX(Arquétipos!$B$5:$B$40,MATCH(D265,Arquétipos!$A$5:$A$40,0)),""))</f>
        <v/>
      </c>
      <c r="F265" s="84" t="n"/>
      <c r="G265" s="84" t="n"/>
      <c r="H265" s="86" t="n"/>
      <c r="I265" s="86" t="n"/>
      <c r="J265" s="86" t="n"/>
      <c r="K265" s="84" t="n"/>
      <c r="L265" s="84" t="n"/>
      <c r="M265" s="86" t="n"/>
      <c r="N265" s="84" t="n"/>
    </row>
    <row r="266" ht="15" customHeight="1" s="50">
      <c r="A266" s="86" t="n"/>
      <c r="B266" s="84" t="n"/>
      <c r="C266" s="84" t="n"/>
      <c r="D266" s="84" t="n"/>
      <c r="E266" s="85">
        <f>IF(D266="","",IFERROR(INDEX(Arquétipos!$B$5:$B$40,MATCH(D266,Arquétipos!$A$5:$A$40,0)),""))</f>
        <v/>
      </c>
      <c r="F266" s="84" t="n"/>
      <c r="G266" s="84" t="n"/>
      <c r="H266" s="86" t="n"/>
      <c r="I266" s="86" t="n"/>
      <c r="J266" s="86" t="n"/>
      <c r="K266" s="84" t="n"/>
      <c r="L266" s="84" t="n"/>
      <c r="M266" s="86" t="n"/>
      <c r="N266" s="84" t="n"/>
    </row>
    <row r="267" ht="15" customHeight="1" s="50">
      <c r="A267" s="86" t="n"/>
      <c r="B267" s="84" t="n"/>
      <c r="C267" s="84" t="n"/>
      <c r="D267" s="84" t="n"/>
      <c r="E267" s="85">
        <f>IF(D267="","",IFERROR(INDEX(Arquétipos!$B$5:$B$40,MATCH(D267,Arquétipos!$A$5:$A$40,0)),""))</f>
        <v/>
      </c>
      <c r="F267" s="84" t="n"/>
      <c r="G267" s="84" t="n"/>
      <c r="H267" s="86" t="n"/>
      <c r="I267" s="86" t="n"/>
      <c r="J267" s="86" t="n"/>
      <c r="K267" s="84" t="n"/>
      <c r="L267" s="84" t="n"/>
      <c r="M267" s="86" t="n"/>
      <c r="N267" s="84" t="n"/>
    </row>
    <row r="268" ht="15" customHeight="1" s="50">
      <c r="A268" s="86" t="n"/>
      <c r="B268" s="84" t="n"/>
      <c r="C268" s="84" t="n"/>
      <c r="D268" s="84" t="n"/>
      <c r="E268" s="85">
        <f>IF(D268="","",IFERROR(INDEX(Arquétipos!$B$5:$B$40,MATCH(D268,Arquétipos!$A$5:$A$40,0)),""))</f>
        <v/>
      </c>
      <c r="F268" s="84" t="n"/>
      <c r="G268" s="84" t="n"/>
      <c r="H268" s="86" t="n"/>
      <c r="I268" s="86" t="n"/>
      <c r="J268" s="86" t="n"/>
      <c r="K268" s="84" t="n"/>
      <c r="L268" s="84" t="n"/>
      <c r="M268" s="86" t="n"/>
      <c r="N268" s="84" t="n"/>
    </row>
    <row r="269" ht="15" customHeight="1" s="50">
      <c r="A269" s="86" t="n"/>
      <c r="B269" s="84" t="n"/>
      <c r="C269" s="84" t="n"/>
      <c r="D269" s="84" t="n"/>
      <c r="E269" s="85">
        <f>IF(D269="","",IFERROR(INDEX(Arquétipos!$B$5:$B$40,MATCH(D269,Arquétipos!$A$5:$A$40,0)),""))</f>
        <v/>
      </c>
      <c r="F269" s="84" t="n"/>
      <c r="G269" s="84" t="n"/>
      <c r="H269" s="86" t="n"/>
      <c r="I269" s="86" t="n"/>
      <c r="J269" s="86" t="n"/>
      <c r="K269" s="84" t="n"/>
      <c r="L269" s="84" t="n"/>
      <c r="M269" s="86" t="n"/>
      <c r="N269" s="84" t="n"/>
    </row>
    <row r="270" ht="15" customHeight="1" s="50">
      <c r="A270" s="86" t="n"/>
      <c r="B270" s="84" t="n"/>
      <c r="C270" s="84" t="n"/>
      <c r="D270" s="84" t="n"/>
      <c r="E270" s="85">
        <f>IF(D270="","",IFERROR(INDEX(Arquétipos!$B$5:$B$40,MATCH(D270,Arquétipos!$A$5:$A$40,0)),""))</f>
        <v/>
      </c>
      <c r="F270" s="84" t="n"/>
      <c r="G270" s="84" t="n"/>
      <c r="H270" s="86" t="n"/>
      <c r="I270" s="86" t="n"/>
      <c r="J270" s="86" t="n"/>
      <c r="K270" s="84" t="n"/>
      <c r="L270" s="84" t="n"/>
      <c r="M270" s="86" t="n"/>
      <c r="N270" s="84" t="n"/>
    </row>
    <row r="271" ht="15" customHeight="1" s="50">
      <c r="A271" s="86" t="n"/>
      <c r="B271" s="84" t="n"/>
      <c r="C271" s="84" t="n"/>
      <c r="D271" s="84" t="n"/>
      <c r="E271" s="85">
        <f>IF(D271="","",IFERROR(INDEX(Arquétipos!$B$5:$B$40,MATCH(D271,Arquétipos!$A$5:$A$40,0)),""))</f>
        <v/>
      </c>
      <c r="F271" s="84" t="n"/>
      <c r="G271" s="84" t="n"/>
      <c r="H271" s="86" t="n"/>
      <c r="I271" s="86" t="n"/>
      <c r="J271" s="86" t="n"/>
      <c r="K271" s="84" t="n"/>
      <c r="L271" s="84" t="n"/>
      <c r="M271" s="86" t="n"/>
      <c r="N271" s="84" t="n"/>
    </row>
    <row r="272" ht="15" customHeight="1" s="50">
      <c r="A272" s="86" t="n"/>
      <c r="B272" s="84" t="n"/>
      <c r="C272" s="84" t="n"/>
      <c r="D272" s="84" t="n"/>
      <c r="E272" s="85">
        <f>IF(D272="","",IFERROR(INDEX(Arquétipos!$B$5:$B$40,MATCH(D272,Arquétipos!$A$5:$A$40,0)),""))</f>
        <v/>
      </c>
      <c r="F272" s="84" t="n"/>
      <c r="G272" s="84" t="n"/>
      <c r="H272" s="86" t="n"/>
      <c r="I272" s="86" t="n"/>
      <c r="J272" s="86" t="n"/>
      <c r="K272" s="84" t="n"/>
      <c r="L272" s="84" t="n"/>
      <c r="M272" s="86" t="n"/>
      <c r="N272" s="84" t="n"/>
    </row>
    <row r="273" ht="15" customHeight="1" s="50">
      <c r="A273" s="86" t="n"/>
      <c r="B273" s="84" t="n"/>
      <c r="C273" s="84" t="n"/>
      <c r="D273" s="84" t="n"/>
      <c r="E273" s="85">
        <f>IF(D273="","",IFERROR(INDEX(Arquétipos!$B$5:$B$40,MATCH(D273,Arquétipos!$A$5:$A$40,0)),""))</f>
        <v/>
      </c>
      <c r="F273" s="84" t="n"/>
      <c r="G273" s="84" t="n"/>
      <c r="H273" s="86" t="n"/>
      <c r="I273" s="86" t="n"/>
      <c r="J273" s="86" t="n"/>
      <c r="K273" s="84" t="n"/>
      <c r="L273" s="84" t="n"/>
      <c r="M273" s="86" t="n"/>
      <c r="N273" s="84" t="n"/>
    </row>
    <row r="274" ht="15" customHeight="1" s="50">
      <c r="A274" s="86" t="n"/>
      <c r="B274" s="84" t="n"/>
      <c r="C274" s="84" t="n"/>
      <c r="D274" s="84" t="n"/>
      <c r="E274" s="85">
        <f>IF(D274="","",IFERROR(INDEX(Arquétipos!$B$5:$B$40,MATCH(D274,Arquétipos!$A$5:$A$40,0)),""))</f>
        <v/>
      </c>
      <c r="F274" s="84" t="n"/>
      <c r="G274" s="84" t="n"/>
      <c r="H274" s="86" t="n"/>
      <c r="I274" s="86" t="n"/>
      <c r="J274" s="86" t="n"/>
      <c r="K274" s="84" t="n"/>
      <c r="L274" s="84" t="n"/>
      <c r="M274" s="86" t="n"/>
      <c r="N274" s="84" t="n"/>
    </row>
    <row r="275" ht="15" customHeight="1" s="50">
      <c r="A275" s="86" t="n"/>
      <c r="B275" s="84" t="n"/>
      <c r="C275" s="84" t="n"/>
      <c r="D275" s="84" t="n"/>
      <c r="E275" s="85">
        <f>IF(D275="","",IFERROR(INDEX(Arquétipos!$B$5:$B$40,MATCH(D275,Arquétipos!$A$5:$A$40,0)),""))</f>
        <v/>
      </c>
      <c r="F275" s="84" t="n"/>
      <c r="G275" s="84" t="n"/>
      <c r="H275" s="86" t="n"/>
      <c r="I275" s="86" t="n"/>
      <c r="J275" s="86" t="n"/>
      <c r="K275" s="84" t="n"/>
      <c r="L275" s="84" t="n"/>
      <c r="M275" s="86" t="n"/>
      <c r="N275" s="84" t="n"/>
    </row>
    <row r="276" ht="15" customHeight="1" s="50">
      <c r="A276" s="86" t="n"/>
      <c r="B276" s="84" t="n"/>
      <c r="C276" s="84" t="n"/>
      <c r="D276" s="84" t="n"/>
      <c r="E276" s="85">
        <f>IF(D276="","",IFERROR(INDEX(Arquétipos!$B$5:$B$40,MATCH(D276,Arquétipos!$A$5:$A$40,0)),""))</f>
        <v/>
      </c>
      <c r="F276" s="84" t="n"/>
      <c r="G276" s="84" t="n"/>
      <c r="H276" s="86" t="n"/>
      <c r="I276" s="86" t="n"/>
      <c r="J276" s="86" t="n"/>
      <c r="K276" s="84" t="n"/>
      <c r="L276" s="84" t="n"/>
      <c r="M276" s="86" t="n"/>
      <c r="N276" s="84" t="n"/>
    </row>
    <row r="277" ht="15" customHeight="1" s="50">
      <c r="A277" s="86" t="n"/>
      <c r="B277" s="84" t="n"/>
      <c r="C277" s="84" t="n"/>
      <c r="D277" s="84" t="n"/>
      <c r="E277" s="85">
        <f>IF(D277="","",IFERROR(INDEX(Arquétipos!$B$5:$B$40,MATCH(D277,Arquétipos!$A$5:$A$40,0)),""))</f>
        <v/>
      </c>
      <c r="F277" s="84" t="n"/>
      <c r="G277" s="84" t="n"/>
      <c r="H277" s="86" t="n"/>
      <c r="I277" s="86" t="n"/>
      <c r="J277" s="86" t="n"/>
      <c r="K277" s="84" t="n"/>
      <c r="L277" s="84" t="n"/>
      <c r="M277" s="86" t="n"/>
      <c r="N277" s="84" t="n"/>
    </row>
    <row r="278" ht="15" customHeight="1" s="50">
      <c r="A278" s="86" t="n"/>
      <c r="B278" s="84" t="n"/>
      <c r="C278" s="84" t="n"/>
      <c r="D278" s="84" t="n"/>
      <c r="E278" s="85">
        <f>IF(D278="","",IFERROR(INDEX(Arquétipos!$B$5:$B$40,MATCH(D278,Arquétipos!$A$5:$A$40,0)),""))</f>
        <v/>
      </c>
      <c r="F278" s="84" t="n"/>
      <c r="G278" s="84" t="n"/>
      <c r="H278" s="86" t="n"/>
      <c r="I278" s="86" t="n"/>
      <c r="J278" s="86" t="n"/>
      <c r="K278" s="84" t="n"/>
      <c r="L278" s="84" t="n"/>
      <c r="M278" s="86" t="n"/>
      <c r="N278" s="84" t="n"/>
    </row>
    <row r="279" ht="15" customHeight="1" s="50">
      <c r="A279" s="86" t="n"/>
      <c r="B279" s="84" t="n"/>
      <c r="C279" s="84" t="n"/>
      <c r="D279" s="84" t="n"/>
      <c r="E279" s="85">
        <f>IF(D279="","",IFERROR(INDEX(Arquétipos!$B$5:$B$40,MATCH(D279,Arquétipos!$A$5:$A$40,0)),""))</f>
        <v/>
      </c>
      <c r="F279" s="84" t="n"/>
      <c r="G279" s="84" t="n"/>
      <c r="H279" s="86" t="n"/>
      <c r="I279" s="86" t="n"/>
      <c r="J279" s="86" t="n"/>
      <c r="K279" s="84" t="n"/>
      <c r="L279" s="84" t="n"/>
      <c r="M279" s="86" t="n"/>
      <c r="N279" s="84" t="n"/>
    </row>
    <row r="280" ht="15" customHeight="1" s="50">
      <c r="A280" s="86" t="n"/>
      <c r="B280" s="84" t="n"/>
      <c r="C280" s="84" t="n"/>
      <c r="D280" s="84" t="n"/>
      <c r="E280" s="85">
        <f>IF(D280="","",IFERROR(INDEX(Arquétipos!$B$5:$B$40,MATCH(D280,Arquétipos!$A$5:$A$40,0)),""))</f>
        <v/>
      </c>
      <c r="F280" s="84" t="n"/>
      <c r="G280" s="84" t="n"/>
      <c r="H280" s="86" t="n"/>
      <c r="I280" s="86" t="n"/>
      <c r="J280" s="86" t="n"/>
      <c r="K280" s="84" t="n"/>
      <c r="L280" s="84" t="n"/>
      <c r="M280" s="86" t="n"/>
      <c r="N280" s="84" t="n"/>
    </row>
    <row r="281" ht="15" customHeight="1" s="50">
      <c r="A281" s="86" t="n"/>
      <c r="B281" s="84" t="n"/>
      <c r="C281" s="84" t="n"/>
      <c r="D281" s="84" t="n"/>
      <c r="E281" s="85">
        <f>IF(D281="","",IFERROR(INDEX(Arquétipos!$B$5:$B$40,MATCH(D281,Arquétipos!$A$5:$A$40,0)),""))</f>
        <v/>
      </c>
      <c r="F281" s="84" t="n"/>
      <c r="G281" s="84" t="n"/>
      <c r="H281" s="86" t="n"/>
      <c r="I281" s="86" t="n"/>
      <c r="J281" s="86" t="n"/>
      <c r="K281" s="84" t="n"/>
      <c r="L281" s="84" t="n"/>
      <c r="M281" s="86" t="n"/>
      <c r="N281" s="84" t="n"/>
    </row>
    <row r="282" ht="15" customHeight="1" s="50">
      <c r="A282" s="86" t="n"/>
      <c r="B282" s="84" t="n"/>
      <c r="C282" s="84" t="n"/>
      <c r="D282" s="84" t="n"/>
      <c r="E282" s="85">
        <f>IF(D282="","",IFERROR(INDEX(Arquétipos!$B$5:$B$40,MATCH(D282,Arquétipos!$A$5:$A$40,0)),""))</f>
        <v/>
      </c>
      <c r="F282" s="84" t="n"/>
      <c r="G282" s="84" t="n"/>
      <c r="H282" s="86" t="n"/>
      <c r="I282" s="86" t="n"/>
      <c r="J282" s="86" t="n"/>
      <c r="K282" s="84" t="n"/>
      <c r="L282" s="84" t="n"/>
      <c r="M282" s="86" t="n"/>
      <c r="N282" s="84" t="n"/>
    </row>
    <row r="283" ht="15" customHeight="1" s="50">
      <c r="A283" s="86" t="n"/>
      <c r="B283" s="84" t="n"/>
      <c r="C283" s="84" t="n"/>
      <c r="D283" s="84" t="n"/>
      <c r="E283" s="85">
        <f>IF(D283="","",IFERROR(INDEX(Arquétipos!$B$5:$B$40,MATCH(D283,Arquétipos!$A$5:$A$40,0)),""))</f>
        <v/>
      </c>
      <c r="F283" s="84" t="n"/>
      <c r="G283" s="84" t="n"/>
      <c r="H283" s="86" t="n"/>
      <c r="I283" s="86" t="n"/>
      <c r="J283" s="86" t="n"/>
      <c r="K283" s="84" t="n"/>
      <c r="L283" s="84" t="n"/>
      <c r="M283" s="86" t="n"/>
      <c r="N283" s="84" t="n"/>
    </row>
    <row r="284" ht="15" customHeight="1" s="50">
      <c r="A284" s="86" t="n"/>
      <c r="B284" s="84" t="n"/>
      <c r="C284" s="84" t="n"/>
      <c r="D284" s="84" t="n"/>
      <c r="E284" s="85">
        <f>IF(D284="","",IFERROR(INDEX(Arquétipos!$B$5:$B$40,MATCH(D284,Arquétipos!$A$5:$A$40,0)),""))</f>
        <v/>
      </c>
      <c r="F284" s="84" t="n"/>
      <c r="G284" s="84" t="n"/>
      <c r="H284" s="86" t="n"/>
      <c r="I284" s="86" t="n"/>
      <c r="J284" s="86" t="n"/>
      <c r="K284" s="84" t="n"/>
      <c r="L284" s="84" t="n"/>
      <c r="M284" s="86" t="n"/>
      <c r="N284" s="84" t="n"/>
    </row>
    <row r="285" ht="15" customHeight="1" s="50">
      <c r="A285" s="86" t="n"/>
      <c r="B285" s="84" t="n"/>
      <c r="C285" s="84" t="n"/>
      <c r="D285" s="84" t="n"/>
      <c r="E285" s="85">
        <f>IF(D285="","",IFERROR(INDEX(Arquétipos!$B$5:$B$40,MATCH(D285,Arquétipos!$A$5:$A$40,0)),""))</f>
        <v/>
      </c>
      <c r="F285" s="84" t="n"/>
      <c r="G285" s="84" t="n"/>
      <c r="H285" s="86" t="n"/>
      <c r="I285" s="86" t="n"/>
      <c r="J285" s="86" t="n"/>
      <c r="K285" s="84" t="n"/>
      <c r="L285" s="84" t="n"/>
      <c r="M285" s="86" t="n"/>
      <c r="N285" s="84" t="n"/>
    </row>
    <row r="286" ht="15" customHeight="1" s="50">
      <c r="A286" s="86" t="n"/>
      <c r="B286" s="84" t="n"/>
      <c r="C286" s="84" t="n"/>
      <c r="D286" s="84" t="n"/>
      <c r="E286" s="85">
        <f>IF(D286="","",IFERROR(INDEX(Arquétipos!$B$5:$B$40,MATCH(D286,Arquétipos!$A$5:$A$40,0)),""))</f>
        <v/>
      </c>
      <c r="F286" s="84" t="n"/>
      <c r="G286" s="84" t="n"/>
      <c r="H286" s="86" t="n"/>
      <c r="I286" s="86" t="n"/>
      <c r="J286" s="86" t="n"/>
      <c r="K286" s="84" t="n"/>
      <c r="L286" s="84" t="n"/>
      <c r="M286" s="86" t="n"/>
      <c r="N286" s="84" t="n"/>
    </row>
    <row r="287" ht="15" customHeight="1" s="50">
      <c r="A287" s="86" t="n"/>
      <c r="B287" s="84" t="n"/>
      <c r="C287" s="84" t="n"/>
      <c r="D287" s="84" t="n"/>
      <c r="E287" s="85">
        <f>IF(D287="","",IFERROR(INDEX(Arquétipos!$B$5:$B$40,MATCH(D287,Arquétipos!$A$5:$A$40,0)),""))</f>
        <v/>
      </c>
      <c r="F287" s="84" t="n"/>
      <c r="G287" s="84" t="n"/>
      <c r="H287" s="86" t="n"/>
      <c r="I287" s="86" t="n"/>
      <c r="J287" s="86" t="n"/>
      <c r="K287" s="84" t="n"/>
      <c r="L287" s="84" t="n"/>
      <c r="M287" s="86" t="n"/>
      <c r="N287" s="84" t="n"/>
    </row>
    <row r="288" ht="15" customHeight="1" s="50">
      <c r="A288" s="86" t="n"/>
      <c r="B288" s="84" t="n"/>
      <c r="C288" s="84" t="n"/>
      <c r="D288" s="84" t="n"/>
      <c r="E288" s="85">
        <f>IF(D288="","",IFERROR(INDEX(Arquétipos!$B$5:$B$40,MATCH(D288,Arquétipos!$A$5:$A$40,0)),""))</f>
        <v/>
      </c>
      <c r="F288" s="84" t="n"/>
      <c r="G288" s="84" t="n"/>
      <c r="H288" s="86" t="n"/>
      <c r="I288" s="86" t="n"/>
      <c r="J288" s="86" t="n"/>
      <c r="K288" s="84" t="n"/>
      <c r="L288" s="84" t="n"/>
      <c r="M288" s="86" t="n"/>
      <c r="N288" s="84" t="n"/>
    </row>
    <row r="289" ht="15" customHeight="1" s="50">
      <c r="A289" s="86" t="n"/>
      <c r="B289" s="84" t="n"/>
      <c r="C289" s="84" t="n"/>
      <c r="D289" s="84" t="n"/>
      <c r="E289" s="85">
        <f>IF(D289="","",IFERROR(INDEX(Arquétipos!$B$5:$B$40,MATCH(D289,Arquétipos!$A$5:$A$40,0)),""))</f>
        <v/>
      </c>
      <c r="F289" s="84" t="n"/>
      <c r="G289" s="84" t="n"/>
      <c r="H289" s="86" t="n"/>
      <c r="I289" s="86" t="n"/>
      <c r="J289" s="86" t="n"/>
      <c r="K289" s="84" t="n"/>
      <c r="L289" s="84" t="n"/>
      <c r="M289" s="86" t="n"/>
      <c r="N289" s="84" t="n"/>
    </row>
    <row r="290" ht="15" customHeight="1" s="50">
      <c r="A290" s="86" t="n"/>
      <c r="B290" s="84" t="n"/>
      <c r="C290" s="84" t="n"/>
      <c r="D290" s="84" t="n"/>
      <c r="E290" s="85">
        <f>IF(D290="","",IFERROR(INDEX(Arquétipos!$B$5:$B$40,MATCH(D290,Arquétipos!$A$5:$A$40,0)),""))</f>
        <v/>
      </c>
      <c r="F290" s="84" t="n"/>
      <c r="G290" s="84" t="n"/>
      <c r="H290" s="86" t="n"/>
      <c r="I290" s="86" t="n"/>
      <c r="J290" s="86" t="n"/>
      <c r="K290" s="84" t="n"/>
      <c r="L290" s="84" t="n"/>
      <c r="M290" s="86" t="n"/>
      <c r="N290" s="84" t="n"/>
    </row>
    <row r="291" ht="15" customHeight="1" s="50">
      <c r="A291" s="86" t="n"/>
      <c r="B291" s="84" t="n"/>
      <c r="C291" s="84" t="n"/>
      <c r="D291" s="84" t="n"/>
      <c r="E291" s="85">
        <f>IF(D291="","",IFERROR(INDEX(Arquétipos!$B$5:$B$40,MATCH(D291,Arquétipos!$A$5:$A$40,0)),""))</f>
        <v/>
      </c>
      <c r="F291" s="84" t="n"/>
      <c r="G291" s="84" t="n"/>
      <c r="H291" s="86" t="n"/>
      <c r="I291" s="86" t="n"/>
      <c r="J291" s="86" t="n"/>
      <c r="K291" s="84" t="n"/>
      <c r="L291" s="84" t="n"/>
      <c r="M291" s="86" t="n"/>
      <c r="N291" s="84" t="n"/>
    </row>
    <row r="292" ht="15" customHeight="1" s="50">
      <c r="A292" s="86" t="n"/>
      <c r="B292" s="84" t="n"/>
      <c r="C292" s="84" t="n"/>
      <c r="D292" s="84" t="n"/>
      <c r="E292" s="85">
        <f>IF(D292="","",IFERROR(INDEX(Arquétipos!$B$5:$B$40,MATCH(D292,Arquétipos!$A$5:$A$40,0)),""))</f>
        <v/>
      </c>
      <c r="F292" s="84" t="n"/>
      <c r="G292" s="84" t="n"/>
      <c r="H292" s="86" t="n"/>
      <c r="I292" s="86" t="n"/>
      <c r="J292" s="86" t="n"/>
      <c r="K292" s="84" t="n"/>
      <c r="L292" s="84" t="n"/>
      <c r="M292" s="86" t="n"/>
      <c r="N292" s="84" t="n"/>
    </row>
    <row r="293" ht="15" customHeight="1" s="50">
      <c r="A293" s="86" t="n"/>
      <c r="B293" s="84" t="n"/>
      <c r="C293" s="84" t="n"/>
      <c r="D293" s="84" t="n"/>
      <c r="E293" s="85">
        <f>IF(D293="","",IFERROR(INDEX(Arquétipos!$B$5:$B$40,MATCH(D293,Arquétipos!$A$5:$A$40,0)),""))</f>
        <v/>
      </c>
      <c r="F293" s="84" t="n"/>
      <c r="G293" s="84" t="n"/>
      <c r="H293" s="86" t="n"/>
      <c r="I293" s="86" t="n"/>
      <c r="J293" s="86" t="n"/>
      <c r="K293" s="84" t="n"/>
      <c r="L293" s="84" t="n"/>
      <c r="M293" s="86" t="n"/>
      <c r="N293" s="84" t="n"/>
    </row>
    <row r="294" ht="15" customHeight="1" s="50">
      <c r="A294" s="86" t="n"/>
      <c r="B294" s="84" t="n"/>
      <c r="C294" s="84" t="n"/>
      <c r="D294" s="84" t="n"/>
      <c r="E294" s="85">
        <f>IF(D294="","",IFERROR(INDEX(Arquétipos!$B$5:$B$40,MATCH(D294,Arquétipos!$A$5:$A$40,0)),""))</f>
        <v/>
      </c>
      <c r="F294" s="84" t="n"/>
      <c r="G294" s="84" t="n"/>
      <c r="H294" s="86" t="n"/>
      <c r="I294" s="86" t="n"/>
      <c r="J294" s="86" t="n"/>
      <c r="K294" s="84" t="n"/>
      <c r="L294" s="84" t="n"/>
      <c r="M294" s="86" t="n"/>
      <c r="N294" s="84" t="n"/>
    </row>
    <row r="295" ht="15" customHeight="1" s="50">
      <c r="A295" s="86" t="n"/>
      <c r="B295" s="84" t="n"/>
      <c r="C295" s="84" t="n"/>
      <c r="D295" s="84" t="n"/>
      <c r="E295" s="85">
        <f>IF(D295="","",IFERROR(INDEX(Arquétipos!$B$5:$B$40,MATCH(D295,Arquétipos!$A$5:$A$40,0)),""))</f>
        <v/>
      </c>
      <c r="F295" s="84" t="n"/>
      <c r="G295" s="84" t="n"/>
      <c r="H295" s="86" t="n"/>
      <c r="I295" s="86" t="n"/>
      <c r="J295" s="86" t="n"/>
      <c r="K295" s="84" t="n"/>
      <c r="L295" s="84" t="n"/>
      <c r="M295" s="86" t="n"/>
      <c r="N295" s="84" t="n"/>
    </row>
    <row r="296" ht="15" customHeight="1" s="50">
      <c r="A296" s="86" t="n"/>
      <c r="B296" s="84" t="n"/>
      <c r="C296" s="84" t="n"/>
      <c r="D296" s="84" t="n"/>
      <c r="E296" s="85">
        <f>IF(D296="","",IFERROR(INDEX(Arquétipos!$B$5:$B$40,MATCH(D296,Arquétipos!$A$5:$A$40,0)),""))</f>
        <v/>
      </c>
      <c r="F296" s="84" t="n"/>
      <c r="G296" s="84" t="n"/>
      <c r="H296" s="86" t="n"/>
      <c r="I296" s="86" t="n"/>
      <c r="J296" s="86" t="n"/>
      <c r="K296" s="84" t="n"/>
      <c r="L296" s="84" t="n"/>
      <c r="M296" s="86" t="n"/>
      <c r="N296" s="84" t="n"/>
    </row>
    <row r="297" ht="15" customHeight="1" s="50">
      <c r="A297" s="86" t="n"/>
      <c r="B297" s="84" t="n"/>
      <c r="C297" s="84" t="n"/>
      <c r="D297" s="84" t="n"/>
      <c r="E297" s="85">
        <f>IF(D297="","",IFERROR(INDEX(Arquétipos!$B$5:$B$40,MATCH(D297,Arquétipos!$A$5:$A$40,0)),""))</f>
        <v/>
      </c>
      <c r="F297" s="84" t="n"/>
      <c r="G297" s="84" t="n"/>
      <c r="H297" s="86" t="n"/>
      <c r="I297" s="86" t="n"/>
      <c r="J297" s="86" t="n"/>
      <c r="K297" s="84" t="n"/>
      <c r="L297" s="84" t="n"/>
      <c r="M297" s="86" t="n"/>
      <c r="N297" s="84" t="n"/>
    </row>
    <row r="298" ht="15" customHeight="1" s="50">
      <c r="A298" s="86" t="n"/>
      <c r="B298" s="84" t="n"/>
      <c r="C298" s="84" t="n"/>
      <c r="D298" s="84" t="n"/>
      <c r="E298" s="85">
        <f>IF(D298="","",IFERROR(INDEX(Arquétipos!$B$5:$B$40,MATCH(D298,Arquétipos!$A$5:$A$40,0)),""))</f>
        <v/>
      </c>
      <c r="F298" s="84" t="n"/>
      <c r="G298" s="84" t="n"/>
      <c r="H298" s="86" t="n"/>
      <c r="I298" s="86" t="n"/>
      <c r="J298" s="86" t="n"/>
      <c r="K298" s="84" t="n"/>
      <c r="L298" s="84" t="n"/>
      <c r="M298" s="86" t="n"/>
      <c r="N298" s="84" t="n"/>
    </row>
    <row r="299" ht="15" customHeight="1" s="50">
      <c r="A299" s="86" t="n"/>
      <c r="B299" s="84" t="n"/>
      <c r="C299" s="84" t="n"/>
      <c r="D299" s="84" t="n"/>
      <c r="E299" s="85">
        <f>IF(D299="","",IFERROR(INDEX(Arquétipos!$B$5:$B$40,MATCH(D299,Arquétipos!$A$5:$A$40,0)),""))</f>
        <v/>
      </c>
      <c r="F299" s="84" t="n"/>
      <c r="G299" s="84" t="n"/>
      <c r="H299" s="86" t="n"/>
      <c r="I299" s="86" t="n"/>
      <c r="J299" s="86" t="n"/>
      <c r="K299" s="84" t="n"/>
      <c r="L299" s="84" t="n"/>
      <c r="M299" s="86" t="n"/>
      <c r="N299" s="84" t="n"/>
    </row>
    <row r="300" ht="15" customHeight="1" s="50">
      <c r="A300" s="86" t="n"/>
      <c r="B300" s="84" t="n"/>
      <c r="C300" s="84" t="n"/>
      <c r="D300" s="84" t="n"/>
      <c r="E300" s="85">
        <f>IF(D300="","",IFERROR(INDEX(Arquétipos!$B$5:$B$40,MATCH(D300,Arquétipos!$A$5:$A$40,0)),""))</f>
        <v/>
      </c>
      <c r="F300" s="84" t="n"/>
      <c r="G300" s="84" t="n"/>
      <c r="H300" s="86" t="n"/>
      <c r="I300" s="86" t="n"/>
      <c r="J300" s="86" t="n"/>
      <c r="K300" s="84" t="n"/>
      <c r="L300" s="84" t="n"/>
      <c r="M300" s="86" t="n"/>
      <c r="N300" s="84" t="n"/>
    </row>
    <row r="301" ht="15" customHeight="1" s="50">
      <c r="A301" s="86" t="n"/>
      <c r="B301" s="84" t="n"/>
      <c r="C301" s="84" t="n"/>
      <c r="D301" s="84" t="n"/>
      <c r="E301" s="85">
        <f>IF(D301="","",IFERROR(INDEX(Arquétipos!$B$5:$B$40,MATCH(D301,Arquétipos!$A$5:$A$40,0)),""))</f>
        <v/>
      </c>
      <c r="F301" s="84" t="n"/>
      <c r="G301" s="84" t="n"/>
      <c r="H301" s="86" t="n"/>
      <c r="I301" s="86" t="n"/>
      <c r="J301" s="86" t="n"/>
      <c r="K301" s="84" t="n"/>
      <c r="L301" s="84" t="n"/>
      <c r="M301" s="86" t="n"/>
      <c r="N301" s="84" t="n"/>
    </row>
    <row r="302" ht="15" customHeight="1" s="50">
      <c r="A302" s="86" t="n"/>
      <c r="B302" s="84" t="n"/>
      <c r="C302" s="84" t="n"/>
      <c r="D302" s="84" t="n"/>
      <c r="E302" s="85">
        <f>IF(D302="","",IFERROR(INDEX(Arquétipos!$B$5:$B$40,MATCH(D302,Arquétipos!$A$5:$A$40,0)),""))</f>
        <v/>
      </c>
      <c r="F302" s="84" t="n"/>
      <c r="G302" s="84" t="n"/>
      <c r="H302" s="86" t="n"/>
      <c r="I302" s="86" t="n"/>
      <c r="J302" s="86" t="n"/>
      <c r="K302" s="84" t="n"/>
      <c r="L302" s="84" t="n"/>
      <c r="M302" s="86" t="n"/>
      <c r="N302" s="84" t="n"/>
    </row>
    <row r="303" ht="15" customHeight="1" s="50">
      <c r="A303" s="86" t="n"/>
      <c r="B303" s="84" t="n"/>
      <c r="C303" s="84" t="n"/>
      <c r="D303" s="84" t="n"/>
      <c r="E303" s="85">
        <f>IF(D303="","",IFERROR(INDEX(Arquétipos!$B$5:$B$40,MATCH(D303,Arquétipos!$A$5:$A$40,0)),""))</f>
        <v/>
      </c>
      <c r="F303" s="84" t="n"/>
      <c r="G303" s="84" t="n"/>
      <c r="H303" s="86" t="n"/>
      <c r="I303" s="86" t="n"/>
      <c r="J303" s="86" t="n"/>
      <c r="K303" s="84" t="n"/>
      <c r="L303" s="84" t="n"/>
      <c r="M303" s="86" t="n"/>
      <c r="N303" s="84" t="n"/>
    </row>
    <row r="304" ht="15" customHeight="1" s="50">
      <c r="A304" s="86" t="n"/>
      <c r="B304" s="84" t="n"/>
      <c r="C304" s="84" t="n"/>
      <c r="D304" s="84" t="n"/>
      <c r="E304" s="85">
        <f>IF(D304="","",IFERROR(INDEX(Arquétipos!$B$5:$B$40,MATCH(D304,Arquétipos!$A$5:$A$40,0)),""))</f>
        <v/>
      </c>
      <c r="F304" s="84" t="n"/>
      <c r="G304" s="84" t="n"/>
      <c r="H304" s="86" t="n"/>
      <c r="I304" s="86" t="n"/>
      <c r="J304" s="86" t="n"/>
      <c r="K304" s="84" t="n"/>
      <c r="L304" s="84" t="n"/>
      <c r="M304" s="86" t="n"/>
      <c r="N304" s="84" t="n"/>
    </row>
    <row r="305" ht="15" customHeight="1" s="50">
      <c r="A305" s="86" t="n"/>
      <c r="B305" s="84" t="n"/>
      <c r="C305" s="84" t="n"/>
      <c r="D305" s="84" t="n"/>
      <c r="E305" s="85">
        <f>IF(D305="","",IFERROR(INDEX(Arquétipos!$B$5:$B$40,MATCH(D305,Arquétipos!$A$5:$A$40,0)),""))</f>
        <v/>
      </c>
      <c r="F305" s="84" t="n"/>
      <c r="G305" s="84" t="n"/>
      <c r="H305" s="86" t="n"/>
      <c r="I305" s="86" t="n"/>
      <c r="J305" s="86" t="n"/>
      <c r="K305" s="84" t="n"/>
      <c r="L305" s="84" t="n"/>
      <c r="M305" s="86" t="n"/>
      <c r="N305" s="84" t="n"/>
    </row>
    <row r="306" ht="15" customHeight="1" s="50">
      <c r="A306" s="86" t="n"/>
      <c r="B306" s="84" t="n"/>
      <c r="C306" s="84" t="n"/>
      <c r="D306" s="84" t="n"/>
      <c r="E306" s="85">
        <f>IF(D306="","",IFERROR(INDEX(Arquétipos!$B$5:$B$40,MATCH(D306,Arquétipos!$A$5:$A$40,0)),""))</f>
        <v/>
      </c>
      <c r="F306" s="84" t="n"/>
      <c r="G306" s="84" t="n"/>
      <c r="H306" s="86" t="n"/>
      <c r="I306" s="86" t="n"/>
      <c r="J306" s="86" t="n"/>
      <c r="K306" s="84" t="n"/>
      <c r="L306" s="84" t="n"/>
      <c r="M306" s="86" t="n"/>
      <c r="N306" s="84" t="n"/>
    </row>
    <row r="307" ht="15" customHeight="1" s="50">
      <c r="A307" s="86" t="n"/>
      <c r="B307" s="84" t="n"/>
      <c r="C307" s="84" t="n"/>
      <c r="D307" s="84" t="n"/>
      <c r="E307" s="85">
        <f>IF(D307="","",IFERROR(INDEX(Arquétipos!$B$5:$B$40,MATCH(D307,Arquétipos!$A$5:$A$40,0)),""))</f>
        <v/>
      </c>
      <c r="F307" s="84" t="n"/>
      <c r="G307" s="84" t="n"/>
      <c r="H307" s="86" t="n"/>
      <c r="I307" s="86" t="n"/>
      <c r="J307" s="86" t="n"/>
      <c r="K307" s="84" t="n"/>
      <c r="L307" s="84" t="n"/>
      <c r="M307" s="86" t="n"/>
      <c r="N307" s="84" t="n"/>
    </row>
    <row r="308" ht="15" customHeight="1" s="50">
      <c r="A308" s="86" t="n"/>
      <c r="B308" s="84" t="n"/>
      <c r="C308" s="84" t="n"/>
      <c r="D308" s="84" t="n"/>
      <c r="E308" s="85">
        <f>IF(D308="","",IFERROR(INDEX(Arquétipos!$B$5:$B$40,MATCH(D308,Arquétipos!$A$5:$A$40,0)),""))</f>
        <v/>
      </c>
      <c r="F308" s="84" t="n"/>
      <c r="G308" s="84" t="n"/>
      <c r="H308" s="86" t="n"/>
      <c r="I308" s="86" t="n"/>
      <c r="J308" s="86" t="n"/>
      <c r="K308" s="84" t="n"/>
      <c r="L308" s="84" t="n"/>
      <c r="M308" s="86" t="n"/>
      <c r="N308" s="84" t="n"/>
    </row>
    <row r="309" ht="15" customHeight="1" s="50">
      <c r="A309" s="86" t="n"/>
      <c r="B309" s="84" t="n"/>
      <c r="C309" s="84" t="n"/>
      <c r="D309" s="84" t="n"/>
      <c r="E309" s="85">
        <f>IF(D309="","",IFERROR(INDEX(Arquétipos!$B$5:$B$40,MATCH(D309,Arquétipos!$A$5:$A$40,0)),""))</f>
        <v/>
      </c>
      <c r="F309" s="84" t="n"/>
      <c r="G309" s="84" t="n"/>
      <c r="H309" s="86" t="n"/>
      <c r="I309" s="86" t="n"/>
      <c r="J309" s="86" t="n"/>
      <c r="K309" s="84" t="n"/>
      <c r="L309" s="84" t="n"/>
      <c r="M309" s="86" t="n"/>
      <c r="N309" s="84" t="n"/>
    </row>
    <row r="310" ht="15" customHeight="1" s="50">
      <c r="A310" s="86" t="n"/>
      <c r="B310" s="84" t="n"/>
      <c r="C310" s="84" t="n"/>
      <c r="D310" s="84" t="n"/>
      <c r="E310" s="85">
        <f>IF(D310="","",IFERROR(INDEX(Arquétipos!$B$5:$B$40,MATCH(D310,Arquétipos!$A$5:$A$40,0)),""))</f>
        <v/>
      </c>
      <c r="F310" s="84" t="n"/>
      <c r="G310" s="84" t="n"/>
      <c r="H310" s="86" t="n"/>
      <c r="I310" s="86" t="n"/>
      <c r="J310" s="86" t="n"/>
      <c r="K310" s="84" t="n"/>
      <c r="L310" s="84" t="n"/>
      <c r="M310" s="86" t="n"/>
      <c r="N310" s="84" t="n"/>
    </row>
    <row r="311" ht="15" customHeight="1" s="50">
      <c r="A311" s="86" t="n"/>
      <c r="B311" s="84" t="n"/>
      <c r="C311" s="84" t="n"/>
      <c r="D311" s="84" t="n"/>
      <c r="E311" s="85">
        <f>IF(D311="","",IFERROR(INDEX(Arquétipos!$B$5:$B$40,MATCH(D311,Arquétipos!$A$5:$A$40,0)),""))</f>
        <v/>
      </c>
      <c r="F311" s="84" t="n"/>
      <c r="G311" s="84" t="n"/>
      <c r="H311" s="86" t="n"/>
      <c r="I311" s="86" t="n"/>
      <c r="J311" s="86" t="n"/>
      <c r="K311" s="84" t="n"/>
      <c r="L311" s="84" t="n"/>
      <c r="M311" s="86" t="n"/>
      <c r="N311" s="84" t="n"/>
    </row>
    <row r="312" ht="15" customHeight="1" s="50">
      <c r="A312" s="86" t="n"/>
      <c r="B312" s="84" t="n"/>
      <c r="C312" s="84" t="n"/>
      <c r="D312" s="84" t="n"/>
      <c r="E312" s="85">
        <f>IF(D312="","",IFERROR(INDEX(Arquétipos!$B$5:$B$40,MATCH(D312,Arquétipos!$A$5:$A$40,0)),""))</f>
        <v/>
      </c>
      <c r="F312" s="84" t="n"/>
      <c r="G312" s="84" t="n"/>
      <c r="H312" s="86" t="n"/>
      <c r="I312" s="86" t="n"/>
      <c r="J312" s="86" t="n"/>
      <c r="K312" s="84" t="n"/>
      <c r="L312" s="84" t="n"/>
      <c r="M312" s="86" t="n"/>
      <c r="N312" s="84" t="n"/>
    </row>
    <row r="313" ht="15" customHeight="1" s="50">
      <c r="A313" s="86" t="n"/>
      <c r="B313" s="84" t="n"/>
      <c r="C313" s="84" t="n"/>
      <c r="D313" s="84" t="n"/>
      <c r="E313" s="85">
        <f>IF(D313="","",IFERROR(INDEX(Arquétipos!$B$5:$B$40,MATCH(D313,Arquétipos!$A$5:$A$40,0)),""))</f>
        <v/>
      </c>
      <c r="F313" s="84" t="n"/>
      <c r="G313" s="84" t="n"/>
      <c r="H313" s="86" t="n"/>
      <c r="I313" s="86" t="n"/>
      <c r="J313" s="86" t="n"/>
      <c r="K313" s="84" t="n"/>
      <c r="L313" s="84" t="n"/>
      <c r="M313" s="86" t="n"/>
      <c r="N313" s="84" t="n"/>
    </row>
    <row r="314" ht="15" customHeight="1" s="50">
      <c r="A314" s="86" t="n"/>
      <c r="B314" s="84" t="n"/>
      <c r="C314" s="84" t="n"/>
      <c r="D314" s="84" t="n"/>
      <c r="E314" s="85">
        <f>IF(D314="","",IFERROR(INDEX(Arquétipos!$B$5:$B$40,MATCH(D314,Arquétipos!$A$5:$A$40,0)),""))</f>
        <v/>
      </c>
      <c r="F314" s="84" t="n"/>
      <c r="G314" s="84" t="n"/>
      <c r="H314" s="86" t="n"/>
      <c r="I314" s="86" t="n"/>
      <c r="J314" s="86" t="n"/>
      <c r="K314" s="84" t="n"/>
      <c r="L314" s="84" t="n"/>
      <c r="M314" s="86" t="n"/>
      <c r="N314" s="84" t="n"/>
    </row>
    <row r="315" ht="15" customHeight="1" s="50">
      <c r="A315" s="86" t="n"/>
      <c r="B315" s="84" t="n"/>
      <c r="C315" s="84" t="n"/>
      <c r="D315" s="84" t="n"/>
      <c r="E315" s="85">
        <f>IF(D315="","",IFERROR(INDEX(Arquétipos!$B$5:$B$40,MATCH(D315,Arquétipos!$A$5:$A$40,0)),""))</f>
        <v/>
      </c>
      <c r="F315" s="84" t="n"/>
      <c r="G315" s="84" t="n"/>
      <c r="H315" s="86" t="n"/>
      <c r="I315" s="86" t="n"/>
      <c r="J315" s="86" t="n"/>
      <c r="K315" s="84" t="n"/>
      <c r="L315" s="84" t="n"/>
      <c r="M315" s="86" t="n"/>
      <c r="N315" s="84" t="n"/>
    </row>
    <row r="316" ht="15" customHeight="1" s="50">
      <c r="A316" s="86" t="n"/>
      <c r="B316" s="84" t="n"/>
      <c r="C316" s="84" t="n"/>
      <c r="D316" s="84" t="n"/>
      <c r="E316" s="85">
        <f>IF(D316="","",IFERROR(INDEX(Arquétipos!$B$5:$B$40,MATCH(D316,Arquétipos!$A$5:$A$40,0)),""))</f>
        <v/>
      </c>
      <c r="F316" s="84" t="n"/>
      <c r="G316" s="84" t="n"/>
      <c r="H316" s="86" t="n"/>
      <c r="I316" s="86" t="n"/>
      <c r="J316" s="86" t="n"/>
      <c r="K316" s="84" t="n"/>
      <c r="L316" s="84" t="n"/>
      <c r="M316" s="86" t="n"/>
      <c r="N316" s="84" t="n"/>
    </row>
    <row r="317" ht="15" customHeight="1" s="50">
      <c r="A317" s="86" t="n"/>
      <c r="B317" s="84" t="n"/>
      <c r="C317" s="84" t="n"/>
      <c r="D317" s="84" t="n"/>
      <c r="E317" s="85">
        <f>IF(D317="","",IFERROR(INDEX(Arquétipos!$B$5:$B$40,MATCH(D317,Arquétipos!$A$5:$A$40,0)),""))</f>
        <v/>
      </c>
      <c r="F317" s="84" t="n"/>
      <c r="G317" s="84" t="n"/>
      <c r="H317" s="86" t="n"/>
      <c r="I317" s="86" t="n"/>
      <c r="J317" s="86" t="n"/>
      <c r="K317" s="84" t="n"/>
      <c r="L317" s="84" t="n"/>
      <c r="M317" s="86" t="n"/>
      <c r="N317" s="84" t="n"/>
    </row>
    <row r="318" ht="15" customHeight="1" s="50">
      <c r="A318" s="86" t="n"/>
      <c r="B318" s="84" t="n"/>
      <c r="C318" s="84" t="n"/>
      <c r="D318" s="84" t="n"/>
      <c r="E318" s="85">
        <f>IF(D318="","",IFERROR(INDEX(Arquétipos!$B$5:$B$40,MATCH(D318,Arquétipos!$A$5:$A$40,0)),""))</f>
        <v/>
      </c>
      <c r="F318" s="84" t="n"/>
      <c r="G318" s="84" t="n"/>
      <c r="H318" s="86" t="n"/>
      <c r="I318" s="86" t="n"/>
      <c r="J318" s="86" t="n"/>
      <c r="K318" s="84" t="n"/>
      <c r="L318" s="84" t="n"/>
      <c r="M318" s="86" t="n"/>
      <c r="N318" s="84" t="n"/>
    </row>
    <row r="319" ht="15" customHeight="1" s="50">
      <c r="A319" s="86" t="n"/>
      <c r="B319" s="84" t="n"/>
      <c r="C319" s="84" t="n"/>
      <c r="D319" s="84" t="n"/>
      <c r="E319" s="85">
        <f>IF(D319="","",IFERROR(INDEX(Arquétipos!$B$5:$B$40,MATCH(D319,Arquétipos!$A$5:$A$40,0)),""))</f>
        <v/>
      </c>
      <c r="F319" s="84" t="n"/>
      <c r="G319" s="84" t="n"/>
      <c r="H319" s="86" t="n"/>
      <c r="I319" s="86" t="n"/>
      <c r="J319" s="86" t="n"/>
      <c r="K319" s="84" t="n"/>
      <c r="L319" s="84" t="n"/>
      <c r="M319" s="86" t="n"/>
      <c r="N319" s="84" t="n"/>
    </row>
    <row r="320" ht="15" customHeight="1" s="50">
      <c r="A320" s="86" t="n"/>
      <c r="B320" s="84" t="n"/>
      <c r="C320" s="84" t="n"/>
      <c r="D320" s="84" t="n"/>
      <c r="E320" s="85">
        <f>IF(D320="","",IFERROR(INDEX(Arquétipos!$B$5:$B$40,MATCH(D320,Arquétipos!$A$5:$A$40,0)),""))</f>
        <v/>
      </c>
      <c r="F320" s="84" t="n"/>
      <c r="G320" s="84" t="n"/>
      <c r="H320" s="86" t="n"/>
      <c r="I320" s="86" t="n"/>
      <c r="J320" s="86" t="n"/>
      <c r="K320" s="84" t="n"/>
      <c r="L320" s="84" t="n"/>
      <c r="M320" s="86" t="n"/>
      <c r="N320" s="84" t="n"/>
    </row>
    <row r="321" ht="15" customHeight="1" s="50">
      <c r="A321" s="86" t="n"/>
      <c r="B321" s="84" t="n"/>
      <c r="C321" s="84" t="n"/>
      <c r="D321" s="84" t="n"/>
      <c r="E321" s="85">
        <f>IF(D321="","",IFERROR(INDEX(Arquétipos!$B$5:$B$40,MATCH(D321,Arquétipos!$A$5:$A$40,0)),""))</f>
        <v/>
      </c>
      <c r="F321" s="84" t="n"/>
      <c r="G321" s="84" t="n"/>
      <c r="H321" s="86" t="n"/>
      <c r="I321" s="86" t="n"/>
      <c r="J321" s="86" t="n"/>
      <c r="K321" s="84" t="n"/>
      <c r="L321" s="84" t="n"/>
      <c r="M321" s="86" t="n"/>
      <c r="N321" s="84" t="n"/>
    </row>
    <row r="322" ht="15" customHeight="1" s="50">
      <c r="A322" s="86" t="n"/>
      <c r="B322" s="84" t="n"/>
      <c r="C322" s="84" t="n"/>
      <c r="D322" s="84" t="n"/>
      <c r="E322" s="85">
        <f>IF(D322="","",IFERROR(INDEX(Arquétipos!$B$5:$B$40,MATCH(D322,Arquétipos!$A$5:$A$40,0)),""))</f>
        <v/>
      </c>
      <c r="F322" s="84" t="n"/>
      <c r="G322" s="84" t="n"/>
      <c r="H322" s="86" t="n"/>
      <c r="I322" s="86" t="n"/>
      <c r="J322" s="86" t="n"/>
      <c r="K322" s="84" t="n"/>
      <c r="L322" s="84" t="n"/>
      <c r="M322" s="86" t="n"/>
      <c r="N322" s="84" t="n"/>
    </row>
    <row r="323" ht="15" customHeight="1" s="50">
      <c r="A323" s="86" t="n"/>
      <c r="B323" s="84" t="n"/>
      <c r="C323" s="84" t="n"/>
      <c r="D323" s="84" t="n"/>
      <c r="E323" s="85">
        <f>IF(D323="","",IFERROR(INDEX(Arquétipos!$B$5:$B$40,MATCH(D323,Arquétipos!$A$5:$A$40,0)),""))</f>
        <v/>
      </c>
      <c r="F323" s="84" t="n"/>
      <c r="G323" s="84" t="n"/>
      <c r="H323" s="86" t="n"/>
      <c r="I323" s="86" t="n"/>
      <c r="J323" s="86" t="n"/>
      <c r="K323" s="84" t="n"/>
      <c r="L323" s="84" t="n"/>
      <c r="M323" s="86" t="n"/>
      <c r="N323" s="84" t="n"/>
    </row>
    <row r="324" ht="15" customHeight="1" s="50">
      <c r="A324" s="86" t="n"/>
      <c r="B324" s="84" t="n"/>
      <c r="C324" s="84" t="n"/>
      <c r="D324" s="84" t="n"/>
      <c r="E324" s="85">
        <f>IF(D324="","",IFERROR(INDEX(Arquétipos!$B$5:$B$40,MATCH(D324,Arquétipos!$A$5:$A$40,0)),""))</f>
        <v/>
      </c>
      <c r="F324" s="84" t="n"/>
      <c r="G324" s="84" t="n"/>
      <c r="H324" s="86" t="n"/>
      <c r="I324" s="86" t="n"/>
      <c r="J324" s="86" t="n"/>
      <c r="K324" s="84" t="n"/>
      <c r="L324" s="84" t="n"/>
      <c r="M324" s="86" t="n"/>
      <c r="N324" s="84" t="n"/>
    </row>
    <row r="325" ht="15" customHeight="1" s="50">
      <c r="A325" s="86" t="n"/>
      <c r="B325" s="84" t="n"/>
      <c r="C325" s="84" t="n"/>
      <c r="D325" s="84" t="n"/>
      <c r="E325" s="85">
        <f>IF(D325="","",IFERROR(INDEX(Arquétipos!$B$5:$B$40,MATCH(D325,Arquétipos!$A$5:$A$40,0)),""))</f>
        <v/>
      </c>
      <c r="F325" s="84" t="n"/>
      <c r="G325" s="84" t="n"/>
      <c r="H325" s="86" t="n"/>
      <c r="I325" s="86" t="n"/>
      <c r="J325" s="86" t="n"/>
      <c r="K325" s="84" t="n"/>
      <c r="L325" s="84" t="n"/>
      <c r="M325" s="86" t="n"/>
      <c r="N325" s="84" t="n"/>
    </row>
    <row r="326" ht="15" customHeight="1" s="50">
      <c r="A326" s="86" t="n"/>
      <c r="B326" s="84" t="n"/>
      <c r="C326" s="84" t="n"/>
      <c r="D326" s="84" t="n"/>
      <c r="E326" s="85">
        <f>IF(D326="","",IFERROR(INDEX(Arquétipos!$B$5:$B$40,MATCH(D326,Arquétipos!$A$5:$A$40,0)),""))</f>
        <v/>
      </c>
      <c r="F326" s="84" t="n"/>
      <c r="G326" s="84" t="n"/>
      <c r="H326" s="86" t="n"/>
      <c r="I326" s="86" t="n"/>
      <c r="J326" s="86" t="n"/>
      <c r="K326" s="84" t="n"/>
      <c r="L326" s="84" t="n"/>
      <c r="M326" s="86" t="n"/>
      <c r="N326" s="84" t="n"/>
    </row>
    <row r="327" ht="15" customHeight="1" s="50">
      <c r="A327" s="86" t="n"/>
      <c r="B327" s="84" t="n"/>
      <c r="C327" s="84" t="n"/>
      <c r="D327" s="84" t="n"/>
      <c r="E327" s="85">
        <f>IF(D327="","",IFERROR(INDEX(Arquétipos!$B$5:$B$40,MATCH(D327,Arquétipos!$A$5:$A$40,0)),""))</f>
        <v/>
      </c>
      <c r="F327" s="84" t="n"/>
      <c r="G327" s="84" t="n"/>
      <c r="H327" s="86" t="n"/>
      <c r="I327" s="86" t="n"/>
      <c r="J327" s="86" t="n"/>
      <c r="K327" s="84" t="n"/>
      <c r="L327" s="84" t="n"/>
      <c r="M327" s="86" t="n"/>
      <c r="N327" s="84" t="n"/>
    </row>
    <row r="328" ht="15" customHeight="1" s="50">
      <c r="A328" s="86" t="n"/>
      <c r="B328" s="84" t="n"/>
      <c r="C328" s="84" t="n"/>
      <c r="D328" s="84" t="n"/>
      <c r="E328" s="85">
        <f>IF(D328="","",IFERROR(INDEX(Arquétipos!$B$5:$B$40,MATCH(D328,Arquétipos!$A$5:$A$40,0)),""))</f>
        <v/>
      </c>
      <c r="F328" s="84" t="n"/>
      <c r="G328" s="84" t="n"/>
      <c r="H328" s="86" t="n"/>
      <c r="I328" s="86" t="n"/>
      <c r="J328" s="86" t="n"/>
      <c r="K328" s="84" t="n"/>
      <c r="L328" s="84" t="n"/>
      <c r="M328" s="86" t="n"/>
      <c r="N328" s="84" t="n"/>
    </row>
    <row r="329" ht="15" customHeight="1" s="50">
      <c r="A329" s="86" t="n"/>
      <c r="B329" s="84" t="n"/>
      <c r="C329" s="84" t="n"/>
      <c r="D329" s="84" t="n"/>
      <c r="E329" s="85">
        <f>IF(D329="","",IFERROR(INDEX(Arquétipos!$B$5:$B$40,MATCH(D329,Arquétipos!$A$5:$A$40,0)),""))</f>
        <v/>
      </c>
      <c r="F329" s="84" t="n"/>
      <c r="G329" s="84" t="n"/>
      <c r="H329" s="86" t="n"/>
      <c r="I329" s="86" t="n"/>
      <c r="J329" s="86" t="n"/>
      <c r="K329" s="84" t="n"/>
      <c r="L329" s="84" t="n"/>
      <c r="M329" s="86" t="n"/>
      <c r="N329" s="84" t="n"/>
    </row>
    <row r="330" ht="15" customHeight="1" s="50">
      <c r="A330" s="86" t="n"/>
      <c r="B330" s="84" t="n"/>
      <c r="C330" s="84" t="n"/>
      <c r="D330" s="84" t="n"/>
      <c r="E330" s="85">
        <f>IF(D330="","",IFERROR(INDEX(Arquétipos!$B$5:$B$40,MATCH(D330,Arquétipos!$A$5:$A$40,0)),""))</f>
        <v/>
      </c>
      <c r="F330" s="84" t="n"/>
      <c r="G330" s="84" t="n"/>
      <c r="H330" s="86" t="n"/>
      <c r="I330" s="86" t="n"/>
      <c r="J330" s="86" t="n"/>
      <c r="K330" s="84" t="n"/>
      <c r="L330" s="84" t="n"/>
      <c r="M330" s="86" t="n"/>
      <c r="N330" s="84" t="n"/>
    </row>
    <row r="331" ht="15" customHeight="1" s="50">
      <c r="A331" s="86" t="n"/>
      <c r="B331" s="84" t="n"/>
      <c r="C331" s="84" t="n"/>
      <c r="D331" s="84" t="n"/>
      <c r="E331" s="85">
        <f>IF(D331="","",IFERROR(INDEX(Arquétipos!$B$5:$B$40,MATCH(D331,Arquétipos!$A$5:$A$40,0)),""))</f>
        <v/>
      </c>
      <c r="F331" s="84" t="n"/>
      <c r="G331" s="84" t="n"/>
      <c r="H331" s="86" t="n"/>
      <c r="I331" s="86" t="n"/>
      <c r="J331" s="86" t="n"/>
      <c r="K331" s="84" t="n"/>
      <c r="L331" s="84" t="n"/>
      <c r="M331" s="86" t="n"/>
      <c r="N331" s="84" t="n"/>
    </row>
    <row r="332" ht="15" customHeight="1" s="50">
      <c r="A332" s="86" t="n"/>
      <c r="B332" s="84" t="n"/>
      <c r="C332" s="84" t="n"/>
      <c r="D332" s="84" t="n"/>
      <c r="E332" s="85">
        <f>IF(D332="","",IFERROR(INDEX(Arquétipos!$B$5:$B$40,MATCH(D332,Arquétipos!$A$5:$A$40,0)),""))</f>
        <v/>
      </c>
      <c r="F332" s="84" t="n"/>
      <c r="G332" s="84" t="n"/>
      <c r="H332" s="86" t="n"/>
      <c r="I332" s="86" t="n"/>
      <c r="J332" s="86" t="n"/>
      <c r="K332" s="84" t="n"/>
      <c r="L332" s="84" t="n"/>
      <c r="M332" s="86" t="n"/>
      <c r="N332" s="84" t="n"/>
    </row>
    <row r="333" ht="15" customHeight="1" s="50">
      <c r="A333" s="86" t="n"/>
      <c r="B333" s="84" t="n"/>
      <c r="C333" s="84" t="n"/>
      <c r="D333" s="84" t="n"/>
      <c r="E333" s="85">
        <f>IF(D333="","",IFERROR(INDEX(Arquétipos!$B$5:$B$40,MATCH(D333,Arquétipos!$A$5:$A$40,0)),""))</f>
        <v/>
      </c>
      <c r="F333" s="84" t="n"/>
      <c r="G333" s="84" t="n"/>
      <c r="H333" s="86" t="n"/>
      <c r="I333" s="86" t="n"/>
      <c r="J333" s="86" t="n"/>
      <c r="K333" s="84" t="n"/>
      <c r="L333" s="84" t="n"/>
      <c r="M333" s="86" t="n"/>
      <c r="N333" s="84" t="n"/>
    </row>
    <row r="334" ht="15" customHeight="1" s="50">
      <c r="A334" s="86" t="n"/>
      <c r="B334" s="84" t="n"/>
      <c r="C334" s="84" t="n"/>
      <c r="D334" s="84" t="n"/>
      <c r="E334" s="85">
        <f>IF(D334="","",IFERROR(INDEX(Arquétipos!$B$5:$B$40,MATCH(D334,Arquétipos!$A$5:$A$40,0)),""))</f>
        <v/>
      </c>
      <c r="F334" s="84" t="n"/>
      <c r="G334" s="84" t="n"/>
      <c r="H334" s="86" t="n"/>
      <c r="I334" s="86" t="n"/>
      <c r="J334" s="86" t="n"/>
      <c r="K334" s="84" t="n"/>
      <c r="L334" s="84" t="n"/>
      <c r="M334" s="86" t="n"/>
      <c r="N334" s="84" t="n"/>
    </row>
    <row r="335" ht="15" customHeight="1" s="50">
      <c r="A335" s="86" t="n"/>
      <c r="B335" s="84" t="n"/>
      <c r="C335" s="84" t="n"/>
      <c r="D335" s="84" t="n"/>
      <c r="E335" s="85">
        <f>IF(D335="","",IFERROR(INDEX(Arquétipos!$B$5:$B$40,MATCH(D335,Arquétipos!$A$5:$A$40,0)),""))</f>
        <v/>
      </c>
      <c r="F335" s="84" t="n"/>
      <c r="G335" s="84" t="n"/>
      <c r="H335" s="86" t="n"/>
      <c r="I335" s="86" t="n"/>
      <c r="J335" s="86" t="n"/>
      <c r="K335" s="84" t="n"/>
      <c r="L335" s="84" t="n"/>
      <c r="M335" s="86" t="n"/>
      <c r="N335" s="84" t="n"/>
    </row>
    <row r="336" ht="15" customHeight="1" s="50">
      <c r="A336" s="86" t="n"/>
      <c r="B336" s="84" t="n"/>
      <c r="C336" s="84" t="n"/>
      <c r="D336" s="84" t="n"/>
      <c r="E336" s="85">
        <f>IF(D336="","",IFERROR(INDEX(Arquétipos!$B$5:$B$40,MATCH(D336,Arquétipos!$A$5:$A$40,0)),""))</f>
        <v/>
      </c>
      <c r="F336" s="84" t="n"/>
      <c r="G336" s="84" t="n"/>
      <c r="H336" s="86" t="n"/>
      <c r="I336" s="86" t="n"/>
      <c r="J336" s="86" t="n"/>
      <c r="K336" s="84" t="n"/>
      <c r="L336" s="84" t="n"/>
      <c r="M336" s="86" t="n"/>
      <c r="N336" s="84" t="n"/>
    </row>
    <row r="337" ht="15" customHeight="1" s="50">
      <c r="A337" s="86" t="n"/>
      <c r="B337" s="84" t="n"/>
      <c r="C337" s="84" t="n"/>
      <c r="D337" s="84" t="n"/>
      <c r="E337" s="85">
        <f>IF(D337="","",IFERROR(INDEX(Arquétipos!$B$5:$B$40,MATCH(D337,Arquétipos!$A$5:$A$40,0)),""))</f>
        <v/>
      </c>
      <c r="F337" s="84" t="n"/>
      <c r="G337" s="84" t="n"/>
      <c r="H337" s="86" t="n"/>
      <c r="I337" s="86" t="n"/>
      <c r="J337" s="86" t="n"/>
      <c r="K337" s="84" t="n"/>
      <c r="L337" s="84" t="n"/>
      <c r="M337" s="86" t="n"/>
      <c r="N337" s="84" t="n"/>
    </row>
    <row r="338" ht="15" customHeight="1" s="50">
      <c r="A338" s="86" t="n"/>
      <c r="B338" s="84" t="n"/>
      <c r="C338" s="84" t="n"/>
      <c r="D338" s="84" t="n"/>
      <c r="E338" s="85">
        <f>IF(D338="","",IFERROR(INDEX(Arquétipos!$B$5:$B$40,MATCH(D338,Arquétipos!$A$5:$A$40,0)),""))</f>
        <v/>
      </c>
      <c r="F338" s="84" t="n"/>
      <c r="G338" s="84" t="n"/>
      <c r="H338" s="86" t="n"/>
      <c r="I338" s="86" t="n"/>
      <c r="J338" s="86" t="n"/>
      <c r="K338" s="84" t="n"/>
      <c r="L338" s="84" t="n"/>
      <c r="M338" s="86" t="n"/>
      <c r="N338" s="84" t="n"/>
    </row>
    <row r="339" ht="15" customHeight="1" s="50">
      <c r="A339" s="86" t="n"/>
      <c r="B339" s="84" t="n"/>
      <c r="C339" s="84" t="n"/>
      <c r="D339" s="84" t="n"/>
      <c r="E339" s="85">
        <f>IF(D339="","",IFERROR(INDEX(Arquétipos!$B$5:$B$40,MATCH(D339,Arquétipos!$A$5:$A$40,0)),""))</f>
        <v/>
      </c>
      <c r="F339" s="84" t="n"/>
      <c r="G339" s="84" t="n"/>
      <c r="H339" s="86" t="n"/>
      <c r="I339" s="86" t="n"/>
      <c r="J339" s="86" t="n"/>
      <c r="K339" s="84" t="n"/>
      <c r="L339" s="84" t="n"/>
      <c r="M339" s="86" t="n"/>
      <c r="N339" s="84" t="n"/>
    </row>
    <row r="340" ht="15" customHeight="1" s="50">
      <c r="A340" s="86" t="n"/>
      <c r="B340" s="84" t="n"/>
      <c r="C340" s="84" t="n"/>
      <c r="D340" s="84" t="n"/>
      <c r="E340" s="85">
        <f>IF(D340="","",IFERROR(INDEX(Arquétipos!$B$5:$B$40,MATCH(D340,Arquétipos!$A$5:$A$40,0)),""))</f>
        <v/>
      </c>
      <c r="F340" s="84" t="n"/>
      <c r="G340" s="84" t="n"/>
      <c r="H340" s="86" t="n"/>
      <c r="I340" s="86" t="n"/>
      <c r="J340" s="86" t="n"/>
      <c r="K340" s="84" t="n"/>
      <c r="L340" s="84" t="n"/>
      <c r="M340" s="86" t="n"/>
      <c r="N340" s="84" t="n"/>
    </row>
    <row r="341" ht="15" customHeight="1" s="50">
      <c r="A341" s="86" t="n"/>
      <c r="B341" s="84" t="n"/>
      <c r="C341" s="84" t="n"/>
      <c r="D341" s="84" t="n"/>
      <c r="E341" s="85">
        <f>IF(D341="","",IFERROR(INDEX(Arquétipos!$B$5:$B$40,MATCH(D341,Arquétipos!$A$5:$A$40,0)),""))</f>
        <v/>
      </c>
      <c r="F341" s="84" t="n"/>
      <c r="G341" s="84" t="n"/>
      <c r="H341" s="86" t="n"/>
      <c r="I341" s="86" t="n"/>
      <c r="J341" s="86" t="n"/>
      <c r="K341" s="84" t="n"/>
      <c r="L341" s="84" t="n"/>
      <c r="M341" s="86" t="n"/>
      <c r="N341" s="84" t="n"/>
    </row>
    <row r="342" ht="15" customHeight="1" s="50">
      <c r="A342" s="86" t="n"/>
      <c r="B342" s="84" t="n"/>
      <c r="C342" s="84" t="n"/>
      <c r="D342" s="84" t="n"/>
      <c r="E342" s="85">
        <f>IF(D342="","",IFERROR(INDEX(Arquétipos!$B$5:$B$40,MATCH(D342,Arquétipos!$A$5:$A$40,0)),""))</f>
        <v/>
      </c>
      <c r="F342" s="84" t="n"/>
      <c r="G342" s="84" t="n"/>
      <c r="H342" s="86" t="n"/>
      <c r="I342" s="86" t="n"/>
      <c r="J342" s="86" t="n"/>
      <c r="K342" s="84" t="n"/>
      <c r="L342" s="84" t="n"/>
      <c r="M342" s="86" t="n"/>
      <c r="N342" s="84" t="n"/>
    </row>
    <row r="343" ht="15" customHeight="1" s="50">
      <c r="A343" s="86" t="n"/>
      <c r="B343" s="84" t="n"/>
      <c r="C343" s="84" t="n"/>
      <c r="D343" s="84" t="n"/>
      <c r="E343" s="85">
        <f>IF(D343="","",IFERROR(INDEX(Arquétipos!$B$5:$B$40,MATCH(D343,Arquétipos!$A$5:$A$40,0)),""))</f>
        <v/>
      </c>
      <c r="F343" s="84" t="n"/>
      <c r="G343" s="84" t="n"/>
      <c r="H343" s="86" t="n"/>
      <c r="I343" s="86" t="n"/>
      <c r="J343" s="86" t="n"/>
      <c r="K343" s="84" t="n"/>
      <c r="L343" s="84" t="n"/>
      <c r="M343" s="86" t="n"/>
      <c r="N343" s="84" t="n"/>
    </row>
    <row r="344" ht="15" customHeight="1" s="50">
      <c r="A344" s="86" t="n"/>
      <c r="B344" s="84" t="n"/>
      <c r="C344" s="84" t="n"/>
      <c r="D344" s="84" t="n"/>
      <c r="E344" s="85">
        <f>IF(D344="","",IFERROR(INDEX(Arquétipos!$B$5:$B$40,MATCH(D344,Arquétipos!$A$5:$A$40,0)),""))</f>
        <v/>
      </c>
      <c r="F344" s="84" t="n"/>
      <c r="G344" s="84" t="n"/>
      <c r="H344" s="86" t="n"/>
      <c r="I344" s="86" t="n"/>
      <c r="J344" s="86" t="n"/>
      <c r="K344" s="84" t="n"/>
      <c r="L344" s="84" t="n"/>
      <c r="M344" s="86" t="n"/>
      <c r="N344" s="84" t="n"/>
    </row>
    <row r="345" ht="15" customHeight="1" s="50">
      <c r="A345" s="86" t="n"/>
      <c r="B345" s="84" t="n"/>
      <c r="C345" s="84" t="n"/>
      <c r="D345" s="84" t="n"/>
      <c r="E345" s="85">
        <f>IF(D345="","",IFERROR(INDEX(Arquétipos!$B$5:$B$40,MATCH(D345,Arquétipos!$A$5:$A$40,0)),""))</f>
        <v/>
      </c>
      <c r="F345" s="84" t="n"/>
      <c r="G345" s="84" t="n"/>
      <c r="H345" s="86" t="n"/>
      <c r="I345" s="86" t="n"/>
      <c r="J345" s="86" t="n"/>
      <c r="K345" s="84" t="n"/>
      <c r="L345" s="84" t="n"/>
      <c r="M345" s="86" t="n"/>
      <c r="N345" s="84" t="n"/>
    </row>
    <row r="346" ht="15" customHeight="1" s="50">
      <c r="A346" s="86" t="n"/>
      <c r="B346" s="84" t="n"/>
      <c r="C346" s="84" t="n"/>
      <c r="D346" s="84" t="n"/>
      <c r="E346" s="85">
        <f>IF(D346="","",IFERROR(INDEX(Arquétipos!$B$5:$B$40,MATCH(D346,Arquétipos!$A$5:$A$40,0)),""))</f>
        <v/>
      </c>
      <c r="F346" s="84" t="n"/>
      <c r="G346" s="84" t="n"/>
      <c r="H346" s="86" t="n"/>
      <c r="I346" s="86" t="n"/>
      <c r="J346" s="86" t="n"/>
      <c r="K346" s="84" t="n"/>
      <c r="L346" s="84" t="n"/>
      <c r="M346" s="86" t="n"/>
      <c r="N346" s="84" t="n"/>
    </row>
    <row r="347" ht="15" customHeight="1" s="50">
      <c r="A347" s="86" t="n"/>
      <c r="B347" s="84" t="n"/>
      <c r="C347" s="84" t="n"/>
      <c r="D347" s="84" t="n"/>
      <c r="E347" s="85">
        <f>IF(D347="","",IFERROR(INDEX(Arquétipos!$B$5:$B$40,MATCH(D347,Arquétipos!$A$5:$A$40,0)),""))</f>
        <v/>
      </c>
      <c r="F347" s="84" t="n"/>
      <c r="G347" s="84" t="n"/>
      <c r="H347" s="86" t="n"/>
      <c r="I347" s="86" t="n"/>
      <c r="J347" s="86" t="n"/>
      <c r="K347" s="84" t="n"/>
      <c r="L347" s="84" t="n"/>
      <c r="M347" s="86" t="n"/>
      <c r="N347" s="84" t="n"/>
    </row>
    <row r="348" ht="15" customHeight="1" s="50">
      <c r="A348" s="86" t="n"/>
      <c r="B348" s="84" t="n"/>
      <c r="C348" s="84" t="n"/>
      <c r="D348" s="84" t="n"/>
      <c r="E348" s="85">
        <f>IF(D348="","",IFERROR(INDEX(Arquétipos!$B$5:$B$40,MATCH(D348,Arquétipos!$A$5:$A$40,0)),""))</f>
        <v/>
      </c>
      <c r="F348" s="84" t="n"/>
      <c r="G348" s="84" t="n"/>
      <c r="H348" s="86" t="n"/>
      <c r="I348" s="86" t="n"/>
      <c r="J348" s="86" t="n"/>
      <c r="K348" s="84" t="n"/>
      <c r="L348" s="84" t="n"/>
      <c r="M348" s="86" t="n"/>
      <c r="N348" s="84" t="n"/>
    </row>
    <row r="349" ht="15" customHeight="1" s="50">
      <c r="A349" s="86" t="n"/>
      <c r="B349" s="84" t="n"/>
      <c r="C349" s="84" t="n"/>
      <c r="D349" s="84" t="n"/>
      <c r="E349" s="85">
        <f>IF(D349="","",IFERROR(INDEX(Arquétipos!$B$5:$B$40,MATCH(D349,Arquétipos!$A$5:$A$40,0)),""))</f>
        <v/>
      </c>
      <c r="F349" s="84" t="n"/>
      <c r="G349" s="84" t="n"/>
      <c r="H349" s="86" t="n"/>
      <c r="I349" s="86" t="n"/>
      <c r="J349" s="86" t="n"/>
      <c r="K349" s="84" t="n"/>
      <c r="L349" s="84" t="n"/>
      <c r="M349" s="86" t="n"/>
      <c r="N349" s="84" t="n"/>
    </row>
    <row r="350" ht="15" customHeight="1" s="50">
      <c r="A350" s="86" t="n"/>
      <c r="B350" s="84" t="n"/>
      <c r="C350" s="84" t="n"/>
      <c r="D350" s="84" t="n"/>
      <c r="E350" s="85">
        <f>IF(D350="","",IFERROR(INDEX(Arquétipos!$B$5:$B$40,MATCH(D350,Arquétipos!$A$5:$A$40,0)),""))</f>
        <v/>
      </c>
      <c r="F350" s="84" t="n"/>
      <c r="G350" s="84" t="n"/>
      <c r="H350" s="86" t="n"/>
      <c r="I350" s="86" t="n"/>
      <c r="J350" s="86" t="n"/>
      <c r="K350" s="84" t="n"/>
      <c r="L350" s="84" t="n"/>
      <c r="M350" s="86" t="n"/>
      <c r="N350" s="84" t="n"/>
    </row>
    <row r="351" ht="15" customHeight="1" s="50">
      <c r="A351" s="86" t="n"/>
      <c r="B351" s="84" t="n"/>
      <c r="C351" s="84" t="n"/>
      <c r="D351" s="84" t="n"/>
      <c r="E351" s="85">
        <f>IF(D351="","",IFERROR(INDEX(Arquétipos!$B$5:$B$40,MATCH(D351,Arquétipos!$A$5:$A$40,0)),""))</f>
        <v/>
      </c>
      <c r="F351" s="84" t="n"/>
      <c r="G351" s="84" t="n"/>
      <c r="H351" s="86" t="n"/>
      <c r="I351" s="86" t="n"/>
      <c r="J351" s="86" t="n"/>
      <c r="K351" s="84" t="n"/>
      <c r="L351" s="84" t="n"/>
      <c r="M351" s="86" t="n"/>
      <c r="N351" s="84" t="n"/>
    </row>
    <row r="352" ht="15" customHeight="1" s="50">
      <c r="A352" s="86" t="n"/>
      <c r="B352" s="84" t="n"/>
      <c r="C352" s="84" t="n"/>
      <c r="D352" s="84" t="n"/>
      <c r="E352" s="85">
        <f>IF(D352="","",IFERROR(INDEX(Arquétipos!$B$5:$B$40,MATCH(D352,Arquétipos!$A$5:$A$40,0)),""))</f>
        <v/>
      </c>
      <c r="F352" s="84" t="n"/>
      <c r="G352" s="84" t="n"/>
      <c r="H352" s="86" t="n"/>
      <c r="I352" s="86" t="n"/>
      <c r="J352" s="86" t="n"/>
      <c r="K352" s="84" t="n"/>
      <c r="L352" s="84" t="n"/>
      <c r="M352" s="86" t="n"/>
      <c r="N352" s="84" t="n"/>
    </row>
    <row r="353" ht="15" customHeight="1" s="50">
      <c r="A353" s="86" t="n"/>
      <c r="B353" s="84" t="n"/>
      <c r="C353" s="84" t="n"/>
      <c r="D353" s="84" t="n"/>
      <c r="E353" s="85">
        <f>IF(D353="","",IFERROR(INDEX(Arquétipos!$B$5:$B$40,MATCH(D353,Arquétipos!$A$5:$A$40,0)),""))</f>
        <v/>
      </c>
      <c r="F353" s="84" t="n"/>
      <c r="G353" s="84" t="n"/>
      <c r="H353" s="86" t="n"/>
      <c r="I353" s="86" t="n"/>
      <c r="J353" s="86" t="n"/>
      <c r="K353" s="84" t="n"/>
      <c r="L353" s="84" t="n"/>
      <c r="M353" s="86" t="n"/>
      <c r="N353" s="84" t="n"/>
    </row>
    <row r="354" ht="15" customHeight="1" s="50">
      <c r="A354" s="86" t="n"/>
      <c r="B354" s="84" t="n"/>
      <c r="C354" s="84" t="n"/>
      <c r="D354" s="84" t="n"/>
      <c r="E354" s="85">
        <f>IF(D354="","",IFERROR(INDEX(Arquétipos!$B$5:$B$40,MATCH(D354,Arquétipos!$A$5:$A$40,0)),""))</f>
        <v/>
      </c>
      <c r="F354" s="84" t="n"/>
      <c r="G354" s="84" t="n"/>
      <c r="H354" s="86" t="n"/>
      <c r="I354" s="86" t="n"/>
      <c r="J354" s="86" t="n"/>
      <c r="K354" s="84" t="n"/>
      <c r="L354" s="84" t="n"/>
      <c r="M354" s="86" t="n"/>
      <c r="N354" s="84" t="n"/>
    </row>
    <row r="355" ht="15" customHeight="1" s="50">
      <c r="A355" s="86" t="n"/>
      <c r="B355" s="84" t="n"/>
      <c r="C355" s="84" t="n"/>
      <c r="D355" s="84" t="n"/>
      <c r="E355" s="85">
        <f>IF(D355="","",IFERROR(INDEX(Arquétipos!$B$5:$B$40,MATCH(D355,Arquétipos!$A$5:$A$40,0)),""))</f>
        <v/>
      </c>
      <c r="F355" s="84" t="n"/>
      <c r="G355" s="84" t="n"/>
      <c r="H355" s="86" t="n"/>
      <c r="I355" s="86" t="n"/>
      <c r="J355" s="86" t="n"/>
      <c r="K355" s="84" t="n"/>
      <c r="L355" s="84" t="n"/>
      <c r="M355" s="86" t="n"/>
      <c r="N355" s="84" t="n"/>
    </row>
    <row r="356" ht="15" customHeight="1" s="50">
      <c r="A356" s="86" t="n"/>
      <c r="B356" s="84" t="n"/>
      <c r="C356" s="84" t="n"/>
      <c r="D356" s="84" t="n"/>
      <c r="E356" s="85">
        <f>IF(D356="","",IFERROR(INDEX(Arquétipos!$B$5:$B$40,MATCH(D356,Arquétipos!$A$5:$A$40,0)),""))</f>
        <v/>
      </c>
      <c r="F356" s="84" t="n"/>
      <c r="G356" s="84" t="n"/>
      <c r="H356" s="86" t="n"/>
      <c r="I356" s="86" t="n"/>
      <c r="J356" s="86" t="n"/>
      <c r="K356" s="84" t="n"/>
      <c r="L356" s="84" t="n"/>
      <c r="M356" s="86" t="n"/>
      <c r="N356" s="84" t="n"/>
    </row>
    <row r="357" ht="15" customHeight="1" s="50">
      <c r="A357" s="86" t="n"/>
      <c r="B357" s="84" t="n"/>
      <c r="C357" s="84" t="n"/>
      <c r="D357" s="84" t="n"/>
      <c r="E357" s="85">
        <f>IF(D357="","",IFERROR(INDEX(Arquétipos!$B$5:$B$40,MATCH(D357,Arquétipos!$A$5:$A$40,0)),""))</f>
        <v/>
      </c>
      <c r="F357" s="84" t="n"/>
      <c r="G357" s="84" t="n"/>
      <c r="H357" s="86" t="n"/>
      <c r="I357" s="86" t="n"/>
      <c r="J357" s="86" t="n"/>
      <c r="K357" s="84" t="n"/>
      <c r="L357" s="84" t="n"/>
      <c r="M357" s="86" t="n"/>
      <c r="N357" s="84" t="n"/>
    </row>
    <row r="358" ht="15" customHeight="1" s="50">
      <c r="A358" s="86" t="n"/>
      <c r="B358" s="84" t="n"/>
      <c r="C358" s="84" t="n"/>
      <c r="D358" s="84" t="n"/>
      <c r="E358" s="85">
        <f>IF(D358="","",IFERROR(INDEX(Arquétipos!$B$5:$B$40,MATCH(D358,Arquétipos!$A$5:$A$40,0)),""))</f>
        <v/>
      </c>
      <c r="F358" s="84" t="n"/>
      <c r="G358" s="84" t="n"/>
      <c r="H358" s="86" t="n"/>
      <c r="I358" s="86" t="n"/>
      <c r="J358" s="86" t="n"/>
      <c r="K358" s="84" t="n"/>
      <c r="L358" s="84" t="n"/>
      <c r="M358" s="86" t="n"/>
      <c r="N358" s="84" t="n"/>
    </row>
    <row r="359" ht="15" customHeight="1" s="50">
      <c r="A359" s="86" t="n"/>
      <c r="B359" s="84" t="n"/>
      <c r="C359" s="84" t="n"/>
      <c r="D359" s="84" t="n"/>
      <c r="E359" s="85">
        <f>IF(D359="","",IFERROR(INDEX(Arquétipos!$B$5:$B$40,MATCH(D359,Arquétipos!$A$5:$A$40,0)),""))</f>
        <v/>
      </c>
      <c r="F359" s="84" t="n"/>
      <c r="G359" s="84" t="n"/>
      <c r="H359" s="86" t="n"/>
      <c r="I359" s="86" t="n"/>
      <c r="J359" s="86" t="n"/>
      <c r="K359" s="84" t="n"/>
      <c r="L359" s="84" t="n"/>
      <c r="M359" s="86" t="n"/>
      <c r="N359" s="84" t="n"/>
    </row>
    <row r="360" ht="15" customHeight="1" s="50">
      <c r="A360" s="86" t="n"/>
      <c r="B360" s="84" t="n"/>
      <c r="C360" s="84" t="n"/>
      <c r="D360" s="84" t="n"/>
      <c r="E360" s="85">
        <f>IF(D360="","",IFERROR(INDEX(Arquétipos!$B$5:$B$40,MATCH(D360,Arquétipos!$A$5:$A$40,0)),""))</f>
        <v/>
      </c>
      <c r="F360" s="84" t="n"/>
      <c r="G360" s="84" t="n"/>
      <c r="H360" s="86" t="n"/>
      <c r="I360" s="86" t="n"/>
      <c r="J360" s="86" t="n"/>
      <c r="K360" s="84" t="n"/>
      <c r="L360" s="84" t="n"/>
      <c r="M360" s="86" t="n"/>
      <c r="N360" s="84" t="n"/>
    </row>
    <row r="361" ht="15" customHeight="1" s="50">
      <c r="A361" s="86" t="n"/>
      <c r="B361" s="84" t="n"/>
      <c r="C361" s="84" t="n"/>
      <c r="D361" s="84" t="n"/>
      <c r="E361" s="85">
        <f>IF(D361="","",IFERROR(INDEX(Arquétipos!$B$5:$B$40,MATCH(D361,Arquétipos!$A$5:$A$40,0)),""))</f>
        <v/>
      </c>
      <c r="F361" s="84" t="n"/>
      <c r="G361" s="84" t="n"/>
      <c r="H361" s="86" t="n"/>
      <c r="I361" s="86" t="n"/>
      <c r="J361" s="86" t="n"/>
      <c r="K361" s="84" t="n"/>
      <c r="L361" s="84" t="n"/>
      <c r="M361" s="86" t="n"/>
      <c r="N361" s="84" t="n"/>
    </row>
    <row r="362" ht="15" customHeight="1" s="50">
      <c r="A362" s="86" t="n"/>
      <c r="B362" s="84" t="n"/>
      <c r="C362" s="84" t="n"/>
      <c r="D362" s="84" t="n"/>
      <c r="E362" s="85">
        <f>IF(D362="","",IFERROR(INDEX(Arquétipos!$B$5:$B$40,MATCH(D362,Arquétipos!$A$5:$A$40,0)),""))</f>
        <v/>
      </c>
      <c r="F362" s="84" t="n"/>
      <c r="G362" s="84" t="n"/>
      <c r="H362" s="86" t="n"/>
      <c r="I362" s="86" t="n"/>
      <c r="J362" s="86" t="n"/>
      <c r="K362" s="84" t="n"/>
      <c r="L362" s="84" t="n"/>
      <c r="M362" s="86" t="n"/>
      <c r="N362" s="84" t="n"/>
    </row>
    <row r="363" ht="15" customHeight="1" s="50">
      <c r="A363" s="86" t="n"/>
      <c r="B363" s="84" t="n"/>
      <c r="C363" s="84" t="n"/>
      <c r="D363" s="84" t="n"/>
      <c r="E363" s="85">
        <f>IF(D363="","",IFERROR(INDEX(Arquétipos!$B$5:$B$40,MATCH(D363,Arquétipos!$A$5:$A$40,0)),""))</f>
        <v/>
      </c>
      <c r="F363" s="84" t="n"/>
      <c r="G363" s="84" t="n"/>
      <c r="H363" s="86" t="n"/>
      <c r="I363" s="86" t="n"/>
      <c r="J363" s="86" t="n"/>
      <c r="K363" s="84" t="n"/>
      <c r="L363" s="84" t="n"/>
      <c r="M363" s="86" t="n"/>
      <c r="N363" s="84" t="n"/>
    </row>
    <row r="364" ht="15" customHeight="1" s="50">
      <c r="A364" s="86" t="n"/>
      <c r="B364" s="84" t="n"/>
      <c r="C364" s="84" t="n"/>
      <c r="D364" s="84" t="n"/>
      <c r="E364" s="85">
        <f>IF(D364="","",IFERROR(INDEX(Arquétipos!$B$5:$B$40,MATCH(D364,Arquétipos!$A$5:$A$40,0)),""))</f>
        <v/>
      </c>
      <c r="F364" s="84" t="n"/>
      <c r="G364" s="84" t="n"/>
      <c r="H364" s="86" t="n"/>
      <c r="I364" s="86" t="n"/>
      <c r="J364" s="86" t="n"/>
      <c r="K364" s="84" t="n"/>
      <c r="L364" s="84" t="n"/>
      <c r="M364" s="86" t="n"/>
      <c r="N364" s="84" t="n"/>
    </row>
    <row r="365" ht="15" customHeight="1" s="50">
      <c r="A365" s="86" t="n"/>
      <c r="B365" s="84" t="n"/>
      <c r="C365" s="84" t="n"/>
      <c r="D365" s="84" t="n"/>
      <c r="E365" s="85">
        <f>IF(D365="","",IFERROR(INDEX(Arquétipos!$B$5:$B$40,MATCH(D365,Arquétipos!$A$5:$A$40,0)),""))</f>
        <v/>
      </c>
      <c r="F365" s="84" t="n"/>
      <c r="G365" s="84" t="n"/>
      <c r="H365" s="86" t="n"/>
      <c r="I365" s="86" t="n"/>
      <c r="J365" s="86" t="n"/>
      <c r="K365" s="84" t="n"/>
      <c r="L365" s="84" t="n"/>
      <c r="M365" s="86" t="n"/>
      <c r="N365" s="84" t="n"/>
    </row>
    <row r="366" ht="15" customHeight="1" s="50">
      <c r="A366" s="86" t="n"/>
      <c r="B366" s="84" t="n"/>
      <c r="C366" s="84" t="n"/>
      <c r="D366" s="84" t="n"/>
      <c r="E366" s="85">
        <f>IF(D366="","",IFERROR(INDEX(Arquétipos!$B$5:$B$40,MATCH(D366,Arquétipos!$A$5:$A$40,0)),""))</f>
        <v/>
      </c>
      <c r="F366" s="84" t="n"/>
      <c r="G366" s="84" t="n"/>
      <c r="H366" s="86" t="n"/>
      <c r="I366" s="86" t="n"/>
      <c r="J366" s="86" t="n"/>
      <c r="K366" s="84" t="n"/>
      <c r="L366" s="84" t="n"/>
      <c r="M366" s="86" t="n"/>
      <c r="N366" s="84" t="n"/>
    </row>
    <row r="367" ht="15" customHeight="1" s="50">
      <c r="A367" s="86" t="n"/>
      <c r="B367" s="84" t="n"/>
      <c r="C367" s="84" t="n"/>
      <c r="D367" s="84" t="n"/>
      <c r="E367" s="85">
        <f>IF(D367="","",IFERROR(INDEX(Arquétipos!$B$5:$B$40,MATCH(D367,Arquétipos!$A$5:$A$40,0)),""))</f>
        <v/>
      </c>
      <c r="F367" s="84" t="n"/>
      <c r="G367" s="84" t="n"/>
      <c r="H367" s="86" t="n"/>
      <c r="I367" s="86" t="n"/>
      <c r="J367" s="86" t="n"/>
      <c r="K367" s="84" t="n"/>
      <c r="L367" s="84" t="n"/>
      <c r="M367" s="86" t="n"/>
      <c r="N367" s="84" t="n"/>
    </row>
    <row r="368" ht="15" customHeight="1" s="50">
      <c r="A368" s="86" t="n"/>
      <c r="B368" s="84" t="n"/>
      <c r="C368" s="84" t="n"/>
      <c r="D368" s="84" t="n"/>
      <c r="E368" s="85">
        <f>IF(D368="","",IFERROR(INDEX(Arquétipos!$B$5:$B$40,MATCH(D368,Arquétipos!$A$5:$A$40,0)),""))</f>
        <v/>
      </c>
      <c r="F368" s="84" t="n"/>
      <c r="G368" s="84" t="n"/>
      <c r="H368" s="86" t="n"/>
      <c r="I368" s="86" t="n"/>
      <c r="J368" s="86" t="n"/>
      <c r="K368" s="84" t="n"/>
      <c r="L368" s="84" t="n"/>
      <c r="M368" s="86" t="n"/>
      <c r="N368" s="84" t="n"/>
    </row>
    <row r="369" ht="15" customHeight="1" s="50">
      <c r="A369" s="86" t="n"/>
      <c r="B369" s="84" t="n"/>
      <c r="C369" s="84" t="n"/>
      <c r="D369" s="84" t="n"/>
      <c r="E369" s="85">
        <f>IF(D369="","",IFERROR(INDEX(Arquétipos!$B$5:$B$40,MATCH(D369,Arquétipos!$A$5:$A$40,0)),""))</f>
        <v/>
      </c>
      <c r="F369" s="84" t="n"/>
      <c r="G369" s="84" t="n"/>
      <c r="H369" s="86" t="n"/>
      <c r="I369" s="86" t="n"/>
      <c r="J369" s="86" t="n"/>
      <c r="K369" s="84" t="n"/>
      <c r="L369" s="84" t="n"/>
      <c r="M369" s="86" t="n"/>
      <c r="N369" s="84" t="n"/>
    </row>
    <row r="370" ht="15" customHeight="1" s="50">
      <c r="A370" s="86" t="n"/>
      <c r="B370" s="84" t="n"/>
      <c r="C370" s="84" t="n"/>
      <c r="D370" s="84" t="n"/>
      <c r="E370" s="85">
        <f>IF(D370="","",IFERROR(INDEX(Arquétipos!$B$5:$B$40,MATCH(D370,Arquétipos!$A$5:$A$40,0)),""))</f>
        <v/>
      </c>
      <c r="F370" s="84" t="n"/>
      <c r="G370" s="84" t="n"/>
      <c r="H370" s="86" t="n"/>
      <c r="I370" s="86" t="n"/>
      <c r="J370" s="86" t="n"/>
      <c r="K370" s="84" t="n"/>
      <c r="L370" s="84" t="n"/>
      <c r="M370" s="86" t="n"/>
      <c r="N370" s="84" t="n"/>
    </row>
    <row r="371" ht="15" customHeight="1" s="50">
      <c r="A371" s="86" t="n"/>
      <c r="B371" s="84" t="n"/>
      <c r="C371" s="84" t="n"/>
      <c r="D371" s="84" t="n"/>
      <c r="E371" s="85">
        <f>IF(D371="","",IFERROR(INDEX(Arquétipos!$B$5:$B$40,MATCH(D371,Arquétipos!$A$5:$A$40,0)),""))</f>
        <v/>
      </c>
      <c r="F371" s="84" t="n"/>
      <c r="G371" s="84" t="n"/>
      <c r="H371" s="86" t="n"/>
      <c r="I371" s="86" t="n"/>
      <c r="J371" s="86" t="n"/>
      <c r="K371" s="84" t="n"/>
      <c r="L371" s="84" t="n"/>
      <c r="M371" s="86" t="n"/>
      <c r="N371" s="84" t="n"/>
    </row>
    <row r="372" ht="15" customHeight="1" s="50">
      <c r="A372" s="86" t="n"/>
      <c r="B372" s="84" t="n"/>
      <c r="C372" s="84" t="n"/>
      <c r="D372" s="84" t="n"/>
      <c r="E372" s="85">
        <f>IF(D372="","",IFERROR(INDEX(Arquétipos!$B$5:$B$40,MATCH(D372,Arquétipos!$A$5:$A$40,0)),""))</f>
        <v/>
      </c>
      <c r="F372" s="84" t="n"/>
      <c r="G372" s="84" t="n"/>
      <c r="H372" s="86" t="n"/>
      <c r="I372" s="86" t="n"/>
      <c r="J372" s="86" t="n"/>
      <c r="K372" s="84" t="n"/>
      <c r="L372" s="84" t="n"/>
      <c r="M372" s="86" t="n"/>
      <c r="N372" s="84" t="n"/>
    </row>
    <row r="373" ht="15" customHeight="1" s="50">
      <c r="A373" s="86" t="n"/>
      <c r="B373" s="84" t="n"/>
      <c r="C373" s="84" t="n"/>
      <c r="D373" s="84" t="n"/>
      <c r="E373" s="85">
        <f>IF(D373="","",IFERROR(INDEX(Arquétipos!$B$5:$B$40,MATCH(D373,Arquétipos!$A$5:$A$40,0)),""))</f>
        <v/>
      </c>
      <c r="F373" s="84" t="n"/>
      <c r="G373" s="84" t="n"/>
      <c r="H373" s="86" t="n"/>
      <c r="I373" s="86" t="n"/>
      <c r="J373" s="86" t="n"/>
      <c r="K373" s="84" t="n"/>
      <c r="L373" s="84" t="n"/>
      <c r="M373" s="86" t="n"/>
      <c r="N373" s="84" t="n"/>
    </row>
    <row r="374" ht="15" customHeight="1" s="50">
      <c r="A374" s="86" t="n"/>
      <c r="B374" s="84" t="n"/>
      <c r="C374" s="84" t="n"/>
      <c r="D374" s="84" t="n"/>
      <c r="E374" s="85">
        <f>IF(D374="","",IFERROR(INDEX(Arquétipos!$B$5:$B$40,MATCH(D374,Arquétipos!$A$5:$A$40,0)),""))</f>
        <v/>
      </c>
      <c r="F374" s="84" t="n"/>
      <c r="G374" s="84" t="n"/>
      <c r="H374" s="86" t="n"/>
      <c r="I374" s="86" t="n"/>
      <c r="J374" s="86" t="n"/>
      <c r="K374" s="84" t="n"/>
      <c r="L374" s="84" t="n"/>
      <c r="M374" s="86" t="n"/>
      <c r="N374" s="84" t="n"/>
    </row>
    <row r="375" ht="15" customHeight="1" s="50">
      <c r="A375" s="86" t="n"/>
      <c r="B375" s="84" t="n"/>
      <c r="C375" s="84" t="n"/>
      <c r="D375" s="84" t="n"/>
      <c r="E375" s="85">
        <f>IF(D375="","",IFERROR(INDEX(Arquétipos!$B$5:$B$40,MATCH(D375,Arquétipos!$A$5:$A$40,0)),""))</f>
        <v/>
      </c>
      <c r="F375" s="84" t="n"/>
      <c r="G375" s="84" t="n"/>
      <c r="H375" s="86" t="n"/>
      <c r="I375" s="86" t="n"/>
      <c r="J375" s="86" t="n"/>
      <c r="K375" s="84" t="n"/>
      <c r="L375" s="84" t="n"/>
      <c r="M375" s="86" t="n"/>
      <c r="N375" s="84" t="n"/>
    </row>
    <row r="376" ht="15" customHeight="1" s="50">
      <c r="A376" s="86" t="n"/>
      <c r="B376" s="84" t="n"/>
      <c r="C376" s="84" t="n"/>
      <c r="D376" s="84" t="n"/>
      <c r="E376" s="85">
        <f>IF(D376="","",IFERROR(INDEX(Arquétipos!$B$5:$B$40,MATCH(D376,Arquétipos!$A$5:$A$40,0)),""))</f>
        <v/>
      </c>
      <c r="F376" s="84" t="n"/>
      <c r="G376" s="84" t="n"/>
      <c r="H376" s="86" t="n"/>
      <c r="I376" s="86" t="n"/>
      <c r="J376" s="86" t="n"/>
      <c r="K376" s="84" t="n"/>
      <c r="L376" s="84" t="n"/>
      <c r="M376" s="86" t="n"/>
      <c r="N376" s="84" t="n"/>
    </row>
    <row r="377" ht="15" customHeight="1" s="50">
      <c r="A377" s="86" t="n"/>
      <c r="B377" s="84" t="n"/>
      <c r="C377" s="84" t="n"/>
      <c r="D377" s="84" t="n"/>
      <c r="E377" s="85">
        <f>IF(D377="","",IFERROR(INDEX(Arquétipos!$B$5:$B$40,MATCH(D377,Arquétipos!$A$5:$A$40,0)),""))</f>
        <v/>
      </c>
      <c r="F377" s="84" t="n"/>
      <c r="G377" s="84" t="n"/>
      <c r="H377" s="86" t="n"/>
      <c r="I377" s="86" t="n"/>
      <c r="J377" s="86" t="n"/>
      <c r="K377" s="84" t="n"/>
      <c r="L377" s="84" t="n"/>
      <c r="M377" s="86" t="n"/>
      <c r="N377" s="84" t="n"/>
    </row>
    <row r="378" ht="15" customHeight="1" s="50">
      <c r="A378" s="86" t="n"/>
      <c r="B378" s="84" t="n"/>
      <c r="C378" s="84" t="n"/>
      <c r="D378" s="84" t="n"/>
      <c r="E378" s="85">
        <f>IF(D378="","",IFERROR(INDEX(Arquétipos!$B$5:$B$40,MATCH(D378,Arquétipos!$A$5:$A$40,0)),""))</f>
        <v/>
      </c>
      <c r="F378" s="84" t="n"/>
      <c r="G378" s="84" t="n"/>
      <c r="H378" s="86" t="n"/>
      <c r="I378" s="86" t="n"/>
      <c r="J378" s="86" t="n"/>
      <c r="K378" s="84" t="n"/>
      <c r="L378" s="84" t="n"/>
      <c r="M378" s="86" t="n"/>
      <c r="N378" s="84" t="n"/>
    </row>
    <row r="379" ht="15" customHeight="1" s="50">
      <c r="A379" s="86" t="n"/>
      <c r="B379" s="84" t="n"/>
      <c r="C379" s="84" t="n"/>
      <c r="D379" s="84" t="n"/>
      <c r="E379" s="85">
        <f>IF(D379="","",IFERROR(INDEX(Arquétipos!$B$5:$B$40,MATCH(D379,Arquétipos!$A$5:$A$40,0)),""))</f>
        <v/>
      </c>
      <c r="F379" s="84" t="n"/>
      <c r="G379" s="84" t="n"/>
      <c r="H379" s="86" t="n"/>
      <c r="I379" s="86" t="n"/>
      <c r="J379" s="86" t="n"/>
      <c r="K379" s="84" t="n"/>
      <c r="L379" s="84" t="n"/>
      <c r="M379" s="86" t="n"/>
      <c r="N379" s="84" t="n"/>
    </row>
    <row r="380" ht="15" customHeight="1" s="50">
      <c r="A380" s="86" t="n"/>
      <c r="B380" s="84" t="n"/>
      <c r="C380" s="84" t="n"/>
      <c r="D380" s="84" t="n"/>
      <c r="E380" s="85">
        <f>IF(D380="","",IFERROR(INDEX(Arquétipos!$B$5:$B$40,MATCH(D380,Arquétipos!$A$5:$A$40,0)),""))</f>
        <v/>
      </c>
      <c r="F380" s="84" t="n"/>
      <c r="G380" s="84" t="n"/>
      <c r="H380" s="86" t="n"/>
      <c r="I380" s="86" t="n"/>
      <c r="J380" s="86" t="n"/>
      <c r="K380" s="84" t="n"/>
      <c r="L380" s="84" t="n"/>
      <c r="M380" s="86" t="n"/>
      <c r="N380" s="84" t="n"/>
    </row>
    <row r="381" ht="15" customHeight="1" s="50">
      <c r="A381" s="86" t="n"/>
      <c r="B381" s="84" t="n"/>
      <c r="C381" s="84" t="n"/>
      <c r="D381" s="84" t="n"/>
      <c r="E381" s="85">
        <f>IF(D381="","",IFERROR(INDEX(Arquétipos!$B$5:$B$40,MATCH(D381,Arquétipos!$A$5:$A$40,0)),""))</f>
        <v/>
      </c>
      <c r="F381" s="84" t="n"/>
      <c r="G381" s="84" t="n"/>
      <c r="H381" s="86" t="n"/>
      <c r="I381" s="86" t="n"/>
      <c r="J381" s="86" t="n"/>
      <c r="K381" s="84" t="n"/>
      <c r="L381" s="84" t="n"/>
      <c r="M381" s="86" t="n"/>
      <c r="N381" s="84" t="n"/>
    </row>
    <row r="382" ht="15" customHeight="1" s="50">
      <c r="A382" s="86" t="n"/>
      <c r="B382" s="84" t="n"/>
      <c r="C382" s="84" t="n"/>
      <c r="D382" s="84" t="n"/>
      <c r="E382" s="85">
        <f>IF(D382="","",IFERROR(INDEX(Arquétipos!$B$5:$B$40,MATCH(D382,Arquétipos!$A$5:$A$40,0)),""))</f>
        <v/>
      </c>
      <c r="F382" s="84" t="n"/>
      <c r="G382" s="84" t="n"/>
      <c r="H382" s="86" t="n"/>
      <c r="I382" s="86" t="n"/>
      <c r="J382" s="86" t="n"/>
      <c r="K382" s="84" t="n"/>
      <c r="L382" s="84" t="n"/>
      <c r="M382" s="86" t="n"/>
      <c r="N382" s="84" t="n"/>
    </row>
    <row r="383" ht="15" customHeight="1" s="50">
      <c r="A383" s="86" t="n"/>
      <c r="B383" s="84" t="n"/>
      <c r="C383" s="84" t="n"/>
      <c r="D383" s="84" t="n"/>
      <c r="E383" s="85">
        <f>IF(D383="","",IFERROR(INDEX(Arquétipos!$B$5:$B$40,MATCH(D383,Arquétipos!$A$5:$A$40,0)),""))</f>
        <v/>
      </c>
      <c r="F383" s="84" t="n"/>
      <c r="G383" s="84" t="n"/>
      <c r="H383" s="86" t="n"/>
      <c r="I383" s="86" t="n"/>
      <c r="J383" s="86" t="n"/>
      <c r="K383" s="84" t="n"/>
      <c r="L383" s="84" t="n"/>
      <c r="M383" s="86" t="n"/>
      <c r="N383" s="84" t="n"/>
    </row>
    <row r="384" ht="15" customHeight="1" s="50">
      <c r="A384" s="86" t="n"/>
      <c r="B384" s="84" t="n"/>
      <c r="C384" s="84" t="n"/>
      <c r="D384" s="84" t="n"/>
      <c r="E384" s="85">
        <f>IF(D384="","",IFERROR(INDEX(Arquétipos!$B$5:$B$40,MATCH(D384,Arquétipos!$A$5:$A$40,0)),""))</f>
        <v/>
      </c>
      <c r="F384" s="84" t="n"/>
      <c r="G384" s="84" t="n"/>
      <c r="H384" s="86" t="n"/>
      <c r="I384" s="86" t="n"/>
      <c r="J384" s="86" t="n"/>
      <c r="K384" s="84" t="n"/>
      <c r="L384" s="84" t="n"/>
      <c r="M384" s="86" t="n"/>
      <c r="N384" s="84" t="n"/>
    </row>
    <row r="385" ht="15" customHeight="1" s="50">
      <c r="A385" s="86" t="n"/>
      <c r="B385" s="84" t="n"/>
      <c r="C385" s="84" t="n"/>
      <c r="D385" s="84" t="n"/>
      <c r="E385" s="85">
        <f>IF(D385="","",IFERROR(INDEX(Arquétipos!$B$5:$B$40,MATCH(D385,Arquétipos!$A$5:$A$40,0)),""))</f>
        <v/>
      </c>
      <c r="F385" s="84" t="n"/>
      <c r="G385" s="84" t="n"/>
      <c r="H385" s="86" t="n"/>
      <c r="I385" s="86" t="n"/>
      <c r="J385" s="86" t="n"/>
      <c r="K385" s="84" t="n"/>
      <c r="L385" s="84" t="n"/>
      <c r="M385" s="86" t="n"/>
      <c r="N385" s="84" t="n"/>
    </row>
    <row r="386" ht="15" customHeight="1" s="50">
      <c r="A386" s="86" t="n"/>
      <c r="B386" s="84" t="n"/>
      <c r="C386" s="84" t="n"/>
      <c r="D386" s="84" t="n"/>
      <c r="E386" s="85">
        <f>IF(D386="","",IFERROR(INDEX(Arquétipos!$B$5:$B$40,MATCH(D386,Arquétipos!$A$5:$A$40,0)),""))</f>
        <v/>
      </c>
      <c r="F386" s="84" t="n"/>
      <c r="G386" s="84" t="n"/>
      <c r="H386" s="86" t="n"/>
      <c r="I386" s="86" t="n"/>
      <c r="J386" s="86" t="n"/>
      <c r="K386" s="84" t="n"/>
      <c r="L386" s="84" t="n"/>
      <c r="M386" s="86" t="n"/>
      <c r="N386" s="84" t="n"/>
    </row>
    <row r="387" ht="15" customHeight="1" s="50">
      <c r="A387" s="86" t="n"/>
      <c r="B387" s="84" t="n"/>
      <c r="C387" s="84" t="n"/>
      <c r="D387" s="84" t="n"/>
      <c r="E387" s="85">
        <f>IF(D387="","",IFERROR(INDEX(Arquétipos!$B$5:$B$40,MATCH(D387,Arquétipos!$A$5:$A$40,0)),""))</f>
        <v/>
      </c>
      <c r="F387" s="84" t="n"/>
      <c r="G387" s="84" t="n"/>
      <c r="H387" s="86" t="n"/>
      <c r="I387" s="86" t="n"/>
      <c r="J387" s="86" t="n"/>
      <c r="K387" s="84" t="n"/>
      <c r="L387" s="84" t="n"/>
      <c r="M387" s="86" t="n"/>
      <c r="N387" s="84" t="n"/>
    </row>
    <row r="388" ht="15" customHeight="1" s="50">
      <c r="A388" s="86" t="n"/>
      <c r="B388" s="84" t="n"/>
      <c r="C388" s="84" t="n"/>
      <c r="D388" s="84" t="n"/>
      <c r="E388" s="85">
        <f>IF(D388="","",IFERROR(INDEX(Arquétipos!$B$5:$B$40,MATCH(D388,Arquétipos!$A$5:$A$40,0)),""))</f>
        <v/>
      </c>
      <c r="F388" s="84" t="n"/>
      <c r="G388" s="84" t="n"/>
      <c r="H388" s="86" t="n"/>
      <c r="I388" s="86" t="n"/>
      <c r="J388" s="86" t="n"/>
      <c r="K388" s="84" t="n"/>
      <c r="L388" s="84" t="n"/>
      <c r="M388" s="86" t="n"/>
      <c r="N388" s="84" t="n"/>
    </row>
    <row r="389" ht="15" customHeight="1" s="50">
      <c r="A389" s="86" t="n"/>
      <c r="B389" s="84" t="n"/>
      <c r="C389" s="84" t="n"/>
      <c r="D389" s="84" t="n"/>
      <c r="E389" s="85">
        <f>IF(D389="","",IFERROR(INDEX(Arquétipos!$B$5:$B$40,MATCH(D389,Arquétipos!$A$5:$A$40,0)),""))</f>
        <v/>
      </c>
      <c r="F389" s="84" t="n"/>
      <c r="G389" s="84" t="n"/>
      <c r="H389" s="86" t="n"/>
      <c r="I389" s="86" t="n"/>
      <c r="J389" s="86" t="n"/>
      <c r="K389" s="84" t="n"/>
      <c r="L389" s="84" t="n"/>
      <c r="M389" s="86" t="n"/>
      <c r="N389" s="84" t="n"/>
    </row>
    <row r="390" ht="15" customHeight="1" s="50">
      <c r="A390" s="86" t="n"/>
      <c r="B390" s="84" t="n"/>
      <c r="C390" s="84" t="n"/>
      <c r="D390" s="84" t="n"/>
      <c r="E390" s="85">
        <f>IF(D390="","",IFERROR(INDEX(Arquétipos!$B$5:$B$40,MATCH(D390,Arquétipos!$A$5:$A$40,0)),""))</f>
        <v/>
      </c>
      <c r="F390" s="84" t="n"/>
      <c r="G390" s="84" t="n"/>
      <c r="H390" s="86" t="n"/>
      <c r="I390" s="86" t="n"/>
      <c r="J390" s="86" t="n"/>
      <c r="K390" s="84" t="n"/>
      <c r="L390" s="84" t="n"/>
      <c r="M390" s="86" t="n"/>
      <c r="N390" s="84" t="n"/>
    </row>
    <row r="391" ht="15" customHeight="1" s="50">
      <c r="A391" s="86" t="n"/>
      <c r="B391" s="84" t="n"/>
      <c r="C391" s="84" t="n"/>
      <c r="D391" s="84" t="n"/>
      <c r="E391" s="85">
        <f>IF(D391="","",IFERROR(INDEX(Arquétipos!$B$5:$B$40,MATCH(D391,Arquétipos!$A$5:$A$40,0)),""))</f>
        <v/>
      </c>
      <c r="F391" s="84" t="n"/>
      <c r="G391" s="84" t="n"/>
      <c r="H391" s="86" t="n"/>
      <c r="I391" s="86" t="n"/>
      <c r="J391" s="86" t="n"/>
      <c r="K391" s="84" t="n"/>
      <c r="L391" s="84" t="n"/>
      <c r="M391" s="86" t="n"/>
      <c r="N391" s="84" t="n"/>
    </row>
    <row r="392" ht="15" customHeight="1" s="50">
      <c r="A392" s="86" t="n"/>
      <c r="B392" s="84" t="n"/>
      <c r="C392" s="84" t="n"/>
      <c r="D392" s="84" t="n"/>
      <c r="E392" s="85">
        <f>IF(D392="","",IFERROR(INDEX(Arquétipos!$B$5:$B$40,MATCH(D392,Arquétipos!$A$5:$A$40,0)),""))</f>
        <v/>
      </c>
      <c r="F392" s="84" t="n"/>
      <c r="G392" s="84" t="n"/>
      <c r="H392" s="86" t="n"/>
      <c r="I392" s="86" t="n"/>
      <c r="J392" s="86" t="n"/>
      <c r="K392" s="84" t="n"/>
      <c r="L392" s="84" t="n"/>
      <c r="M392" s="86" t="n"/>
      <c r="N392" s="84" t="n"/>
    </row>
    <row r="393" ht="15" customHeight="1" s="50">
      <c r="A393" s="86" t="n"/>
      <c r="B393" s="84" t="n"/>
      <c r="C393" s="84" t="n"/>
      <c r="D393" s="84" t="n"/>
      <c r="E393" s="85">
        <f>IF(D393="","",IFERROR(INDEX(Arquétipos!$B$5:$B$40,MATCH(D393,Arquétipos!$A$5:$A$40,0)),""))</f>
        <v/>
      </c>
      <c r="F393" s="84" t="n"/>
      <c r="G393" s="84" t="n"/>
      <c r="H393" s="86" t="n"/>
      <c r="I393" s="86" t="n"/>
      <c r="J393" s="86" t="n"/>
      <c r="K393" s="84" t="n"/>
      <c r="L393" s="84" t="n"/>
      <c r="M393" s="86" t="n"/>
      <c r="N393" s="84" t="n"/>
    </row>
    <row r="394" ht="15" customHeight="1" s="50">
      <c r="A394" s="86" t="n"/>
      <c r="B394" s="84" t="n"/>
      <c r="C394" s="84" t="n"/>
      <c r="D394" s="84" t="n"/>
      <c r="E394" s="85">
        <f>IF(D394="","",IFERROR(INDEX(Arquétipos!$B$5:$B$40,MATCH(D394,Arquétipos!$A$5:$A$40,0)),""))</f>
        <v/>
      </c>
      <c r="F394" s="84" t="n"/>
      <c r="G394" s="84" t="n"/>
      <c r="H394" s="86" t="n"/>
      <c r="I394" s="86" t="n"/>
      <c r="J394" s="86" t="n"/>
      <c r="K394" s="84" t="n"/>
      <c r="L394" s="84" t="n"/>
      <c r="M394" s="86" t="n"/>
      <c r="N394" s="84" t="n"/>
    </row>
    <row r="395" ht="15" customHeight="1" s="50">
      <c r="A395" s="86" t="n"/>
      <c r="B395" s="84" t="n"/>
      <c r="C395" s="84" t="n"/>
      <c r="D395" s="84" t="n"/>
      <c r="E395" s="85">
        <f>IF(D395="","",IFERROR(INDEX(Arquétipos!$B$5:$B$40,MATCH(D395,Arquétipos!$A$5:$A$40,0)),""))</f>
        <v/>
      </c>
      <c r="F395" s="84" t="n"/>
      <c r="G395" s="84" t="n"/>
      <c r="H395" s="86" t="n"/>
      <c r="I395" s="86" t="n"/>
      <c r="J395" s="86" t="n"/>
      <c r="K395" s="84" t="n"/>
      <c r="L395" s="84" t="n"/>
      <c r="M395" s="86" t="n"/>
      <c r="N395" s="84" t="n"/>
    </row>
    <row r="396" ht="15" customHeight="1" s="50">
      <c r="A396" s="86" t="n"/>
      <c r="B396" s="84" t="n"/>
      <c r="C396" s="84" t="n"/>
      <c r="D396" s="84" t="n"/>
      <c r="E396" s="85">
        <f>IF(D396="","",IFERROR(INDEX(Arquétipos!$B$5:$B$40,MATCH(D396,Arquétipos!$A$5:$A$40,0)),""))</f>
        <v/>
      </c>
      <c r="F396" s="84" t="n"/>
      <c r="G396" s="84" t="n"/>
      <c r="H396" s="86" t="n"/>
      <c r="I396" s="86" t="n"/>
      <c r="J396" s="86" t="n"/>
      <c r="K396" s="84" t="n"/>
      <c r="L396" s="84" t="n"/>
      <c r="M396" s="86" t="n"/>
      <c r="N396" s="84" t="n"/>
    </row>
    <row r="397" ht="15" customHeight="1" s="50">
      <c r="A397" s="86" t="n"/>
      <c r="B397" s="84" t="n"/>
      <c r="C397" s="84" t="n"/>
      <c r="D397" s="84" t="n"/>
      <c r="E397" s="85">
        <f>IF(D397="","",IFERROR(INDEX(Arquétipos!$B$5:$B$40,MATCH(D397,Arquétipos!$A$5:$A$40,0)),""))</f>
        <v/>
      </c>
      <c r="F397" s="84" t="n"/>
      <c r="G397" s="84" t="n"/>
      <c r="H397" s="86" t="n"/>
      <c r="I397" s="86" t="n"/>
      <c r="J397" s="86" t="n"/>
      <c r="K397" s="84" t="n"/>
      <c r="L397" s="84" t="n"/>
      <c r="M397" s="86" t="n"/>
      <c r="N397" s="84" t="n"/>
    </row>
    <row r="398" ht="15" customHeight="1" s="50">
      <c r="A398" s="86" t="n"/>
      <c r="B398" s="84" t="n"/>
      <c r="C398" s="84" t="n"/>
      <c r="D398" s="84" t="n"/>
      <c r="E398" s="85">
        <f>IF(D398="","",IFERROR(INDEX(Arquétipos!$B$5:$B$40,MATCH(D398,Arquétipos!$A$5:$A$40,0)),""))</f>
        <v/>
      </c>
      <c r="F398" s="84" t="n"/>
      <c r="G398" s="84" t="n"/>
      <c r="H398" s="86" t="n"/>
      <c r="I398" s="86" t="n"/>
      <c r="J398" s="86" t="n"/>
      <c r="K398" s="84" t="n"/>
      <c r="L398" s="84" t="n"/>
      <c r="M398" s="86" t="n"/>
      <c r="N398" s="84" t="n"/>
    </row>
    <row r="399" ht="15" customHeight="1" s="50">
      <c r="A399" s="86" t="n"/>
      <c r="B399" s="84" t="n"/>
      <c r="C399" s="84" t="n"/>
      <c r="D399" s="84" t="n"/>
      <c r="E399" s="85">
        <f>IF(D399="","",IFERROR(INDEX(Arquétipos!$B$5:$B$40,MATCH(D399,Arquétipos!$A$5:$A$40,0)),""))</f>
        <v/>
      </c>
      <c r="F399" s="84" t="n"/>
      <c r="G399" s="84" t="n"/>
      <c r="H399" s="86" t="n"/>
      <c r="I399" s="86" t="n"/>
      <c r="J399" s="86" t="n"/>
      <c r="K399" s="84" t="n"/>
      <c r="L399" s="84" t="n"/>
      <c r="M399" s="86" t="n"/>
      <c r="N399" s="84" t="n"/>
    </row>
    <row r="400" ht="15" customHeight="1" s="50">
      <c r="A400" s="86" t="n"/>
      <c r="B400" s="84" t="n"/>
      <c r="C400" s="84" t="n"/>
      <c r="D400" s="84" t="n"/>
      <c r="E400" s="85">
        <f>IF(D400="","",IFERROR(INDEX(Arquétipos!$B$5:$B$40,MATCH(D400,Arquétipos!$A$5:$A$40,0)),""))</f>
        <v/>
      </c>
      <c r="F400" s="84" t="n"/>
      <c r="G400" s="84" t="n"/>
      <c r="H400" s="86" t="n"/>
      <c r="I400" s="86" t="n"/>
      <c r="J400" s="86" t="n"/>
      <c r="K400" s="84" t="n"/>
      <c r="L400" s="84" t="n"/>
      <c r="M400" s="86" t="n"/>
      <c r="N400" s="84" t="n"/>
    </row>
  </sheetData>
  <autoFilter ref="A4:P400"/>
  <conditionalFormatting sqref="J5:J400">
    <cfRule type="expression" rank="0" priority="2" equalAverage="0" aboveAverage="0" dxfId="22" text="" percent="0" bottom="0">
      <formula>$J5="Existe"</formula>
    </cfRule>
    <cfRule type="expression" rank="0" priority="3" equalAverage="0" aboveAverage="0" dxfId="23" text="" percent="0" bottom="0">
      <formula>$J5="Em andamento"</formula>
    </cfRule>
    <cfRule type="expression" rank="0" priority="4" equalAverage="0" aboveAverage="0" dxfId="24" text="" percent="0" bottom="0">
      <formula>$J5="Descartada"</formula>
    </cfRule>
  </conditionalFormatting>
  <dataValidations count="6">
    <dataValidation sqref="B5:B400" showDropDown="0" showInputMessage="0" showErrorMessage="0" allowBlank="1" type="list" errorStyle="warning" operator="between">
      <formula1>Listas!$A$5:$A$38</formula1>
      <formula2>0</formula2>
    </dataValidation>
    <dataValidation sqref="D5:D400" showDropDown="0" showInputMessage="0" showErrorMessage="0" allowBlank="1" type="list" errorStyle="stop" operator="between">
      <formula1>Arquétipos!$A$5:$A$40</formula1>
      <formula2>0</formula2>
    </dataValidation>
    <dataValidation sqref="H5:H400" showDropDown="0" showInputMessage="0" showErrorMessage="0" allowBlank="1" type="list" errorStyle="stop" operator="between">
      <formula1>Fases!$A$5:$A$14</formula1>
      <formula2>0</formula2>
    </dataValidation>
    <dataValidation sqref="I5:I400" showDropDown="0" showInputMessage="0" showErrorMessage="0" allowBlank="1" type="list" errorStyle="stop" operator="between">
      <formula1>Listas!$C$5:$C$7</formula1>
      <formula2>0</formula2>
    </dataValidation>
    <dataValidation sqref="J5:J400" showDropDown="0" showInputMessage="0" showErrorMessage="0" allowBlank="1" type="list" errorStyle="stop" operator="between">
      <formula1>Listas!$B$5:$B$8</formula1>
      <formula2>0</formula2>
    </dataValidation>
    <dataValidation sqref="M5:M400" showDropDown="0" showInputMessage="0" showErrorMessage="0" allowBlank="1" type="list" errorStyle="stop" operator="between">
      <formula1>Listas!$E$5:$E$8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S300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6796875" defaultRowHeight="15" zeroHeight="0" outlineLevelRow="0"/>
  <cols>
    <col width="12" customWidth="1" style="49" min="1" max="1"/>
    <col width="28" customWidth="1" style="49" min="2" max="2"/>
    <col width="35" customWidth="1" style="49" min="3" max="3"/>
    <col width="17" customWidth="1" style="49" min="4" max="4"/>
    <col width="52" customWidth="1" style="49" min="5" max="5"/>
    <col width="28" customWidth="1" style="49" min="6" max="6"/>
    <col width="13" customWidth="1" style="49" min="7" max="7"/>
    <col width="28" customWidth="1" style="49" min="8" max="8"/>
    <col width="20" customWidth="1" style="49" min="9" max="9"/>
    <col width="22" customWidth="1" style="49" min="10" max="10"/>
    <col width="15" customWidth="1" style="49" min="11" max="11"/>
    <col width="28" customWidth="1" style="49" min="12" max="12"/>
    <col width="26" customWidth="1" style="49" min="13" max="13"/>
    <col width="38" customWidth="1" style="49" min="14" max="15"/>
    <col width="32" customWidth="1" style="49" min="16" max="16"/>
    <col width="38" customWidth="1" style="49" min="17" max="17"/>
    <col width="56" customWidth="1" style="49" min="18" max="18"/>
    <col width="32" customWidth="1" style="49" min="19" max="19"/>
  </cols>
  <sheetData>
    <row r="1" ht="30" customHeight="1" s="50">
      <c r="A1" s="51" t="inlineStr">
        <is>
          <t>Function inventory — repository mapping and English identifiers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87" t="n"/>
      <c r="P1" s="87" t="n"/>
      <c r="Q1" s="87" t="n"/>
      <c r="R1" s="87" t="n"/>
      <c r="S1" s="87" t="n"/>
    </row>
    <row r="2" ht="15" customHeight="1" s="50">
      <c r="A2" s="81" t="inlineStr">
        <is>
          <t>English identifiers are proposed translations of legacy catalog names, not Rust symbol names. Parent-module mappings are hypotheses until checked against code.</t>
        </is>
      </c>
    </row>
    <row r="3" ht="41.75" customHeight="1" s="50">
      <c r="M3" s="53" t="inlineStr">
        <is>
          <t>Repository roadmap phase; classify after checking each function.</t>
        </is>
      </c>
      <c r="N3" s="53" t="inlineStr">
        <is>
          <t>Code path, test, PR, or command proving actual implementation.</t>
        </is>
      </c>
      <c r="O3" s="53" t="inlineStr">
        <is>
          <t>Proposed English identifier; not necessarily an existing symbol.</t>
        </is>
      </c>
      <c r="P3" s="53" t="inlineStr">
        <is>
          <t>Parent module/crate that should own the capability.</t>
        </is>
      </c>
      <c r="Q3" s="53" t="inlineStr">
        <is>
          <t>Submodule or capability area.</t>
        </is>
      </c>
      <c r="R3" s="53" t="inlineStr">
        <is>
          <t>Repository entry point. Confirm exact file/symbol.</t>
        </is>
      </c>
      <c r="S3" s="53" t="inlineStr">
        <is>
          <t>Confidence / follow-up required.</t>
        </is>
      </c>
    </row>
    <row r="4" ht="48" customHeight="1" s="50">
      <c r="A4" s="88" t="inlineStr">
        <is>
          <t>Function ID</t>
        </is>
      </c>
      <c r="B4" s="88" t="inlineStr">
        <is>
          <t>Legacy Module Label</t>
        </is>
      </c>
      <c r="C4" s="88" t="inlineStr">
        <is>
          <t>Legacy Function / Command</t>
        </is>
      </c>
      <c r="D4" s="88" t="inlineStr">
        <is>
          <t>Function Type</t>
        </is>
      </c>
      <c r="E4" s="88" t="inlineStr">
        <is>
          <t>Description (Portuguese source)</t>
        </is>
      </c>
      <c r="F4" s="88" t="inlineStr">
        <is>
          <t>Legacy Phase (not repository phase)</t>
        </is>
      </c>
      <c r="G4" s="88" t="inlineStr">
        <is>
          <t>Priority</t>
        </is>
      </c>
      <c r="H4" s="88" t="inlineStr">
        <is>
          <t>Inventory Status (unverified)</t>
        </is>
      </c>
      <c r="I4" s="88" t="inlineStr">
        <is>
          <t>Screens Using (IDs)</t>
        </is>
      </c>
      <c r="J4" s="88" t="inlineStr">
        <is>
          <t>CLI / Ratatui Verified</t>
        </is>
      </c>
      <c r="K4" s="88" t="inlineStr">
        <is>
          <t>Tests</t>
        </is>
      </c>
      <c r="L4" s="88" t="inlineStr">
        <is>
          <t>Notes</t>
        </is>
      </c>
      <c r="M4" s="80" t="inlineStr">
        <is>
          <t>Repository Phase (reclassify)</t>
        </is>
      </c>
      <c r="N4" s="80" t="inlineStr">
        <is>
          <t>Repository Evidence</t>
        </is>
      </c>
      <c r="O4" s="80" t="inlineStr">
        <is>
          <t>Function / Command (English)</t>
        </is>
      </c>
      <c r="P4" s="80" t="inlineStr">
        <is>
          <t>Parent Module</t>
        </is>
      </c>
      <c r="Q4" s="80" t="inlineStr">
        <is>
          <t>Submodule / Capability</t>
        </is>
      </c>
      <c r="R4" s="80" t="inlineStr">
        <is>
          <t>Repository Link</t>
        </is>
      </c>
      <c r="S4" s="80" t="inlineStr">
        <is>
          <t>Mapping Confidence</t>
        </is>
      </c>
    </row>
    <row r="5" ht="23.25" customHeight="1" s="50">
      <c r="A5" s="84" t="inlineStr">
        <is>
          <t>FN-001</t>
        </is>
      </c>
      <c r="B5" s="84" t="inlineStr">
        <is>
          <t>Fundação e Infraestrutura</t>
        </is>
      </c>
      <c r="C5" s="89" t="inlineStr">
        <is>
          <t>kodoo_view.validar_spec</t>
        </is>
      </c>
      <c r="D5" s="84" t="inlineStr">
        <is>
          <t>Infra</t>
        </is>
      </c>
      <c r="E5" s="84" t="inlineStr">
        <is>
          <t>Validação estrutural de ViewSpec (esqueleto gerado, não compilado)</t>
        </is>
      </c>
      <c r="F5" s="84" t="inlineStr">
        <is>
          <t>F0</t>
        </is>
      </c>
      <c r="G5" s="84" t="inlineStr">
        <is>
          <t>Alta</t>
        </is>
      </c>
      <c r="H5" s="84" t="inlineStr">
        <is>
          <t>Em andamento</t>
        </is>
      </c>
      <c r="I5" s="84" t="inlineStr">
        <is>
          <t>T-015</t>
        </is>
      </c>
      <c r="J5" s="84" t="inlineStr">
        <is>
          <t>Não</t>
        </is>
      </c>
      <c r="K5" s="84" t="inlineStr">
        <is>
          <t>Não</t>
        </is>
      </c>
      <c r="L5" s="84" t="n"/>
      <c r="O5" s="53" t="inlineStr">
        <is>
          <t>kodoo_view.validate_spec</t>
        </is>
      </c>
      <c r="P5" s="53" t="inlineStr">
        <is>
          <t>kodoo-core</t>
        </is>
      </c>
      <c r="Q5" s="53" t="inlineStr">
        <is>
          <t>foundation / infrastructure</t>
        </is>
      </c>
      <c r="R5" s="53" t="inlineStr">
        <is>
          <t>https://github.com/bootstrapprx/kodoo/tree/main/crates/kodoo-core</t>
        </is>
      </c>
      <c r="S5" s="53" t="inlineStr">
        <is>
          <t>Conceptual mapping; confirm exact crate</t>
        </is>
      </c>
    </row>
    <row r="6" ht="15" customHeight="1" s="50">
      <c r="A6" s="84" t="inlineStr">
        <is>
          <t>FN-002</t>
        </is>
      </c>
      <c r="B6" s="84" t="inlineStr">
        <is>
          <t>Fundação e Infraestrutura</t>
        </is>
      </c>
      <c r="C6" s="89" t="inlineStr">
        <is>
          <t>ui.renderizar_arquetipo</t>
        </is>
      </c>
      <c r="D6" s="84" t="inlineStr">
        <is>
          <t>Infra</t>
        </is>
      </c>
      <c r="E6" s="84" t="inlineStr">
        <is>
          <t>Renderizador genérico por arquétipo (Dioxus)</t>
        </is>
      </c>
      <c r="F6" s="84" t="inlineStr">
        <is>
          <t>F0</t>
        </is>
      </c>
      <c r="G6" s="84" t="inlineStr">
        <is>
          <t>Alta</t>
        </is>
      </c>
      <c r="H6" s="84" t="inlineStr">
        <is>
          <t>Planejada</t>
        </is>
      </c>
      <c r="I6" s="84" t="inlineStr">
        <is>
          <t>T-014</t>
        </is>
      </c>
      <c r="J6" s="84" t="inlineStr">
        <is>
          <t>Não</t>
        </is>
      </c>
      <c r="K6" s="84" t="inlineStr">
        <is>
          <t>Não</t>
        </is>
      </c>
      <c r="L6" s="84" t="n"/>
      <c r="O6" s="53" t="inlineStr">
        <is>
          <t>ui.renderizar_arquetipo</t>
        </is>
      </c>
      <c r="P6" s="53" t="inlineStr">
        <is>
          <t>kodoo-core</t>
        </is>
      </c>
      <c r="Q6" s="53" t="inlineStr">
        <is>
          <t>foundation / infrastructure</t>
        </is>
      </c>
      <c r="R6" s="53" t="inlineStr">
        <is>
          <t>https://github.com/bootstrapprx/kodoo/tree/main/crates/kodoo-core</t>
        </is>
      </c>
      <c r="S6" s="53" t="inlineStr">
        <is>
          <t>Conceptual mapping; confirm exact crate</t>
        </is>
      </c>
    </row>
    <row r="7" ht="15" customHeight="1" s="50">
      <c r="A7" s="84" t="inlineStr">
        <is>
          <t>FN-003</t>
        </is>
      </c>
      <c r="B7" s="84" t="inlineStr">
        <is>
          <t>Fundação e Infraestrutura</t>
        </is>
      </c>
      <c r="C7" s="89" t="inlineStr">
        <is>
          <t>dev.fixtures_carregar</t>
        </is>
      </c>
      <c r="D7" s="84" t="inlineStr">
        <is>
          <t>Infra</t>
        </is>
      </c>
      <c r="E7" s="84" t="inlineStr">
        <is>
          <t>Dados de teste tipados para as telas</t>
        </is>
      </c>
      <c r="F7" s="84" t="inlineStr">
        <is>
          <t>F0</t>
        </is>
      </c>
      <c r="G7" s="84" t="inlineStr">
        <is>
          <t>Alta</t>
        </is>
      </c>
      <c r="H7" s="84" t="inlineStr">
        <is>
          <t>Planejada</t>
        </is>
      </c>
      <c r="I7" s="84" t="inlineStr">
        <is>
          <t>T-014</t>
        </is>
      </c>
      <c r="J7" s="84" t="inlineStr">
        <is>
          <t>Não</t>
        </is>
      </c>
      <c r="K7" s="84" t="inlineStr">
        <is>
          <t>Não</t>
        </is>
      </c>
      <c r="L7" s="84" t="n"/>
      <c r="O7" s="53" t="inlineStr">
        <is>
          <t>dev.fixtures_carregar</t>
        </is>
      </c>
      <c r="P7" s="53" t="inlineStr">
        <is>
          <t>kodoo-core</t>
        </is>
      </c>
      <c r="Q7" s="53" t="inlineStr">
        <is>
          <t>foundation / infrastructure</t>
        </is>
      </c>
      <c r="R7" s="53" t="inlineStr">
        <is>
          <t>https://github.com/bootstrapprx/kodoo/tree/main/crates/kodoo-core</t>
        </is>
      </c>
      <c r="S7" s="53" t="inlineStr">
        <is>
          <t>Conceptual mapping; confirm exact crate</t>
        </is>
      </c>
    </row>
    <row r="8" ht="23.25" customHeight="1" s="50">
      <c r="A8" s="84" t="inlineStr">
        <is>
          <t>FN-004</t>
        </is>
      </c>
      <c r="B8" s="84" t="inlineStr">
        <is>
          <t>Fundação e Infraestrutura</t>
        </is>
      </c>
      <c r="C8" s="89" t="inlineStr">
        <is>
          <t>dominio.repositorio</t>
        </is>
      </c>
      <c r="D8" s="84" t="inlineStr">
        <is>
          <t>Infra</t>
        </is>
      </c>
      <c r="E8" s="84" t="inlineStr">
        <is>
          <t>Interface de repositório extraída do que as telas pedem</t>
        </is>
      </c>
      <c r="F8" s="84" t="inlineStr">
        <is>
          <t>F1</t>
        </is>
      </c>
      <c r="G8" s="84" t="inlineStr">
        <is>
          <t>Alta</t>
        </is>
      </c>
      <c r="H8" s="84" t="inlineStr">
        <is>
          <t>Planejada</t>
        </is>
      </c>
      <c r="I8" s="84" t="n"/>
      <c r="J8" s="84" t="inlineStr">
        <is>
          <t>Não</t>
        </is>
      </c>
      <c r="K8" s="84" t="inlineStr">
        <is>
          <t>Não</t>
        </is>
      </c>
      <c r="L8" s="84" t="n"/>
      <c r="O8" s="53" t="inlineStr">
        <is>
          <t>dominio.repository</t>
        </is>
      </c>
      <c r="P8" s="53" t="inlineStr">
        <is>
          <t>kodoo-core</t>
        </is>
      </c>
      <c r="Q8" s="53" t="inlineStr">
        <is>
          <t>foundation / infrastructure</t>
        </is>
      </c>
      <c r="R8" s="53" t="inlineStr">
        <is>
          <t>https://github.com/bootstrapprx/kodoo/tree/main/crates/kodoo-core</t>
        </is>
      </c>
      <c r="S8" s="53" t="inlineStr">
        <is>
          <t>Conceptual mapping; confirm exact crate</t>
        </is>
      </c>
    </row>
    <row r="9" ht="15" customHeight="1" s="50">
      <c r="A9" s="84" t="inlineStr">
        <is>
          <t>FN-005</t>
        </is>
      </c>
      <c r="B9" s="84" t="inlineStr">
        <is>
          <t>Fundação e Infraestrutura</t>
        </is>
      </c>
      <c r="C9" s="89" t="inlineStr">
        <is>
          <t>db.migrar_esquema</t>
        </is>
      </c>
      <c r="D9" s="84" t="inlineStr">
        <is>
          <t>Infra</t>
        </is>
      </c>
      <c r="E9" s="84" t="inlineStr">
        <is>
          <t>Migrações do PostgreSQL</t>
        </is>
      </c>
      <c r="F9" s="84" t="inlineStr">
        <is>
          <t>F1</t>
        </is>
      </c>
      <c r="G9" s="84" t="inlineStr">
        <is>
          <t>Alta</t>
        </is>
      </c>
      <c r="H9" s="84" t="inlineStr">
        <is>
          <t>Planejada</t>
        </is>
      </c>
      <c r="I9" s="84" t="n"/>
      <c r="J9" s="84" t="inlineStr">
        <is>
          <t>Não</t>
        </is>
      </c>
      <c r="K9" s="84" t="inlineStr">
        <is>
          <t>Não</t>
        </is>
      </c>
      <c r="L9" s="84" t="n"/>
      <c r="O9" s="53" t="inlineStr">
        <is>
          <t>db.migrar_esquema</t>
        </is>
      </c>
      <c r="P9" s="53" t="inlineStr">
        <is>
          <t>kodoo-core</t>
        </is>
      </c>
      <c r="Q9" s="53" t="inlineStr">
        <is>
          <t>foundation / infrastructure</t>
        </is>
      </c>
      <c r="R9" s="53" t="inlineStr">
        <is>
          <t>https://github.com/bootstrapprx/kodoo/tree/main/crates/kodoo-core</t>
        </is>
      </c>
      <c r="S9" s="53" t="inlineStr">
        <is>
          <t>Conceptual mapping; confirm exact crate</t>
        </is>
      </c>
    </row>
    <row r="10" ht="15" customHeight="1" s="50">
      <c r="A10" s="84" t="inlineStr">
        <is>
          <t>FN-006</t>
        </is>
      </c>
      <c r="B10" s="84" t="inlineStr">
        <is>
          <t>Fundação e Infraestrutura</t>
        </is>
      </c>
      <c r="C10" s="89" t="inlineStr">
        <is>
          <t>api.servidor_base</t>
        </is>
      </c>
      <c r="D10" s="84" t="inlineStr">
        <is>
          <t>Infra</t>
        </is>
      </c>
      <c r="E10" s="84" t="inlineStr">
        <is>
          <t>API: rotas, erros e versionamento</t>
        </is>
      </c>
      <c r="F10" s="84" t="inlineStr">
        <is>
          <t>F1</t>
        </is>
      </c>
      <c r="G10" s="84" t="inlineStr">
        <is>
          <t>Alta</t>
        </is>
      </c>
      <c r="H10" s="84" t="inlineStr">
        <is>
          <t>Planejada</t>
        </is>
      </c>
      <c r="I10" s="84" t="n"/>
      <c r="J10" s="84" t="inlineStr">
        <is>
          <t>Não</t>
        </is>
      </c>
      <c r="K10" s="84" t="inlineStr">
        <is>
          <t>Não</t>
        </is>
      </c>
      <c r="L10" s="84" t="n"/>
      <c r="O10" s="53" t="inlineStr">
        <is>
          <t>api.servidor_base</t>
        </is>
      </c>
      <c r="P10" s="53" t="inlineStr">
        <is>
          <t>kodoo-core</t>
        </is>
      </c>
      <c r="Q10" s="53" t="inlineStr">
        <is>
          <t>foundation / infrastructure</t>
        </is>
      </c>
      <c r="R10" s="53" t="inlineStr">
        <is>
          <t>https://github.com/bootstrapprx/kodoo/tree/main/crates/kodoo-core</t>
        </is>
      </c>
      <c r="S10" s="53" t="inlineStr">
        <is>
          <t>Conceptual mapping; confirm exact crate</t>
        </is>
      </c>
    </row>
    <row r="11" ht="15" customHeight="1" s="50">
      <c r="A11" s="84" t="inlineStr">
        <is>
          <t>FN-007</t>
        </is>
      </c>
      <c r="B11" s="84" t="inlineStr">
        <is>
          <t>Fundação e Infraestrutura</t>
        </is>
      </c>
      <c r="C11" s="89" t="inlineStr">
        <is>
          <t>cli.comando_base</t>
        </is>
      </c>
      <c r="D11" s="84" t="inlineStr">
        <is>
          <t>Infra</t>
        </is>
      </c>
      <c r="E11" s="84" t="inlineStr">
        <is>
          <t>CLI com os mesmos nomes de comando do domínio</t>
        </is>
      </c>
      <c r="F11" s="84" t="inlineStr">
        <is>
          <t>F1</t>
        </is>
      </c>
      <c r="G11" s="84" t="inlineStr">
        <is>
          <t>Alta</t>
        </is>
      </c>
      <c r="H11" s="84" t="inlineStr">
        <is>
          <t>Planejada</t>
        </is>
      </c>
      <c r="I11" s="84" t="inlineStr">
        <is>
          <t>T-016</t>
        </is>
      </c>
      <c r="J11" s="84" t="inlineStr">
        <is>
          <t>Não</t>
        </is>
      </c>
      <c r="K11" s="84" t="inlineStr">
        <is>
          <t>Não</t>
        </is>
      </c>
      <c r="L11" s="84" t="n"/>
      <c r="O11" s="53" t="inlineStr">
        <is>
          <t>cli.comando_base</t>
        </is>
      </c>
      <c r="P11" s="53" t="inlineStr">
        <is>
          <t>kodoo-core</t>
        </is>
      </c>
      <c r="Q11" s="53" t="inlineStr">
        <is>
          <t>foundation / infrastructure</t>
        </is>
      </c>
      <c r="R11" s="53" t="inlineStr">
        <is>
          <t>https://github.com/bootstrapprx/kodoo/tree/main/crates/kodoo-core</t>
        </is>
      </c>
      <c r="S11" s="53" t="inlineStr">
        <is>
          <t>Conceptual mapping; confirm exact crate</t>
        </is>
      </c>
    </row>
    <row r="12" ht="15" customHeight="1" s="50">
      <c r="A12" s="84" t="inlineStr">
        <is>
          <t>FN-008</t>
        </is>
      </c>
      <c r="B12" s="84" t="inlineStr">
        <is>
          <t>Fundação e Infraestrutura</t>
        </is>
      </c>
      <c r="C12" s="89" t="inlineStr">
        <is>
          <t>tui.verificador</t>
        </is>
      </c>
      <c r="D12" s="84" t="inlineStr">
        <is>
          <t>Infra</t>
        </is>
      </c>
      <c r="E12" s="84" t="inlineStr">
        <is>
          <t>Ratatui para verificação direta de funções</t>
        </is>
      </c>
      <c r="F12" s="84" t="inlineStr">
        <is>
          <t>F1</t>
        </is>
      </c>
      <c r="G12" s="84" t="inlineStr">
        <is>
          <t>Média</t>
        </is>
      </c>
      <c r="H12" s="84" t="inlineStr">
        <is>
          <t>Planejada</t>
        </is>
      </c>
      <c r="I12" s="84" t="inlineStr">
        <is>
          <t>T-016</t>
        </is>
      </c>
      <c r="J12" s="84" t="inlineStr">
        <is>
          <t>Não</t>
        </is>
      </c>
      <c r="K12" s="84" t="inlineStr">
        <is>
          <t>Não</t>
        </is>
      </c>
      <c r="L12" s="84" t="n"/>
      <c r="O12" s="53" t="inlineStr">
        <is>
          <t>tui.verifier</t>
        </is>
      </c>
      <c r="P12" s="53" t="inlineStr">
        <is>
          <t>kodoo-core</t>
        </is>
      </c>
      <c r="Q12" s="53" t="inlineStr">
        <is>
          <t>foundation / infrastructure</t>
        </is>
      </c>
      <c r="R12" s="53" t="inlineStr">
        <is>
          <t>https://github.com/bootstrapprx/kodoo/tree/main/crates/kodoo-core</t>
        </is>
      </c>
      <c r="S12" s="53" t="inlineStr">
        <is>
          <t>Conceptual mapping; confirm exact crate</t>
        </is>
      </c>
    </row>
    <row r="13" ht="15" customHeight="1" s="50">
      <c r="A13" s="84" t="inlineStr">
        <is>
          <t>FN-009</t>
        </is>
      </c>
      <c r="B13" s="84" t="inlineStr">
        <is>
          <t>Fundação e Infraestrutura</t>
        </is>
      </c>
      <c r="C13" s="89" t="inlineStr">
        <is>
          <t>db.seed_demo</t>
        </is>
      </c>
      <c r="D13" s="84" t="inlineStr">
        <is>
          <t>Infra</t>
        </is>
      </c>
      <c r="E13" s="84" t="inlineStr">
        <is>
          <t>Dados de demonstração no banco</t>
        </is>
      </c>
      <c r="F13" s="84" t="inlineStr">
        <is>
          <t>F1</t>
        </is>
      </c>
      <c r="G13" s="84" t="inlineStr">
        <is>
          <t>Média</t>
        </is>
      </c>
      <c r="H13" s="84" t="inlineStr">
        <is>
          <t>Planejada</t>
        </is>
      </c>
      <c r="I13" s="84" t="n"/>
      <c r="J13" s="84" t="inlineStr">
        <is>
          <t>Não</t>
        </is>
      </c>
      <c r="K13" s="84" t="inlineStr">
        <is>
          <t>Não</t>
        </is>
      </c>
      <c r="L13" s="84" t="n"/>
      <c r="O13" s="53" t="inlineStr">
        <is>
          <t>db.seed_demo</t>
        </is>
      </c>
      <c r="P13" s="53" t="inlineStr">
        <is>
          <t>kodoo-core</t>
        </is>
      </c>
      <c r="Q13" s="53" t="inlineStr">
        <is>
          <t>foundation / infrastructure</t>
        </is>
      </c>
      <c r="R13" s="53" t="inlineStr">
        <is>
          <t>https://github.com/bootstrapprx/kodoo/tree/main/crates/kodoo-core</t>
        </is>
      </c>
      <c r="S13" s="53" t="inlineStr">
        <is>
          <t>Conceptual mapping; confirm exact crate</t>
        </is>
      </c>
    </row>
    <row r="14" ht="15" customHeight="1" s="50">
      <c r="A14" s="84" t="inlineStr">
        <is>
          <t>FN-010</t>
        </is>
      </c>
      <c r="B14" s="84" t="inlineStr">
        <is>
          <t>Fundação e Infraestrutura</t>
        </is>
      </c>
      <c r="C14" s="89" t="inlineStr">
        <is>
          <t>ui.i18n_carregar</t>
        </is>
      </c>
      <c r="D14" s="84" t="inlineStr">
        <is>
          <t>Infra</t>
        </is>
      </c>
      <c r="E14" s="84" t="inlineStr">
        <is>
          <t>Carregar traduções (pt-BR e en)</t>
        </is>
      </c>
      <c r="F14" s="84" t="inlineStr">
        <is>
          <t>F2</t>
        </is>
      </c>
      <c r="G14" s="84" t="inlineStr">
        <is>
          <t>Média</t>
        </is>
      </c>
      <c r="H14" s="84" t="inlineStr">
        <is>
          <t>Planejada</t>
        </is>
      </c>
      <c r="I14" s="84" t="inlineStr">
        <is>
          <t>T-009</t>
        </is>
      </c>
      <c r="J14" s="84" t="inlineStr">
        <is>
          <t>Não</t>
        </is>
      </c>
      <c r="K14" s="84" t="inlineStr">
        <is>
          <t>Não</t>
        </is>
      </c>
      <c r="L14" s="84" t="n"/>
      <c r="O14" s="53" t="inlineStr">
        <is>
          <t>ui.i18n_carregar</t>
        </is>
      </c>
      <c r="P14" s="53" t="inlineStr">
        <is>
          <t>kodoo-core</t>
        </is>
      </c>
      <c r="Q14" s="53" t="inlineStr">
        <is>
          <t>foundation / infrastructure</t>
        </is>
      </c>
      <c r="R14" s="53" t="inlineStr">
        <is>
          <t>https://github.com/bootstrapprx/kodoo/tree/main/crates/kodoo-core</t>
        </is>
      </c>
      <c r="S14" s="53" t="inlineStr">
        <is>
          <t>Conceptual mapping; confirm exact crate</t>
        </is>
      </c>
    </row>
    <row r="15" ht="15" customHeight="1" s="50">
      <c r="A15" s="84" t="inlineStr">
        <is>
          <t>FN-011</t>
        </is>
      </c>
      <c r="B15" s="84" t="inlineStr">
        <is>
          <t>Fundação e Infraestrutura</t>
        </is>
      </c>
      <c r="C15" s="89" t="inlineStr">
        <is>
          <t>infra.provisionar_organizacao</t>
        </is>
      </c>
      <c r="D15" s="84" t="inlineStr">
        <is>
          <t>Infra</t>
        </is>
      </c>
      <c r="E15" s="84" t="inlineStr">
        <is>
          <t>Provisionar organização (multi-tenant)</t>
        </is>
      </c>
      <c r="F15" s="84" t="inlineStr">
        <is>
          <t>F6</t>
        </is>
      </c>
      <c r="G15" s="84" t="inlineStr">
        <is>
          <t>Baixa</t>
        </is>
      </c>
      <c r="H15" s="84" t="inlineStr">
        <is>
          <t>Planejada</t>
        </is>
      </c>
      <c r="I15" s="84" t="n"/>
      <c r="J15" s="84" t="inlineStr">
        <is>
          <t>Não</t>
        </is>
      </c>
      <c r="K15" s="84" t="inlineStr">
        <is>
          <t>Não</t>
        </is>
      </c>
      <c r="L15" s="84" t="n"/>
      <c r="O15" s="53" t="inlineStr">
        <is>
          <t>infra.provisionar_organization</t>
        </is>
      </c>
      <c r="P15" s="53" t="inlineStr">
        <is>
          <t>kodoo-core</t>
        </is>
      </c>
      <c r="Q15" s="53" t="inlineStr">
        <is>
          <t>foundation / infrastructure</t>
        </is>
      </c>
      <c r="R15" s="53" t="inlineStr">
        <is>
          <t>https://github.com/bootstrapprx/kodoo/tree/main/crates/kodoo-core</t>
        </is>
      </c>
      <c r="S15" s="53" t="inlineStr">
        <is>
          <t>Conceptual mapping; confirm exact crate</t>
        </is>
      </c>
    </row>
    <row r="16" ht="15" customHeight="1" s="50">
      <c r="A16" s="84" t="inlineStr">
        <is>
          <t>FN-012</t>
        </is>
      </c>
      <c r="B16" s="84" t="inlineStr">
        <is>
          <t>Fundação e Infraestrutura</t>
        </is>
      </c>
      <c r="C16" s="89" t="inlineStr">
        <is>
          <t>infra.backup_restaurar</t>
        </is>
      </c>
      <c r="D16" s="84" t="inlineStr">
        <is>
          <t>Infra</t>
        </is>
      </c>
      <c r="E16" s="84" t="inlineStr">
        <is>
          <t>Backup e restauração</t>
        </is>
      </c>
      <c r="F16" s="84" t="inlineStr">
        <is>
          <t>F6</t>
        </is>
      </c>
      <c r="G16" s="84" t="inlineStr">
        <is>
          <t>Média</t>
        </is>
      </c>
      <c r="H16" s="84" t="inlineStr">
        <is>
          <t>Planejada</t>
        </is>
      </c>
      <c r="I16" s="84" t="inlineStr">
        <is>
          <t>T-030</t>
        </is>
      </c>
      <c r="J16" s="84" t="inlineStr">
        <is>
          <t>Não</t>
        </is>
      </c>
      <c r="K16" s="84" t="inlineStr">
        <is>
          <t>Não</t>
        </is>
      </c>
      <c r="L16" s="84" t="n"/>
      <c r="O16" s="53" t="inlineStr">
        <is>
          <t>infra.backup_restaurar</t>
        </is>
      </c>
      <c r="P16" s="53" t="inlineStr">
        <is>
          <t>kodoo-core</t>
        </is>
      </c>
      <c r="Q16" s="53" t="inlineStr">
        <is>
          <t>foundation / infrastructure</t>
        </is>
      </c>
      <c r="R16" s="53" t="inlineStr">
        <is>
          <t>https://github.com/bootstrapprx/kodoo/tree/main/crates/kodoo-core</t>
        </is>
      </c>
      <c r="S16" s="53" t="inlineStr">
        <is>
          <t>Conceptual mapping; confirm exact crate</t>
        </is>
      </c>
    </row>
    <row r="17" ht="15" customHeight="1" s="50">
      <c r="A17" s="84" t="inlineStr">
        <is>
          <t>FN-013</t>
        </is>
      </c>
      <c r="B17" s="84" t="inlineStr">
        <is>
          <t>Administração e Segurança</t>
        </is>
      </c>
      <c r="C17" s="89" t="inlineStr">
        <is>
          <t>auth.autenticar</t>
        </is>
      </c>
      <c r="D17" s="84" t="inlineStr">
        <is>
          <t>Segurança</t>
        </is>
      </c>
      <c r="E17" s="84" t="inlineStr">
        <is>
          <t>Login e emissão de sessão</t>
        </is>
      </c>
      <c r="F17" s="84" t="inlineStr">
        <is>
          <t>F0</t>
        </is>
      </c>
      <c r="G17" s="84" t="inlineStr">
        <is>
          <t>Alta</t>
        </is>
      </c>
      <c r="H17" s="84" t="inlineStr">
        <is>
          <t>Planejada</t>
        </is>
      </c>
      <c r="I17" s="84" t="inlineStr">
        <is>
          <t>T-001</t>
        </is>
      </c>
      <c r="J17" s="84" t="inlineStr">
        <is>
          <t>Não</t>
        </is>
      </c>
      <c r="K17" s="84" t="inlineStr">
        <is>
          <t>Não</t>
        </is>
      </c>
      <c r="L17" s="84" t="n"/>
      <c r="O17" s="53" t="inlineStr">
        <is>
          <t>auth.authenticate</t>
        </is>
      </c>
      <c r="P17" s="53" t="inlineStr">
        <is>
          <t>kodoo-core</t>
        </is>
      </c>
      <c r="Q17" s="53" t="inlineStr">
        <is>
          <t>identity / authorization (verify ownership)</t>
        </is>
      </c>
      <c r="R17" s="53" t="inlineStr">
        <is>
          <t>https://github.com/bootstrapprx/kodoo/tree/main/crates/kodoo-core</t>
        </is>
      </c>
      <c r="S17" s="53" t="inlineStr">
        <is>
          <t>Conceptual mapping; confirm exact crate</t>
        </is>
      </c>
    </row>
    <row r="18" ht="15" customHeight="1" s="50">
      <c r="A18" s="84" t="inlineStr">
        <is>
          <t>FN-014</t>
        </is>
      </c>
      <c r="B18" s="84" t="inlineStr">
        <is>
          <t>Administração e Segurança</t>
        </is>
      </c>
      <c r="C18" s="89" t="inlineStr">
        <is>
          <t>auth.autorizar</t>
        </is>
      </c>
      <c r="D18" s="84" t="inlineStr">
        <is>
          <t>Segurança</t>
        </is>
      </c>
      <c r="E18" s="84" t="inlineStr">
        <is>
          <t>Checagem de permissão por tela e ação</t>
        </is>
      </c>
      <c r="F18" s="84" t="inlineStr">
        <is>
          <t>F1</t>
        </is>
      </c>
      <c r="G18" s="84" t="inlineStr">
        <is>
          <t>Alta</t>
        </is>
      </c>
      <c r="H18" s="84" t="inlineStr">
        <is>
          <t>Planejada</t>
        </is>
      </c>
      <c r="I18" s="84" t="inlineStr">
        <is>
          <t>T-002, T-005</t>
        </is>
      </c>
      <c r="J18" s="84" t="inlineStr">
        <is>
          <t>Não</t>
        </is>
      </c>
      <c r="K18" s="84" t="inlineStr">
        <is>
          <t>Não</t>
        </is>
      </c>
      <c r="L18" s="84" t="n"/>
      <c r="O18" s="53" t="inlineStr">
        <is>
          <t>auth.authorize</t>
        </is>
      </c>
      <c r="P18" s="53" t="inlineStr">
        <is>
          <t>kodoo-core</t>
        </is>
      </c>
      <c r="Q18" s="53" t="inlineStr">
        <is>
          <t>identity / authorization (verify ownership)</t>
        </is>
      </c>
      <c r="R18" s="53" t="inlineStr">
        <is>
          <t>https://github.com/bootstrapprx/kodoo/tree/main/crates/kodoo-core</t>
        </is>
      </c>
      <c r="S18" s="53" t="inlineStr">
        <is>
          <t>Conceptual mapping; confirm exact crate</t>
        </is>
      </c>
    </row>
    <row r="19" ht="15" customHeight="1" s="50">
      <c r="A19" s="84" t="inlineStr">
        <is>
          <t>FN-015</t>
        </is>
      </c>
      <c r="B19" s="84" t="inlineStr">
        <is>
          <t>Administração e Segurança</t>
        </is>
      </c>
      <c r="C19" s="89" t="inlineStr">
        <is>
          <t>auth.renovar_sessao</t>
        </is>
      </c>
      <c r="D19" s="84" t="inlineStr">
        <is>
          <t>Segurança</t>
        </is>
      </c>
      <c r="E19" s="84" t="inlineStr">
        <is>
          <t>Renovar e encerrar sessão</t>
        </is>
      </c>
      <c r="F19" s="84" t="inlineStr">
        <is>
          <t>F2</t>
        </is>
      </c>
      <c r="G19" s="84" t="inlineStr">
        <is>
          <t>Média</t>
        </is>
      </c>
      <c r="H19" s="84" t="inlineStr">
        <is>
          <t>Planejada</t>
        </is>
      </c>
      <c r="I19" s="84" t="inlineStr">
        <is>
          <t>T-026</t>
        </is>
      </c>
      <c r="J19" s="84" t="inlineStr">
        <is>
          <t>Não</t>
        </is>
      </c>
      <c r="K19" s="84" t="inlineStr">
        <is>
          <t>Não</t>
        </is>
      </c>
      <c r="L19" s="84" t="n"/>
      <c r="O19" s="53" t="inlineStr">
        <is>
          <t>auth.renovar_session</t>
        </is>
      </c>
      <c r="P19" s="53" t="inlineStr">
        <is>
          <t>kodoo-core</t>
        </is>
      </c>
      <c r="Q19" s="53" t="inlineStr">
        <is>
          <t>identity / authorization (verify ownership)</t>
        </is>
      </c>
      <c r="R19" s="53" t="inlineStr">
        <is>
          <t>https://github.com/bootstrapprx/kodoo/tree/main/crates/kodoo-core</t>
        </is>
      </c>
      <c r="S19" s="53" t="inlineStr">
        <is>
          <t>Conceptual mapping; confirm exact crate</t>
        </is>
      </c>
    </row>
    <row r="20" ht="15" customHeight="1" s="50">
      <c r="A20" s="84" t="inlineStr">
        <is>
          <t>FN-016</t>
        </is>
      </c>
      <c r="B20" s="84" t="inlineStr">
        <is>
          <t>Administração e Segurança</t>
        </is>
      </c>
      <c r="C20" s="89" t="inlineStr">
        <is>
          <t>auth.mfa</t>
        </is>
      </c>
      <c r="D20" s="84" t="inlineStr">
        <is>
          <t>Segurança</t>
        </is>
      </c>
      <c r="E20" s="84" t="inlineStr">
        <is>
          <t>Segundo fator de autenticação</t>
        </is>
      </c>
      <c r="F20" s="84" t="inlineStr">
        <is>
          <t>F5</t>
        </is>
      </c>
      <c r="G20" s="84" t="inlineStr">
        <is>
          <t>Média</t>
        </is>
      </c>
      <c r="H20" s="84" t="inlineStr">
        <is>
          <t>Planejada</t>
        </is>
      </c>
      <c r="I20" s="84" t="inlineStr">
        <is>
          <t>T-027</t>
        </is>
      </c>
      <c r="J20" s="84" t="inlineStr">
        <is>
          <t>Não</t>
        </is>
      </c>
      <c r="K20" s="84" t="inlineStr">
        <is>
          <t>Não</t>
        </is>
      </c>
      <c r="L20" s="84" t="n"/>
      <c r="O20" s="53" t="inlineStr">
        <is>
          <t>auth.mfa</t>
        </is>
      </c>
      <c r="P20" s="53" t="inlineStr">
        <is>
          <t>kodoo-core</t>
        </is>
      </c>
      <c r="Q20" s="53" t="inlineStr">
        <is>
          <t>identity / authorization (verify ownership)</t>
        </is>
      </c>
      <c r="R20" s="53" t="inlineStr">
        <is>
          <t>https://github.com/bootstrapprx/kodoo/tree/main/crates/kodoo-core</t>
        </is>
      </c>
      <c r="S20" s="53" t="inlineStr">
        <is>
          <t>Conceptual mapping; confirm exact crate</t>
        </is>
      </c>
    </row>
    <row r="21" ht="15" customHeight="1" s="50">
      <c r="A21" s="84" t="inlineStr">
        <is>
          <t>FN-017</t>
        </is>
      </c>
      <c r="B21" s="84" t="inlineStr">
        <is>
          <t>Administração e Segurança</t>
        </is>
      </c>
      <c r="C21" s="89" t="inlineStr">
        <is>
          <t>auth.recuperar_senha</t>
        </is>
      </c>
      <c r="D21" s="84" t="inlineStr">
        <is>
          <t>Segurança</t>
        </is>
      </c>
      <c r="E21" s="84" t="inlineStr">
        <is>
          <t>Recuperação de senha</t>
        </is>
      </c>
      <c r="F21" s="84" t="inlineStr">
        <is>
          <t>F5</t>
        </is>
      </c>
      <c r="G21" s="84" t="inlineStr">
        <is>
          <t>Média</t>
        </is>
      </c>
      <c r="H21" s="84" t="inlineStr">
        <is>
          <t>Planejada</t>
        </is>
      </c>
      <c r="I21" s="84" t="inlineStr">
        <is>
          <t>T-013</t>
        </is>
      </c>
      <c r="J21" s="84" t="inlineStr">
        <is>
          <t>Não</t>
        </is>
      </c>
      <c r="K21" s="84" t="inlineStr">
        <is>
          <t>Não</t>
        </is>
      </c>
      <c r="L21" s="84" t="n"/>
      <c r="O21" s="53" t="inlineStr">
        <is>
          <t>auth.recuperar_senha</t>
        </is>
      </c>
      <c r="P21" s="53" t="inlineStr">
        <is>
          <t>kodoo-core</t>
        </is>
      </c>
      <c r="Q21" s="53" t="inlineStr">
        <is>
          <t>identity / authorization (verify ownership)</t>
        </is>
      </c>
      <c r="R21" s="53" t="inlineStr">
        <is>
          <t>https://github.com/bootstrapprx/kodoo/tree/main/crates/kodoo-core</t>
        </is>
      </c>
      <c r="S21" s="53" t="inlineStr">
        <is>
          <t>Conceptual mapping; confirm exact crate</t>
        </is>
      </c>
    </row>
    <row r="22" ht="15" customHeight="1" s="50">
      <c r="A22" s="84" t="inlineStr">
        <is>
          <t>FN-018</t>
        </is>
      </c>
      <c r="B22" s="84" t="inlineStr">
        <is>
          <t>Administração e Segurança</t>
        </is>
      </c>
      <c r="C22" s="89" t="inlineStr">
        <is>
          <t>admin.usuario.gerir</t>
        </is>
      </c>
      <c r="D22" s="84" t="inlineStr">
        <is>
          <t>Comando</t>
        </is>
      </c>
      <c r="E22" s="84" t="inlineStr">
        <is>
          <t>Criar, editar e desativar usuário</t>
        </is>
      </c>
      <c r="F22" s="84" t="inlineStr">
        <is>
          <t>F5</t>
        </is>
      </c>
      <c r="G22" s="84" t="inlineStr">
        <is>
          <t>Média</t>
        </is>
      </c>
      <c r="H22" s="84" t="inlineStr">
        <is>
          <t>Planejada</t>
        </is>
      </c>
      <c r="I22" s="84" t="inlineStr">
        <is>
          <t>T-021, T-022</t>
        </is>
      </c>
      <c r="J22" s="84" t="inlineStr">
        <is>
          <t>Não</t>
        </is>
      </c>
      <c r="K22" s="84" t="inlineStr">
        <is>
          <t>Não</t>
        </is>
      </c>
      <c r="L22" s="84" t="n"/>
      <c r="O22" s="53" t="inlineStr">
        <is>
          <t>admin.user.manage</t>
        </is>
      </c>
      <c r="P22" s="53" t="inlineStr">
        <is>
          <t>kodoo-core</t>
        </is>
      </c>
      <c r="Q22" s="53" t="inlineStr">
        <is>
          <t>identity / authorization (verify ownership)</t>
        </is>
      </c>
      <c r="R22" s="53" t="inlineStr">
        <is>
          <t>https://github.com/bootstrapprx/kodoo/tree/main/crates/kodoo-core</t>
        </is>
      </c>
      <c r="S22" s="53" t="inlineStr">
        <is>
          <t>Conceptual mapping; confirm exact crate</t>
        </is>
      </c>
    </row>
    <row r="23" ht="15" customHeight="1" s="50">
      <c r="A23" s="84" t="inlineStr">
        <is>
          <t>FN-019</t>
        </is>
      </c>
      <c r="B23" s="84" t="inlineStr">
        <is>
          <t>Administração e Segurança</t>
        </is>
      </c>
      <c r="C23" s="89" t="inlineStr">
        <is>
          <t>admin.papel.gerir</t>
        </is>
      </c>
      <c r="D23" s="84" t="inlineStr">
        <is>
          <t>Comando</t>
        </is>
      </c>
      <c r="E23" s="84" t="inlineStr">
        <is>
          <t>Papéis e permissões</t>
        </is>
      </c>
      <c r="F23" s="84" t="inlineStr">
        <is>
          <t>F5</t>
        </is>
      </c>
      <c r="G23" s="84" t="inlineStr">
        <is>
          <t>Média</t>
        </is>
      </c>
      <c r="H23" s="84" t="inlineStr">
        <is>
          <t>Planejada</t>
        </is>
      </c>
      <c r="I23" s="84" t="inlineStr">
        <is>
          <t>T-023, T-024, T-025</t>
        </is>
      </c>
      <c r="J23" s="84" t="inlineStr">
        <is>
          <t>Não</t>
        </is>
      </c>
      <c r="K23" s="84" t="inlineStr">
        <is>
          <t>Não</t>
        </is>
      </c>
      <c r="L23" s="84" t="n"/>
      <c r="O23" s="53" t="inlineStr">
        <is>
          <t>admin.role.manage</t>
        </is>
      </c>
      <c r="P23" s="53" t="inlineStr">
        <is>
          <t>kodoo-core</t>
        </is>
      </c>
      <c r="Q23" s="53" t="inlineStr">
        <is>
          <t>identity / authorization (verify ownership)</t>
        </is>
      </c>
      <c r="R23" s="53" t="inlineStr">
        <is>
          <t>https://github.com/bootstrapprx/kodoo/tree/main/crates/kodoo-core</t>
        </is>
      </c>
      <c r="S23" s="53" t="inlineStr">
        <is>
          <t>Conceptual mapping; confirm exact crate</t>
        </is>
      </c>
    </row>
    <row r="24" ht="15" customHeight="1" s="50">
      <c r="A24" s="84" t="inlineStr">
        <is>
          <t>FN-020</t>
        </is>
      </c>
      <c r="B24" s="84" t="inlineStr">
        <is>
          <t>Administração e Segurança</t>
        </is>
      </c>
      <c r="C24" s="89" t="inlineStr">
        <is>
          <t>admin.organizacao.gerir</t>
        </is>
      </c>
      <c r="D24" s="84" t="inlineStr">
        <is>
          <t>Comando</t>
        </is>
      </c>
      <c r="E24" s="84" t="inlineStr">
        <is>
          <t>Organização ou empresa</t>
        </is>
      </c>
      <c r="F24" s="84" t="inlineStr">
        <is>
          <t>F2</t>
        </is>
      </c>
      <c r="G24" s="84" t="inlineStr">
        <is>
          <t>Alta</t>
        </is>
      </c>
      <c r="H24" s="84" t="inlineStr">
        <is>
          <t>Planejada</t>
        </is>
      </c>
      <c r="I24" s="84" t="inlineStr">
        <is>
          <t>T-007, T-017, T-018</t>
        </is>
      </c>
      <c r="J24" s="84" t="inlineStr">
        <is>
          <t>Não</t>
        </is>
      </c>
      <c r="K24" s="84" t="inlineStr">
        <is>
          <t>Não</t>
        </is>
      </c>
      <c r="L24" s="84" t="n"/>
      <c r="O24" s="53" t="inlineStr">
        <is>
          <t>admin.organization.manage</t>
        </is>
      </c>
      <c r="P24" s="53" t="inlineStr">
        <is>
          <t>kodoo-core</t>
        </is>
      </c>
      <c r="Q24" s="53" t="inlineStr">
        <is>
          <t>identity / authorization (verify ownership)</t>
        </is>
      </c>
      <c r="R24" s="53" t="inlineStr">
        <is>
          <t>https://github.com/bootstrapprx/kodoo/tree/main/crates/kodoo-core</t>
        </is>
      </c>
      <c r="S24" s="53" t="inlineStr">
        <is>
          <t>Conceptual mapping; confirm exact crate</t>
        </is>
      </c>
    </row>
    <row r="25" ht="15" customHeight="1" s="50">
      <c r="A25" s="84" t="inlineStr">
        <is>
          <t>FN-021</t>
        </is>
      </c>
      <c r="B25" s="84" t="inlineStr">
        <is>
          <t>Administração e Segurança</t>
        </is>
      </c>
      <c r="C25" s="89" t="inlineStr">
        <is>
          <t>admin.parametros.salvar</t>
        </is>
      </c>
      <c r="D25" s="84" t="inlineStr">
        <is>
          <t>Comando</t>
        </is>
      </c>
      <c r="E25" s="84" t="inlineStr">
        <is>
          <t>Parâmetros gerais</t>
        </is>
      </c>
      <c r="F25" s="84" t="inlineStr">
        <is>
          <t>F2</t>
        </is>
      </c>
      <c r="G25" s="84" t="inlineStr">
        <is>
          <t>Média</t>
        </is>
      </c>
      <c r="H25" s="84" t="inlineStr">
        <is>
          <t>Planejada</t>
        </is>
      </c>
      <c r="I25" s="84" t="inlineStr">
        <is>
          <t>T-019</t>
        </is>
      </c>
      <c r="J25" s="84" t="inlineStr">
        <is>
          <t>Não</t>
        </is>
      </c>
      <c r="K25" s="84" t="inlineStr">
        <is>
          <t>Não</t>
        </is>
      </c>
      <c r="L25" s="84" t="n"/>
      <c r="O25" s="53" t="inlineStr">
        <is>
          <t>admin.settings.save</t>
        </is>
      </c>
      <c r="P25" s="53" t="inlineStr">
        <is>
          <t>kodoo-core</t>
        </is>
      </c>
      <c r="Q25" s="53" t="inlineStr">
        <is>
          <t>identity / authorization (verify ownership)</t>
        </is>
      </c>
      <c r="R25" s="53" t="inlineStr">
        <is>
          <t>https://github.com/bootstrapprx/kodoo/tree/main/crates/kodoo-core</t>
        </is>
      </c>
      <c r="S25" s="53" t="inlineStr">
        <is>
          <t>Conceptual mapping; confirm exact crate</t>
        </is>
      </c>
    </row>
    <row r="26" ht="15" customHeight="1" s="50">
      <c r="A26" s="84" t="inlineStr">
        <is>
          <t>FN-022</t>
        </is>
      </c>
      <c r="B26" s="84" t="inlineStr">
        <is>
          <t>Administração e Segurança</t>
        </is>
      </c>
      <c r="C26" s="89" t="inlineStr">
        <is>
          <t>admin.sequencia.proximo</t>
        </is>
      </c>
      <c r="D26" s="84" t="inlineStr">
        <is>
          <t>Comando</t>
        </is>
      </c>
      <c r="E26" s="84" t="inlineStr">
        <is>
          <t>Numeração sequencial</t>
        </is>
      </c>
      <c r="F26" s="84" t="inlineStr">
        <is>
          <t>F2</t>
        </is>
      </c>
      <c r="G26" s="84" t="inlineStr">
        <is>
          <t>Média</t>
        </is>
      </c>
      <c r="H26" s="84" t="inlineStr">
        <is>
          <t>Planejada</t>
        </is>
      </c>
      <c r="I26" s="84" t="inlineStr">
        <is>
          <t>T-020</t>
        </is>
      </c>
      <c r="J26" s="84" t="inlineStr">
        <is>
          <t>Não</t>
        </is>
      </c>
      <c r="K26" s="84" t="inlineStr">
        <is>
          <t>Não</t>
        </is>
      </c>
      <c r="L26" s="84" t="n"/>
      <c r="O26" s="53" t="inlineStr">
        <is>
          <t>admin.sequencia.next</t>
        </is>
      </c>
      <c r="P26" s="53" t="inlineStr">
        <is>
          <t>kodoo-core</t>
        </is>
      </c>
      <c r="Q26" s="53" t="inlineStr">
        <is>
          <t>identity / authorization (verify ownership)</t>
        </is>
      </c>
      <c r="R26" s="53" t="inlineStr">
        <is>
          <t>https://github.com/bootstrapprx/kodoo/tree/main/crates/kodoo-core</t>
        </is>
      </c>
      <c r="S26" s="53" t="inlineStr">
        <is>
          <t>Conceptual mapping; confirm exact crate</t>
        </is>
      </c>
    </row>
    <row r="27" ht="15" customHeight="1" s="50">
      <c r="A27" s="84" t="inlineStr">
        <is>
          <t>FN-023</t>
        </is>
      </c>
      <c r="B27" s="84" t="inlineStr">
        <is>
          <t>Plano de Contas</t>
        </is>
      </c>
      <c r="C27" s="89" t="inlineStr">
        <is>
          <t>contabil.invariante.hierarquia_sem_ciclos</t>
        </is>
      </c>
      <c r="D27" s="84" t="inlineStr">
        <is>
          <t>Invariante</t>
        </is>
      </c>
      <c r="E27" s="84" t="inlineStr">
        <is>
          <t>Plano de contas sem ciclos</t>
        </is>
      </c>
      <c r="F27" s="84" t="inlineStr">
        <is>
          <t>F1</t>
        </is>
      </c>
      <c r="G27" s="84" t="inlineStr">
        <is>
          <t>Alta</t>
        </is>
      </c>
      <c r="H27" s="84" t="inlineStr">
        <is>
          <t>Planejada</t>
        </is>
      </c>
      <c r="I27" s="84" t="inlineStr">
        <is>
          <t>T-032</t>
        </is>
      </c>
      <c r="J27" s="84" t="inlineStr">
        <is>
          <t>Não</t>
        </is>
      </c>
      <c r="K27" s="84" t="inlineStr">
        <is>
          <t>Não</t>
        </is>
      </c>
      <c r="L27" s="84" t="n"/>
      <c r="O27" s="53" t="inlineStr">
        <is>
          <t>contabil.invariant.hierarquia_sem_ciclos</t>
        </is>
      </c>
      <c r="P27" s="53" t="inlineStr">
        <is>
          <t>accounting</t>
        </is>
      </c>
      <c r="Q27" s="53" t="inlineStr">
        <is>
          <t>chart</t>
        </is>
      </c>
      <c r="R27" s="53" t="inlineStr">
        <is>
          <t>https://github.com/bootstrapprx/kodoo/tree/main/modules/accounting</t>
        </is>
      </c>
      <c r="S27" s="53" t="inlineStr">
        <is>
          <t>Likely mapping; confirm exact function</t>
        </is>
      </c>
    </row>
    <row r="28" ht="15" customHeight="1" s="50">
      <c r="A28" s="84" t="inlineStr">
        <is>
          <t>FN-024</t>
        </is>
      </c>
      <c r="B28" s="84" t="inlineStr">
        <is>
          <t>Plano de Contas</t>
        </is>
      </c>
      <c r="C28" s="89" t="inlineStr">
        <is>
          <t>contabil.invariante.codigo_unico</t>
        </is>
      </c>
      <c r="D28" s="84" t="inlineStr">
        <is>
          <t>Invariante</t>
        </is>
      </c>
      <c r="E28" s="84" t="inlineStr">
        <is>
          <t>Código de conta único</t>
        </is>
      </c>
      <c r="F28" s="84" t="inlineStr">
        <is>
          <t>F1</t>
        </is>
      </c>
      <c r="G28" s="84" t="inlineStr">
        <is>
          <t>Alta</t>
        </is>
      </c>
      <c r="H28" s="84" t="inlineStr">
        <is>
          <t>Planejada</t>
        </is>
      </c>
      <c r="I28" s="84" t="inlineStr">
        <is>
          <t>T-032</t>
        </is>
      </c>
      <c r="J28" s="84" t="inlineStr">
        <is>
          <t>Não</t>
        </is>
      </c>
      <c r="K28" s="84" t="inlineStr">
        <is>
          <t>Não</t>
        </is>
      </c>
      <c r="L28" s="84" t="n"/>
      <c r="O28" s="53" t="inlineStr">
        <is>
          <t>contabil.invariant.codigo_unico</t>
        </is>
      </c>
      <c r="P28" s="53" t="inlineStr">
        <is>
          <t>accounting</t>
        </is>
      </c>
      <c r="Q28" s="53" t="inlineStr">
        <is>
          <t>chart</t>
        </is>
      </c>
      <c r="R28" s="53" t="inlineStr">
        <is>
          <t>https://github.com/bootstrapprx/kodoo/tree/main/modules/accounting</t>
        </is>
      </c>
      <c r="S28" s="53" t="inlineStr">
        <is>
          <t>Likely mapping; confirm exact function</t>
        </is>
      </c>
    </row>
    <row r="29" ht="15" customHeight="1" s="50">
      <c r="A29" s="84" t="inlineStr">
        <is>
          <t>FN-025</t>
        </is>
      </c>
      <c r="B29" s="84" t="inlineStr">
        <is>
          <t>Plano de Contas</t>
        </is>
      </c>
      <c r="C29" s="89" t="inlineStr">
        <is>
          <t>contabil.invariante.conta_analitica</t>
        </is>
      </c>
      <c r="D29" s="84" t="inlineStr">
        <is>
          <t>Invariante</t>
        </is>
      </c>
      <c r="E29" s="84" t="inlineStr">
        <is>
          <t>Somente contas analíticas recebem lançamento</t>
        </is>
      </c>
      <c r="F29" s="84" t="inlineStr">
        <is>
          <t>F1</t>
        </is>
      </c>
      <c r="G29" s="84" t="inlineStr">
        <is>
          <t>Alta</t>
        </is>
      </c>
      <c r="H29" s="84" t="inlineStr">
        <is>
          <t>Planejada</t>
        </is>
      </c>
      <c r="I29" s="84" t="inlineStr">
        <is>
          <t>T-032</t>
        </is>
      </c>
      <c r="J29" s="84" t="inlineStr">
        <is>
          <t>Não</t>
        </is>
      </c>
      <c r="K29" s="84" t="inlineStr">
        <is>
          <t>Não</t>
        </is>
      </c>
      <c r="L29" s="84" t="n"/>
      <c r="O29" s="53" t="inlineStr">
        <is>
          <t>contabil.invariant.account_analitica</t>
        </is>
      </c>
      <c r="P29" s="53" t="inlineStr">
        <is>
          <t>accounting</t>
        </is>
      </c>
      <c r="Q29" s="53" t="inlineStr">
        <is>
          <t>chart</t>
        </is>
      </c>
      <c r="R29" s="53" t="inlineStr">
        <is>
          <t>https://github.com/bootstrapprx/kodoo/tree/main/modules/accounting</t>
        </is>
      </c>
      <c r="S29" s="53" t="inlineStr">
        <is>
          <t>Likely mapping; confirm exact function</t>
        </is>
      </c>
    </row>
    <row r="30" ht="15" customHeight="1" s="50">
      <c r="A30" s="84" t="inlineStr">
        <is>
          <t>FN-026</t>
        </is>
      </c>
      <c r="B30" s="84" t="inlineStr">
        <is>
          <t>Plano de Contas</t>
        </is>
      </c>
      <c r="C30" s="89" t="inlineStr">
        <is>
          <t>contabil.conta.arvore</t>
        </is>
      </c>
      <c r="D30" s="84" t="inlineStr">
        <is>
          <t>Consulta</t>
        </is>
      </c>
      <c r="E30" s="84" t="inlineStr">
        <is>
          <t>Árvore do plano de contas</t>
        </is>
      </c>
      <c r="F30" s="84" t="inlineStr">
        <is>
          <t>F1</t>
        </is>
      </c>
      <c r="G30" s="84" t="inlineStr">
        <is>
          <t>Alta</t>
        </is>
      </c>
      <c r="H30" s="84" t="inlineStr">
        <is>
          <t>Planejada</t>
        </is>
      </c>
      <c r="I30" s="84" t="inlineStr">
        <is>
          <t>T-031</t>
        </is>
      </c>
      <c r="J30" s="84" t="inlineStr">
        <is>
          <t>Não</t>
        </is>
      </c>
      <c r="K30" s="84" t="inlineStr">
        <is>
          <t>Não</t>
        </is>
      </c>
      <c r="L30" s="84" t="n"/>
      <c r="O30" s="53" t="inlineStr">
        <is>
          <t>contabil.account.tree</t>
        </is>
      </c>
      <c r="P30" s="53" t="inlineStr">
        <is>
          <t>accounting</t>
        </is>
      </c>
      <c r="Q30" s="53" t="inlineStr">
        <is>
          <t>chart</t>
        </is>
      </c>
      <c r="R30" s="53" t="inlineStr">
        <is>
          <t>https://github.com/bootstrapprx/kodoo/tree/main/modules/accounting</t>
        </is>
      </c>
      <c r="S30" s="53" t="inlineStr">
        <is>
          <t>Likely mapping; confirm exact function</t>
        </is>
      </c>
    </row>
    <row r="31" ht="15" customHeight="1" s="50">
      <c r="A31" s="84" t="inlineStr">
        <is>
          <t>FN-027</t>
        </is>
      </c>
      <c r="B31" s="84" t="inlineStr">
        <is>
          <t>Plano de Contas</t>
        </is>
      </c>
      <c r="C31" s="89" t="inlineStr">
        <is>
          <t>contabil.conta.criar</t>
        </is>
      </c>
      <c r="D31" s="84" t="inlineStr">
        <is>
          <t>Comando</t>
        </is>
      </c>
      <c r="E31" s="84" t="inlineStr">
        <is>
          <t>Criar conta</t>
        </is>
      </c>
      <c r="F31" s="84" t="inlineStr">
        <is>
          <t>F1</t>
        </is>
      </c>
      <c r="G31" s="84" t="inlineStr">
        <is>
          <t>Alta</t>
        </is>
      </c>
      <c r="H31" s="84" t="inlineStr">
        <is>
          <t>Planejada</t>
        </is>
      </c>
      <c r="I31" s="84" t="inlineStr">
        <is>
          <t>T-032</t>
        </is>
      </c>
      <c r="J31" s="84" t="inlineStr">
        <is>
          <t>Não</t>
        </is>
      </c>
      <c r="K31" s="84" t="inlineStr">
        <is>
          <t>Não</t>
        </is>
      </c>
      <c r="L31" s="84" t="n"/>
      <c r="O31" s="53" t="inlineStr">
        <is>
          <t>contabil.account.create</t>
        </is>
      </c>
      <c r="P31" s="53" t="inlineStr">
        <is>
          <t>accounting</t>
        </is>
      </c>
      <c r="Q31" s="53" t="inlineStr">
        <is>
          <t>chart</t>
        </is>
      </c>
      <c r="R31" s="53" t="inlineStr">
        <is>
          <t>https://github.com/bootstrapprx/kodoo/tree/main/modules/accounting</t>
        </is>
      </c>
      <c r="S31" s="53" t="inlineStr">
        <is>
          <t>Likely mapping; confirm exact function</t>
        </is>
      </c>
    </row>
    <row r="32" ht="15" customHeight="1" s="50">
      <c r="A32" s="84" t="inlineStr">
        <is>
          <t>FN-028</t>
        </is>
      </c>
      <c r="B32" s="84" t="inlineStr">
        <is>
          <t>Plano de Contas</t>
        </is>
      </c>
      <c r="C32" s="89" t="inlineStr">
        <is>
          <t>contabil.conta.editar</t>
        </is>
      </c>
      <c r="D32" s="84" t="inlineStr">
        <is>
          <t>Comando</t>
        </is>
      </c>
      <c r="E32" s="84" t="inlineStr">
        <is>
          <t>Editar conta</t>
        </is>
      </c>
      <c r="F32" s="84" t="inlineStr">
        <is>
          <t>F1</t>
        </is>
      </c>
      <c r="G32" s="84" t="inlineStr">
        <is>
          <t>Alta</t>
        </is>
      </c>
      <c r="H32" s="84" t="inlineStr">
        <is>
          <t>Planejada</t>
        </is>
      </c>
      <c r="I32" s="84" t="inlineStr">
        <is>
          <t>T-032, T-037</t>
        </is>
      </c>
      <c r="J32" s="84" t="inlineStr">
        <is>
          <t>Não</t>
        </is>
      </c>
      <c r="K32" s="84" t="inlineStr">
        <is>
          <t>Não</t>
        </is>
      </c>
      <c r="L32" s="84" t="n"/>
      <c r="O32" s="53" t="inlineStr">
        <is>
          <t>contabil.account.update</t>
        </is>
      </c>
      <c r="P32" s="53" t="inlineStr">
        <is>
          <t>accounting</t>
        </is>
      </c>
      <c r="Q32" s="53" t="inlineStr">
        <is>
          <t>chart</t>
        </is>
      </c>
      <c r="R32" s="53" t="inlineStr">
        <is>
          <t>https://github.com/bootstrapprx/kodoo/tree/main/modules/accounting</t>
        </is>
      </c>
      <c r="S32" s="53" t="inlineStr">
        <is>
          <t>Likely mapping; confirm exact function</t>
        </is>
      </c>
    </row>
    <row r="33" ht="15" customHeight="1" s="50">
      <c r="A33" s="84" t="inlineStr">
        <is>
          <t>FN-029</t>
        </is>
      </c>
      <c r="B33" s="84" t="inlineStr">
        <is>
          <t>Plano de Contas</t>
        </is>
      </c>
      <c r="C33" s="89" t="inlineStr">
        <is>
          <t>contabil.conta.mover</t>
        </is>
      </c>
      <c r="D33" s="84" t="inlineStr">
        <is>
          <t>Comando</t>
        </is>
      </c>
      <c r="E33" s="84" t="inlineStr">
        <is>
          <t>Mover conta na hierarquia</t>
        </is>
      </c>
      <c r="F33" s="84" t="inlineStr">
        <is>
          <t>F1</t>
        </is>
      </c>
      <c r="G33" s="84" t="inlineStr">
        <is>
          <t>Média</t>
        </is>
      </c>
      <c r="H33" s="84" t="inlineStr">
        <is>
          <t>Planejada</t>
        </is>
      </c>
      <c r="I33" s="84" t="inlineStr">
        <is>
          <t>T-031</t>
        </is>
      </c>
      <c r="J33" s="84" t="inlineStr">
        <is>
          <t>Não</t>
        </is>
      </c>
      <c r="K33" s="84" t="inlineStr">
        <is>
          <t>Não</t>
        </is>
      </c>
      <c r="L33" s="84" t="n"/>
      <c r="O33" s="53" t="inlineStr">
        <is>
          <t>contabil.account.move</t>
        </is>
      </c>
      <c r="P33" s="53" t="inlineStr">
        <is>
          <t>accounting</t>
        </is>
      </c>
      <c r="Q33" s="53" t="inlineStr">
        <is>
          <t>chart</t>
        </is>
      </c>
      <c r="R33" s="53" t="inlineStr">
        <is>
          <t>https://github.com/bootstrapprx/kodoo/tree/main/modules/accounting</t>
        </is>
      </c>
      <c r="S33" s="53" t="inlineStr">
        <is>
          <t>Likely mapping; confirm exact function</t>
        </is>
      </c>
    </row>
    <row r="34" ht="15" customHeight="1" s="50">
      <c r="A34" s="84" t="inlineStr">
        <is>
          <t>FN-030</t>
        </is>
      </c>
      <c r="B34" s="84" t="inlineStr">
        <is>
          <t>Plano de Contas</t>
        </is>
      </c>
      <c r="C34" s="89" t="inlineStr">
        <is>
          <t>contabil.conta.desativar</t>
        </is>
      </c>
      <c r="D34" s="84" t="inlineStr">
        <is>
          <t>Comando</t>
        </is>
      </c>
      <c r="E34" s="84" t="inlineStr">
        <is>
          <t>Desativar conta</t>
        </is>
      </c>
      <c r="F34" s="84" t="inlineStr">
        <is>
          <t>F1</t>
        </is>
      </c>
      <c r="G34" s="84" t="inlineStr">
        <is>
          <t>Média</t>
        </is>
      </c>
      <c r="H34" s="84" t="inlineStr">
        <is>
          <t>Planejada</t>
        </is>
      </c>
      <c r="I34" s="84" t="inlineStr">
        <is>
          <t>T-040</t>
        </is>
      </c>
      <c r="J34" s="84" t="inlineStr">
        <is>
          <t>Não</t>
        </is>
      </c>
      <c r="K34" s="84" t="inlineStr">
        <is>
          <t>Não</t>
        </is>
      </c>
      <c r="L34" s="84" t="n"/>
      <c r="O34" s="53" t="inlineStr">
        <is>
          <t>contabil.account.deactivate</t>
        </is>
      </c>
      <c r="P34" s="53" t="inlineStr">
        <is>
          <t>accounting</t>
        </is>
      </c>
      <c r="Q34" s="53" t="inlineStr">
        <is>
          <t>chart</t>
        </is>
      </c>
      <c r="R34" s="53" t="inlineStr">
        <is>
          <t>https://github.com/bootstrapprx/kodoo/tree/main/modules/accounting</t>
        </is>
      </c>
      <c r="S34" s="53" t="inlineStr">
        <is>
          <t>Likely mapping; confirm exact function</t>
        </is>
      </c>
    </row>
    <row r="35" ht="15" customHeight="1" s="50">
      <c r="A35" s="84" t="inlineStr">
        <is>
          <t>FN-031</t>
        </is>
      </c>
      <c r="B35" s="84" t="inlineStr">
        <is>
          <t>Plano de Contas</t>
        </is>
      </c>
      <c r="C35" s="89" t="inlineStr">
        <is>
          <t>contabil.conta.importar</t>
        </is>
      </c>
      <c r="D35" s="84" t="inlineStr">
        <is>
          <t>Importação</t>
        </is>
      </c>
      <c r="E35" s="84" t="inlineStr">
        <is>
          <t>Importar plano de contas</t>
        </is>
      </c>
      <c r="F35" s="84" t="inlineStr">
        <is>
          <t>F2</t>
        </is>
      </c>
      <c r="G35" s="84" t="inlineStr">
        <is>
          <t>Média</t>
        </is>
      </c>
      <c r="H35" s="84" t="inlineStr">
        <is>
          <t>Planejada</t>
        </is>
      </c>
      <c r="I35" s="84" t="inlineStr">
        <is>
          <t>T-035</t>
        </is>
      </c>
      <c r="J35" s="84" t="inlineStr">
        <is>
          <t>Não</t>
        </is>
      </c>
      <c r="K35" s="84" t="inlineStr">
        <is>
          <t>Não</t>
        </is>
      </c>
      <c r="L35" s="84" t="n"/>
      <c r="O35" s="53" t="inlineStr">
        <is>
          <t>contabil.account.import</t>
        </is>
      </c>
      <c r="P35" s="53" t="inlineStr">
        <is>
          <t>accounting</t>
        </is>
      </c>
      <c r="Q35" s="53" t="inlineStr">
        <is>
          <t>chart</t>
        </is>
      </c>
      <c r="R35" s="53" t="inlineStr">
        <is>
          <t>https://github.com/bootstrapprx/kodoo/tree/main/modules/accounting</t>
        </is>
      </c>
      <c r="S35" s="53" t="inlineStr">
        <is>
          <t>Likely mapping; confirm exact function</t>
        </is>
      </c>
    </row>
    <row r="36" ht="15" customHeight="1" s="50">
      <c r="A36" s="84" t="inlineStr">
        <is>
          <t>FN-032</t>
        </is>
      </c>
      <c r="B36" s="84" t="inlineStr">
        <is>
          <t>Plano de Contas</t>
        </is>
      </c>
      <c r="C36" s="89" t="inlineStr">
        <is>
          <t>contabil.conta.mapear_referencial</t>
        </is>
      </c>
      <c r="D36" s="84" t="inlineStr">
        <is>
          <t>Comando</t>
        </is>
      </c>
      <c r="E36" s="84" t="inlineStr">
        <is>
          <t>Mapear para plano referencial</t>
        </is>
      </c>
      <c r="F36" s="84" t="inlineStr">
        <is>
          <t>F3</t>
        </is>
      </c>
      <c r="G36" s="84" t="inlineStr">
        <is>
          <t>Média</t>
        </is>
      </c>
      <c r="H36" s="84" t="inlineStr">
        <is>
          <t>Planejada</t>
        </is>
      </c>
      <c r="I36" s="84" t="inlineStr">
        <is>
          <t>T-036</t>
        </is>
      </c>
      <c r="J36" s="84" t="inlineStr">
        <is>
          <t>Não</t>
        </is>
      </c>
      <c r="K36" s="84" t="inlineStr">
        <is>
          <t>Não</t>
        </is>
      </c>
      <c r="L36" s="84" t="n"/>
      <c r="O36" s="53" t="inlineStr">
        <is>
          <t>contabil.account.mapear_referencial</t>
        </is>
      </c>
      <c r="P36" s="53" t="inlineStr">
        <is>
          <t>accounting</t>
        </is>
      </c>
      <c r="Q36" s="53" t="inlineStr">
        <is>
          <t>chart</t>
        </is>
      </c>
      <c r="R36" s="53" t="inlineStr">
        <is>
          <t>https://github.com/bootstrapprx/kodoo/tree/main/modules/accounting</t>
        </is>
      </c>
      <c r="S36" s="53" t="inlineStr">
        <is>
          <t>Likely mapping; confirm exact function</t>
        </is>
      </c>
    </row>
    <row r="37" ht="15" customHeight="1" s="50">
      <c r="A37" s="84" t="inlineStr">
        <is>
          <t>FN-033</t>
        </is>
      </c>
      <c r="B37" s="84" t="inlineStr">
        <is>
          <t>Lançamentos e Diários</t>
        </is>
      </c>
      <c r="C37" s="89" t="inlineStr">
        <is>
          <t>contabil.invariante.partidas_dobradas</t>
        </is>
      </c>
      <c r="D37" s="84" t="inlineStr">
        <is>
          <t>Invariante</t>
        </is>
      </c>
      <c r="E37" s="84" t="inlineStr">
        <is>
          <t>Débitos iguais a créditos por lançamento</t>
        </is>
      </c>
      <c r="F37" s="84" t="inlineStr">
        <is>
          <t>F1</t>
        </is>
      </c>
      <c r="G37" s="84" t="inlineStr">
        <is>
          <t>Alta</t>
        </is>
      </c>
      <c r="H37" s="84" t="inlineStr">
        <is>
          <t>Planejada</t>
        </is>
      </c>
      <c r="I37" s="84" t="inlineStr">
        <is>
          <t>T-044</t>
        </is>
      </c>
      <c r="J37" s="84" t="inlineStr">
        <is>
          <t>Não</t>
        </is>
      </c>
      <c r="K37" s="84" t="inlineStr">
        <is>
          <t>Não</t>
        </is>
      </c>
      <c r="L37" s="84" t="n"/>
      <c r="O37" s="53" t="inlineStr">
        <is>
          <t>contabil.invariant.partidas_dobradas</t>
        </is>
      </c>
      <c r="P37" s="53" t="inlineStr">
        <is>
          <t>accounting</t>
        </is>
      </c>
      <c r="Q37" s="53" t="inlineStr">
        <is>
          <t>core / journal</t>
        </is>
      </c>
      <c r="R37" s="53" t="inlineStr">
        <is>
          <t>https://github.com/bootstrapprx/kodoo/tree/main/modules/accounting</t>
        </is>
      </c>
      <c r="S37" s="53" t="inlineStr">
        <is>
          <t>Likely mapping; confirm exact function</t>
        </is>
      </c>
    </row>
    <row r="38" ht="15" customHeight="1" s="50">
      <c r="A38" s="84" t="inlineStr">
        <is>
          <t>FN-034</t>
        </is>
      </c>
      <c r="B38" s="84" t="inlineStr">
        <is>
          <t>Lançamentos e Diários</t>
        </is>
      </c>
      <c r="C38" s="89" t="inlineStr">
        <is>
          <t>contabil.invariante.periodo_aberto</t>
        </is>
      </c>
      <c r="D38" s="84" t="inlineStr">
        <is>
          <t>Invariante</t>
        </is>
      </c>
      <c r="E38" s="84" t="inlineStr">
        <is>
          <t>Lançar apenas em período aberto</t>
        </is>
      </c>
      <c r="F38" s="84" t="inlineStr">
        <is>
          <t>F1</t>
        </is>
      </c>
      <c r="G38" s="84" t="inlineStr">
        <is>
          <t>Alta</t>
        </is>
      </c>
      <c r="H38" s="84" t="inlineStr">
        <is>
          <t>Planejada</t>
        </is>
      </c>
      <c r="I38" s="84" t="inlineStr">
        <is>
          <t>T-044, T-067</t>
        </is>
      </c>
      <c r="J38" s="84" t="inlineStr">
        <is>
          <t>Não</t>
        </is>
      </c>
      <c r="K38" s="84" t="inlineStr">
        <is>
          <t>Não</t>
        </is>
      </c>
      <c r="L38" s="84" t="n"/>
      <c r="O38" s="53" t="inlineStr">
        <is>
          <t>contabil.invariant.period_aberto</t>
        </is>
      </c>
      <c r="P38" s="53" t="inlineStr">
        <is>
          <t>accounting</t>
        </is>
      </c>
      <c r="Q38" s="53" t="inlineStr">
        <is>
          <t>core / journal</t>
        </is>
      </c>
      <c r="R38" s="53" t="inlineStr">
        <is>
          <t>https://github.com/bootstrapprx/kodoo/tree/main/modules/accounting</t>
        </is>
      </c>
      <c r="S38" s="53" t="inlineStr">
        <is>
          <t>Likely mapping; confirm exact function</t>
        </is>
      </c>
    </row>
    <row r="39" ht="15" customHeight="1" s="50">
      <c r="A39" s="84" t="inlineStr">
        <is>
          <t>FN-035</t>
        </is>
      </c>
      <c r="B39" s="84" t="inlineStr">
        <is>
          <t>Lançamentos e Diários</t>
        </is>
      </c>
      <c r="C39" s="89" t="inlineStr">
        <is>
          <t>contabil.invariante.imutavel_postado</t>
        </is>
      </c>
      <c r="D39" s="84" t="inlineStr">
        <is>
          <t>Invariante</t>
        </is>
      </c>
      <c r="E39" s="84" t="inlineStr">
        <is>
          <t>Lançamento postado não é alterado</t>
        </is>
      </c>
      <c r="F39" s="84" t="inlineStr">
        <is>
          <t>F1</t>
        </is>
      </c>
      <c r="G39" s="84" t="inlineStr">
        <is>
          <t>Alta</t>
        </is>
      </c>
      <c r="H39" s="84" t="inlineStr">
        <is>
          <t>Planejada</t>
        </is>
      </c>
      <c r="I39" s="84" t="inlineStr">
        <is>
          <t>T-044</t>
        </is>
      </c>
      <c r="J39" s="84" t="inlineStr">
        <is>
          <t>Não</t>
        </is>
      </c>
      <c r="K39" s="84" t="inlineStr">
        <is>
          <t>Não</t>
        </is>
      </c>
      <c r="L39" s="84" t="n"/>
      <c r="O39" s="53" t="inlineStr">
        <is>
          <t>contabil.invariant.imutavel_postado</t>
        </is>
      </c>
      <c r="P39" s="53" t="inlineStr">
        <is>
          <t>accounting</t>
        </is>
      </c>
      <c r="Q39" s="53" t="inlineStr">
        <is>
          <t>core / journal</t>
        </is>
      </c>
      <c r="R39" s="53" t="inlineStr">
        <is>
          <t>https://github.com/bootstrapprx/kodoo/tree/main/modules/accounting</t>
        </is>
      </c>
      <c r="S39" s="53" t="inlineStr">
        <is>
          <t>Likely mapping; confirm exact function</t>
        </is>
      </c>
    </row>
    <row r="40" ht="15" customHeight="1" s="50">
      <c r="A40" s="84" t="inlineStr">
        <is>
          <t>FN-036</t>
        </is>
      </c>
      <c r="B40" s="84" t="inlineStr">
        <is>
          <t>Lançamentos e Diários</t>
        </is>
      </c>
      <c r="C40" s="89" t="inlineStr">
        <is>
          <t>contabil.invariante.moeda_consistente</t>
        </is>
      </c>
      <c r="D40" s="84" t="inlineStr">
        <is>
          <t>Invariante</t>
        </is>
      </c>
      <c r="E40" s="84" t="inlineStr">
        <is>
          <t>Consistência de moeda nas partidas</t>
        </is>
      </c>
      <c r="F40" s="84" t="inlineStr">
        <is>
          <t>F2</t>
        </is>
      </c>
      <c r="G40" s="84" t="inlineStr">
        <is>
          <t>Média</t>
        </is>
      </c>
      <c r="H40" s="84" t="inlineStr">
        <is>
          <t>Planejada</t>
        </is>
      </c>
      <c r="I40" s="84" t="n"/>
      <c r="J40" s="84" t="inlineStr">
        <is>
          <t>Não</t>
        </is>
      </c>
      <c r="K40" s="84" t="inlineStr">
        <is>
          <t>Não</t>
        </is>
      </c>
      <c r="L40" s="84" t="n"/>
      <c r="O40" s="53" t="inlineStr">
        <is>
          <t>contabil.invariant.currency_consistente</t>
        </is>
      </c>
      <c r="P40" s="53" t="inlineStr">
        <is>
          <t>accounting</t>
        </is>
      </c>
      <c r="Q40" s="53" t="inlineStr">
        <is>
          <t>core / journal</t>
        </is>
      </c>
      <c r="R40" s="53" t="inlineStr">
        <is>
          <t>https://github.com/bootstrapprx/kodoo/tree/main/modules/accounting</t>
        </is>
      </c>
      <c r="S40" s="53" t="inlineStr">
        <is>
          <t>Likely mapping; confirm exact function</t>
        </is>
      </c>
    </row>
    <row r="41" ht="15" customHeight="1" s="50">
      <c r="A41" s="84" t="inlineStr">
        <is>
          <t>FN-037</t>
        </is>
      </c>
      <c r="B41" s="84" t="inlineStr">
        <is>
          <t>Lançamentos e Diários</t>
        </is>
      </c>
      <c r="C41" s="89" t="inlineStr">
        <is>
          <t>contabil.invariante.numeracao_sem_lacunas</t>
        </is>
      </c>
      <c r="D41" s="84" t="inlineStr">
        <is>
          <t>Invariante</t>
        </is>
      </c>
      <c r="E41" s="84" t="inlineStr">
        <is>
          <t>Numeração sem lacunas</t>
        </is>
      </c>
      <c r="F41" s="84" t="inlineStr">
        <is>
          <t>F2</t>
        </is>
      </c>
      <c r="G41" s="84" t="inlineStr">
        <is>
          <t>Média</t>
        </is>
      </c>
      <c r="H41" s="84" t="inlineStr">
        <is>
          <t>Planejada</t>
        </is>
      </c>
      <c r="I41" s="84" t="inlineStr">
        <is>
          <t>T-020</t>
        </is>
      </c>
      <c r="J41" s="84" t="inlineStr">
        <is>
          <t>Não</t>
        </is>
      </c>
      <c r="K41" s="84" t="inlineStr">
        <is>
          <t>Não</t>
        </is>
      </c>
      <c r="L41" s="84" t="n"/>
      <c r="O41" s="53" t="inlineStr">
        <is>
          <t>contabil.invariant.numeracao_sem_lacunas</t>
        </is>
      </c>
      <c r="P41" s="53" t="inlineStr">
        <is>
          <t>accounting</t>
        </is>
      </c>
      <c r="Q41" s="53" t="inlineStr">
        <is>
          <t>core / journal</t>
        </is>
      </c>
      <c r="R41" s="53" t="inlineStr">
        <is>
          <t>https://github.com/bootstrapprx/kodoo/tree/main/modules/accounting</t>
        </is>
      </c>
      <c r="S41" s="53" t="inlineStr">
        <is>
          <t>Likely mapping; confirm exact function</t>
        </is>
      </c>
    </row>
    <row r="42" ht="15" customHeight="1" s="50">
      <c r="A42" s="84" t="inlineStr">
        <is>
          <t>FN-038</t>
        </is>
      </c>
      <c r="B42" s="84" t="inlineStr">
        <is>
          <t>Lançamentos e Diários</t>
        </is>
      </c>
      <c r="C42" s="89" t="inlineStr">
        <is>
          <t>contabil.diario.gerir</t>
        </is>
      </c>
      <c r="D42" s="84" t="inlineStr">
        <is>
          <t>Comando</t>
        </is>
      </c>
      <c r="E42" s="84" t="inlineStr">
        <is>
          <t>Criar e editar diário</t>
        </is>
      </c>
      <c r="F42" s="84" t="inlineStr">
        <is>
          <t>F1</t>
        </is>
      </c>
      <c r="G42" s="84" t="inlineStr">
        <is>
          <t>Alta</t>
        </is>
      </c>
      <c r="H42" s="84" t="inlineStr">
        <is>
          <t>Planejada</t>
        </is>
      </c>
      <c r="I42" s="84" t="inlineStr">
        <is>
          <t>T-041, T-042</t>
        </is>
      </c>
      <c r="J42" s="84" t="inlineStr">
        <is>
          <t>Não</t>
        </is>
      </c>
      <c r="K42" s="84" t="inlineStr">
        <is>
          <t>Não</t>
        </is>
      </c>
      <c r="L42" s="84" t="n"/>
      <c r="O42" s="53" t="inlineStr">
        <is>
          <t>contabil.journal.manage</t>
        </is>
      </c>
      <c r="P42" s="53" t="inlineStr">
        <is>
          <t>accounting</t>
        </is>
      </c>
      <c r="Q42" s="53" t="inlineStr">
        <is>
          <t>core / journal</t>
        </is>
      </c>
      <c r="R42" s="53" t="inlineStr">
        <is>
          <t>https://github.com/bootstrapprx/kodoo/tree/main/modules/accounting</t>
        </is>
      </c>
      <c r="S42" s="53" t="inlineStr">
        <is>
          <t>Likely mapping; confirm exact function</t>
        </is>
      </c>
    </row>
    <row r="43" ht="15" customHeight="1" s="50">
      <c r="A43" s="84" t="inlineStr">
        <is>
          <t>FN-039</t>
        </is>
      </c>
      <c r="B43" s="84" t="inlineStr">
        <is>
          <t>Lançamentos e Diários</t>
        </is>
      </c>
      <c r="C43" s="89" t="inlineStr">
        <is>
          <t>contabil.lancamento.criar_rascunho</t>
        </is>
      </c>
      <c r="D43" s="84" t="inlineStr">
        <is>
          <t>Comando</t>
        </is>
      </c>
      <c r="E43" s="84" t="inlineStr">
        <is>
          <t>Criar lançamento em rascunho</t>
        </is>
      </c>
      <c r="F43" s="84" t="inlineStr">
        <is>
          <t>F1</t>
        </is>
      </c>
      <c r="G43" s="84" t="inlineStr">
        <is>
          <t>Alta</t>
        </is>
      </c>
      <c r="H43" s="84" t="inlineStr">
        <is>
          <t>Planejada</t>
        </is>
      </c>
      <c r="I43" s="84" t="inlineStr">
        <is>
          <t>T-044</t>
        </is>
      </c>
      <c r="J43" s="84" t="inlineStr">
        <is>
          <t>Não</t>
        </is>
      </c>
      <c r="K43" s="84" t="inlineStr">
        <is>
          <t>Não</t>
        </is>
      </c>
      <c r="L43" s="84" t="n"/>
      <c r="O43" s="53" t="inlineStr">
        <is>
          <t>contabil.lancamento.create_rascunho</t>
        </is>
      </c>
      <c r="P43" s="53" t="inlineStr">
        <is>
          <t>accounting</t>
        </is>
      </c>
      <c r="Q43" s="53" t="inlineStr">
        <is>
          <t>core / journal</t>
        </is>
      </c>
      <c r="R43" s="53" t="inlineStr">
        <is>
          <t>https://github.com/bootstrapprx/kodoo/tree/main/modules/accounting</t>
        </is>
      </c>
      <c r="S43" s="53" t="inlineStr">
        <is>
          <t>Likely mapping; confirm exact function</t>
        </is>
      </c>
    </row>
    <row r="44" ht="15" customHeight="1" s="50">
      <c r="A44" s="84" t="inlineStr">
        <is>
          <t>FN-040</t>
        </is>
      </c>
      <c r="B44" s="84" t="inlineStr">
        <is>
          <t>Lançamentos e Diários</t>
        </is>
      </c>
      <c r="C44" s="89" t="inlineStr">
        <is>
          <t>contabil.lancamento.editar_rascunho</t>
        </is>
      </c>
      <c r="D44" s="84" t="inlineStr">
        <is>
          <t>Comando</t>
        </is>
      </c>
      <c r="E44" s="84" t="inlineStr">
        <is>
          <t>Editar rascunho</t>
        </is>
      </c>
      <c r="F44" s="84" t="inlineStr">
        <is>
          <t>F1</t>
        </is>
      </c>
      <c r="G44" s="84" t="inlineStr">
        <is>
          <t>Alta</t>
        </is>
      </c>
      <c r="H44" s="84" t="inlineStr">
        <is>
          <t>Planejada</t>
        </is>
      </c>
      <c r="I44" s="84" t="inlineStr">
        <is>
          <t>T-044, T-054</t>
        </is>
      </c>
      <c r="J44" s="84" t="inlineStr">
        <is>
          <t>Não</t>
        </is>
      </c>
      <c r="K44" s="84" t="inlineStr">
        <is>
          <t>Não</t>
        </is>
      </c>
      <c r="L44" s="84" t="n"/>
      <c r="O44" s="53" t="inlineStr">
        <is>
          <t>contabil.lancamento.update_rascunho</t>
        </is>
      </c>
      <c r="P44" s="53" t="inlineStr">
        <is>
          <t>accounting</t>
        </is>
      </c>
      <c r="Q44" s="53" t="inlineStr">
        <is>
          <t>core / journal</t>
        </is>
      </c>
      <c r="R44" s="53" t="inlineStr">
        <is>
          <t>https://github.com/bootstrapprx/kodoo/tree/main/modules/accounting</t>
        </is>
      </c>
      <c r="S44" s="53" t="inlineStr">
        <is>
          <t>Likely mapping; confirm exact function</t>
        </is>
      </c>
    </row>
    <row r="45" ht="15" customHeight="1" s="50">
      <c r="A45" s="84" t="inlineStr">
        <is>
          <t>FN-041</t>
        </is>
      </c>
      <c r="B45" s="84" t="inlineStr">
        <is>
          <t>Lançamentos e Diários</t>
        </is>
      </c>
      <c r="C45" s="89" t="inlineStr">
        <is>
          <t>contabil.lancamento.postar</t>
        </is>
      </c>
      <c r="D45" s="84" t="inlineStr">
        <is>
          <t>Comando</t>
        </is>
      </c>
      <c r="E45" s="84" t="inlineStr">
        <is>
          <t>Postar lançamento</t>
        </is>
      </c>
      <c r="F45" s="84" t="inlineStr">
        <is>
          <t>F1</t>
        </is>
      </c>
      <c r="G45" s="84" t="inlineStr">
        <is>
          <t>Alta</t>
        </is>
      </c>
      <c r="H45" s="84" t="inlineStr">
        <is>
          <t>Planejada</t>
        </is>
      </c>
      <c r="I45" s="84" t="inlineStr">
        <is>
          <t>T-044, T-048</t>
        </is>
      </c>
      <c r="J45" s="84" t="inlineStr">
        <is>
          <t>Não</t>
        </is>
      </c>
      <c r="K45" s="84" t="inlineStr">
        <is>
          <t>Não</t>
        </is>
      </c>
      <c r="L45" s="84" t="n"/>
      <c r="O45" s="53" t="inlineStr">
        <is>
          <t>contabil.lancamento.postar</t>
        </is>
      </c>
      <c r="P45" s="53" t="inlineStr">
        <is>
          <t>accounting</t>
        </is>
      </c>
      <c r="Q45" s="53" t="inlineStr">
        <is>
          <t>core / journal</t>
        </is>
      </c>
      <c r="R45" s="53" t="inlineStr">
        <is>
          <t>https://github.com/bootstrapprx/kodoo/tree/main/modules/accounting</t>
        </is>
      </c>
      <c r="S45" s="53" t="inlineStr">
        <is>
          <t>Likely mapping; confirm exact function</t>
        </is>
      </c>
    </row>
    <row r="46" ht="15" customHeight="1" s="50">
      <c r="A46" s="84" t="inlineStr">
        <is>
          <t>FN-042</t>
        </is>
      </c>
      <c r="B46" s="84" t="inlineStr">
        <is>
          <t>Lançamentos e Diários</t>
        </is>
      </c>
      <c r="C46" s="89" t="inlineStr">
        <is>
          <t>contabil.lancamento.excluir_rascunho</t>
        </is>
      </c>
      <c r="D46" s="84" t="inlineStr">
        <is>
          <t>Comando</t>
        </is>
      </c>
      <c r="E46" s="84" t="inlineStr">
        <is>
          <t>Excluir rascunho</t>
        </is>
      </c>
      <c r="F46" s="84" t="inlineStr">
        <is>
          <t>F1</t>
        </is>
      </c>
      <c r="G46" s="84" t="inlineStr">
        <is>
          <t>Média</t>
        </is>
      </c>
      <c r="H46" s="84" t="inlineStr">
        <is>
          <t>Planejada</t>
        </is>
      </c>
      <c r="I46" s="84" t="inlineStr">
        <is>
          <t>T-044</t>
        </is>
      </c>
      <c r="J46" s="84" t="inlineStr">
        <is>
          <t>Não</t>
        </is>
      </c>
      <c r="K46" s="84" t="inlineStr">
        <is>
          <t>Não</t>
        </is>
      </c>
      <c r="L46" s="84" t="n"/>
      <c r="O46" s="53" t="inlineStr">
        <is>
          <t>contabil.lancamento.excluir_rascunho</t>
        </is>
      </c>
      <c r="P46" s="53" t="inlineStr">
        <is>
          <t>accounting</t>
        </is>
      </c>
      <c r="Q46" s="53" t="inlineStr">
        <is>
          <t>core / journal</t>
        </is>
      </c>
      <c r="R46" s="53" t="inlineStr">
        <is>
          <t>https://github.com/bootstrapprx/kodoo/tree/main/modules/accounting</t>
        </is>
      </c>
      <c r="S46" s="53" t="inlineStr">
        <is>
          <t>Likely mapping; confirm exact function</t>
        </is>
      </c>
    </row>
    <row r="47" ht="15" customHeight="1" s="50">
      <c r="A47" s="84" t="inlineStr">
        <is>
          <t>FN-043</t>
        </is>
      </c>
      <c r="B47" s="84" t="inlineStr">
        <is>
          <t>Lançamentos e Diários</t>
        </is>
      </c>
      <c r="C47" s="89" t="inlineStr">
        <is>
          <t>contabil.lancamento.listar</t>
        </is>
      </c>
      <c r="D47" s="84" t="inlineStr">
        <is>
          <t>Consulta</t>
        </is>
      </c>
      <c r="E47" s="84" t="inlineStr">
        <is>
          <t>Consultar lançamentos com filtros</t>
        </is>
      </c>
      <c r="F47" s="84" t="inlineStr">
        <is>
          <t>F1</t>
        </is>
      </c>
      <c r="G47" s="84" t="inlineStr">
        <is>
          <t>Alta</t>
        </is>
      </c>
      <c r="H47" s="84" t="inlineStr">
        <is>
          <t>Planejada</t>
        </is>
      </c>
      <c r="I47" s="84" t="inlineStr">
        <is>
          <t>T-043, T-045</t>
        </is>
      </c>
      <c r="J47" s="84" t="inlineStr">
        <is>
          <t>Não</t>
        </is>
      </c>
      <c r="K47" s="84" t="inlineStr">
        <is>
          <t>Não</t>
        </is>
      </c>
      <c r="L47" s="84" t="n"/>
      <c r="O47" s="53" t="inlineStr">
        <is>
          <t>contabil.lancamento.list</t>
        </is>
      </c>
      <c r="P47" s="53" t="inlineStr">
        <is>
          <t>accounting</t>
        </is>
      </c>
      <c r="Q47" s="53" t="inlineStr">
        <is>
          <t>core / journal</t>
        </is>
      </c>
      <c r="R47" s="53" t="inlineStr">
        <is>
          <t>https://github.com/bootstrapprx/kodoo/tree/main/modules/accounting</t>
        </is>
      </c>
      <c r="S47" s="53" t="inlineStr">
        <is>
          <t>Likely mapping; confirm exact function</t>
        </is>
      </c>
    </row>
    <row r="48" ht="15" customHeight="1" s="50">
      <c r="A48" s="84" t="inlineStr">
        <is>
          <t>FN-044</t>
        </is>
      </c>
      <c r="B48" s="84" t="inlineStr">
        <is>
          <t>Lançamentos e Diários</t>
        </is>
      </c>
      <c r="C48" s="89" t="inlineStr">
        <is>
          <t>contabil.lancamento.estornar</t>
        </is>
      </c>
      <c r="D48" s="84" t="inlineStr">
        <is>
          <t>Comando</t>
        </is>
      </c>
      <c r="E48" s="84" t="inlineStr">
        <is>
          <t>Estornar lançamento postado</t>
        </is>
      </c>
      <c r="F48" s="84" t="inlineStr">
        <is>
          <t>F2</t>
        </is>
      </c>
      <c r="G48" s="84" t="inlineStr">
        <is>
          <t>Alta</t>
        </is>
      </c>
      <c r="H48" s="84" t="inlineStr">
        <is>
          <t>Planejada</t>
        </is>
      </c>
      <c r="I48" s="84" t="inlineStr">
        <is>
          <t>T-046</t>
        </is>
      </c>
      <c r="J48" s="84" t="inlineStr">
        <is>
          <t>Não</t>
        </is>
      </c>
      <c r="K48" s="84" t="inlineStr">
        <is>
          <t>Não</t>
        </is>
      </c>
      <c r="L48" s="84" t="n"/>
      <c r="O48" s="53" t="inlineStr">
        <is>
          <t>contabil.lancamento.reverse</t>
        </is>
      </c>
      <c r="P48" s="53" t="inlineStr">
        <is>
          <t>accounting</t>
        </is>
      </c>
      <c r="Q48" s="53" t="inlineStr">
        <is>
          <t>core / journal</t>
        </is>
      </c>
      <c r="R48" s="53" t="inlineStr">
        <is>
          <t>https://github.com/bootstrapprx/kodoo/tree/main/modules/accounting</t>
        </is>
      </c>
      <c r="S48" s="53" t="inlineStr">
        <is>
          <t>Likely mapping; confirm exact function</t>
        </is>
      </c>
    </row>
    <row r="49" ht="15" customHeight="1" s="50">
      <c r="A49" s="84" t="inlineStr">
        <is>
          <t>FN-045</t>
        </is>
      </c>
      <c r="B49" s="84" t="inlineStr">
        <is>
          <t>Lançamentos e Diários</t>
        </is>
      </c>
      <c r="C49" s="89" t="inlineStr">
        <is>
          <t>contabil.saldo_inicial.lancar</t>
        </is>
      </c>
      <c r="D49" s="84" t="inlineStr">
        <is>
          <t>Comando</t>
        </is>
      </c>
      <c r="E49" s="84" t="inlineStr">
        <is>
          <t>Lançar saldos iniciais</t>
        </is>
      </c>
      <c r="F49" s="84" t="inlineStr">
        <is>
          <t>F2</t>
        </is>
      </c>
      <c r="G49" s="84" t="inlineStr">
        <is>
          <t>Alta</t>
        </is>
      </c>
      <c r="H49" s="84" t="inlineStr">
        <is>
          <t>Planejada</t>
        </is>
      </c>
      <c r="I49" s="84" t="inlineStr">
        <is>
          <t>T-047</t>
        </is>
      </c>
      <c r="J49" s="84" t="inlineStr">
        <is>
          <t>Não</t>
        </is>
      </c>
      <c r="K49" s="84" t="inlineStr">
        <is>
          <t>Não</t>
        </is>
      </c>
      <c r="L49" s="84" t="n"/>
      <c r="O49" s="53" t="inlineStr">
        <is>
          <t>contabil.balance_inicial.post</t>
        </is>
      </c>
      <c r="P49" s="53" t="inlineStr">
        <is>
          <t>accounting</t>
        </is>
      </c>
      <c r="Q49" s="53" t="inlineStr">
        <is>
          <t>core / journal</t>
        </is>
      </c>
      <c r="R49" s="53" t="inlineStr">
        <is>
          <t>https://github.com/bootstrapprx/kodoo/tree/main/modules/accounting</t>
        </is>
      </c>
      <c r="S49" s="53" t="inlineStr">
        <is>
          <t>Likely mapping; confirm exact function</t>
        </is>
      </c>
    </row>
    <row r="50" ht="15" customHeight="1" s="50">
      <c r="A50" s="84" t="inlineStr">
        <is>
          <t>FN-046</t>
        </is>
      </c>
      <c r="B50" s="84" t="inlineStr">
        <is>
          <t>Lançamentos e Diários</t>
        </is>
      </c>
      <c r="C50" s="89" t="inlineStr">
        <is>
          <t>contabil.lancamento.modelo</t>
        </is>
      </c>
      <c r="D50" s="84" t="inlineStr">
        <is>
          <t>Comando</t>
        </is>
      </c>
      <c r="E50" s="84" t="inlineStr">
        <is>
          <t>Modelos e lançamentos recorrentes</t>
        </is>
      </c>
      <c r="F50" s="84" t="inlineStr">
        <is>
          <t>F3</t>
        </is>
      </c>
      <c r="G50" s="84" t="inlineStr">
        <is>
          <t>Média</t>
        </is>
      </c>
      <c r="H50" s="84" t="inlineStr">
        <is>
          <t>Planejada</t>
        </is>
      </c>
      <c r="I50" s="84" t="inlineStr">
        <is>
          <t>T-050, T-051</t>
        </is>
      </c>
      <c r="J50" s="84" t="inlineStr">
        <is>
          <t>Não</t>
        </is>
      </c>
      <c r="K50" s="84" t="inlineStr">
        <is>
          <t>Não</t>
        </is>
      </c>
      <c r="L50" s="84" t="n"/>
      <c r="O50" s="53" t="inlineStr">
        <is>
          <t>contabil.lancamento.modelo</t>
        </is>
      </c>
      <c r="P50" s="53" t="inlineStr">
        <is>
          <t>accounting</t>
        </is>
      </c>
      <c r="Q50" s="53" t="inlineStr">
        <is>
          <t>core / journal</t>
        </is>
      </c>
      <c r="R50" s="53" t="inlineStr">
        <is>
          <t>https://github.com/bootstrapprx/kodoo/tree/main/modules/accounting</t>
        </is>
      </c>
      <c r="S50" s="53" t="inlineStr">
        <is>
          <t>Likely mapping; confirm exact function</t>
        </is>
      </c>
    </row>
    <row r="51" ht="15" customHeight="1" s="50">
      <c r="A51" s="84" t="inlineStr">
        <is>
          <t>FN-047</t>
        </is>
      </c>
      <c r="B51" s="84" t="inlineStr">
        <is>
          <t>Lançamentos e Diários</t>
        </is>
      </c>
      <c r="C51" s="89" t="inlineStr">
        <is>
          <t>contabil.lancamento.postar_lote</t>
        </is>
      </c>
      <c r="D51" s="84" t="inlineStr">
        <is>
          <t>Comando</t>
        </is>
      </c>
      <c r="E51" s="84" t="inlineStr">
        <is>
          <t>Postagem em lote</t>
        </is>
      </c>
      <c r="F51" s="84" t="inlineStr">
        <is>
          <t>F3</t>
        </is>
      </c>
      <c r="G51" s="84" t="inlineStr">
        <is>
          <t>Média</t>
        </is>
      </c>
      <c r="H51" s="84" t="inlineStr">
        <is>
          <t>Planejada</t>
        </is>
      </c>
      <c r="I51" s="84" t="inlineStr">
        <is>
          <t>T-052</t>
        </is>
      </c>
      <c r="J51" s="84" t="inlineStr">
        <is>
          <t>Não</t>
        </is>
      </c>
      <c r="K51" s="84" t="inlineStr">
        <is>
          <t>Não</t>
        </is>
      </c>
      <c r="L51" s="84" t="n"/>
      <c r="O51" s="53" t="inlineStr">
        <is>
          <t>contabil.lancamento.postar_batch</t>
        </is>
      </c>
      <c r="P51" s="53" t="inlineStr">
        <is>
          <t>accounting</t>
        </is>
      </c>
      <c r="Q51" s="53" t="inlineStr">
        <is>
          <t>core / journal</t>
        </is>
      </c>
      <c r="R51" s="53" t="inlineStr">
        <is>
          <t>https://github.com/bootstrapprx/kodoo/tree/main/modules/accounting</t>
        </is>
      </c>
      <c r="S51" s="53" t="inlineStr">
        <is>
          <t>Likely mapping; confirm exact function</t>
        </is>
      </c>
    </row>
    <row r="52" ht="15" customHeight="1" s="50">
      <c r="A52" s="84" t="inlineStr">
        <is>
          <t>FN-048</t>
        </is>
      </c>
      <c r="B52" s="84" t="inlineStr">
        <is>
          <t>Lançamentos e Diários</t>
        </is>
      </c>
      <c r="C52" s="89" t="inlineStr">
        <is>
          <t>contabil.lancamento.importar</t>
        </is>
      </c>
      <c r="D52" s="84" t="inlineStr">
        <is>
          <t>Importação</t>
        </is>
      </c>
      <c r="E52" s="84" t="inlineStr">
        <is>
          <t>Importar lançamentos</t>
        </is>
      </c>
      <c r="F52" s="84" t="inlineStr">
        <is>
          <t>F3</t>
        </is>
      </c>
      <c r="G52" s="84" t="inlineStr">
        <is>
          <t>Média</t>
        </is>
      </c>
      <c r="H52" s="84" t="inlineStr">
        <is>
          <t>Planejada</t>
        </is>
      </c>
      <c r="I52" s="84" t="inlineStr">
        <is>
          <t>T-053</t>
        </is>
      </c>
      <c r="J52" s="84" t="inlineStr">
        <is>
          <t>Não</t>
        </is>
      </c>
      <c r="K52" s="84" t="inlineStr">
        <is>
          <t>Não</t>
        </is>
      </c>
      <c r="L52" s="84" t="n"/>
      <c r="O52" s="53" t="inlineStr">
        <is>
          <t>contabil.lancamento.import</t>
        </is>
      </c>
      <c r="P52" s="53" t="inlineStr">
        <is>
          <t>accounting</t>
        </is>
      </c>
      <c r="Q52" s="53" t="inlineStr">
        <is>
          <t>core / journal</t>
        </is>
      </c>
      <c r="R52" s="53" t="inlineStr">
        <is>
          <t>https://github.com/bootstrapprx/kodoo/tree/main/modules/accounting</t>
        </is>
      </c>
      <c r="S52" s="53" t="inlineStr">
        <is>
          <t>Likely mapping; confirm exact function</t>
        </is>
      </c>
    </row>
    <row r="53" ht="15" customHeight="1" s="50">
      <c r="A53" s="84" t="inlineStr">
        <is>
          <t>FN-049</t>
        </is>
      </c>
      <c r="B53" s="84" t="inlineStr">
        <is>
          <t>Lançamentos e Diários</t>
        </is>
      </c>
      <c r="C53" s="89" t="inlineStr">
        <is>
          <t>contabil.lancamento.duplicar</t>
        </is>
      </c>
      <c r="D53" s="84" t="inlineStr">
        <is>
          <t>Comando</t>
        </is>
      </c>
      <c r="E53" s="84" t="inlineStr">
        <is>
          <t>Duplicar lançamento</t>
        </is>
      </c>
      <c r="F53" s="84" t="inlineStr">
        <is>
          <t>F3</t>
        </is>
      </c>
      <c r="G53" s="84" t="inlineStr">
        <is>
          <t>Baixa</t>
        </is>
      </c>
      <c r="H53" s="84" t="inlineStr">
        <is>
          <t>Planejada</t>
        </is>
      </c>
      <c r="I53" s="84" t="n"/>
      <c r="J53" s="84" t="inlineStr">
        <is>
          <t>Não</t>
        </is>
      </c>
      <c r="K53" s="84" t="inlineStr">
        <is>
          <t>Não</t>
        </is>
      </c>
      <c r="L53" s="84" t="n"/>
      <c r="O53" s="53" t="inlineStr">
        <is>
          <t>contabil.lancamento.duplicate</t>
        </is>
      </c>
      <c r="P53" s="53" t="inlineStr">
        <is>
          <t>accounting</t>
        </is>
      </c>
      <c r="Q53" s="53" t="inlineStr">
        <is>
          <t>core / journal</t>
        </is>
      </c>
      <c r="R53" s="53" t="inlineStr">
        <is>
          <t>https://github.com/bootstrapprx/kodoo/tree/main/modules/accounting</t>
        </is>
      </c>
      <c r="S53" s="53" t="inlineStr">
        <is>
          <t>Likely mapping; confirm exact function</t>
        </is>
      </c>
    </row>
    <row r="54" ht="15" customHeight="1" s="50">
      <c r="A54" s="84" t="inlineStr">
        <is>
          <t>FN-050</t>
        </is>
      </c>
      <c r="B54" s="84" t="inlineStr">
        <is>
          <t>Razão e Balancetes</t>
        </is>
      </c>
      <c r="C54" s="89" t="inlineStr">
        <is>
          <t>contabil.razao.consultar</t>
        </is>
      </c>
      <c r="D54" s="84" t="inlineStr">
        <is>
          <t>Consulta</t>
        </is>
      </c>
      <c r="E54" s="84" t="inlineStr">
        <is>
          <t>Razão por conta e período</t>
        </is>
      </c>
      <c r="F54" s="84" t="inlineStr">
        <is>
          <t>F1</t>
        </is>
      </c>
      <c r="G54" s="84" t="inlineStr">
        <is>
          <t>Alta</t>
        </is>
      </c>
      <c r="H54" s="84" t="inlineStr">
        <is>
          <t>Planejada</t>
        </is>
      </c>
      <c r="I54" s="84" t="inlineStr">
        <is>
          <t>T-056, T-057</t>
        </is>
      </c>
      <c r="J54" s="84" t="inlineStr">
        <is>
          <t>Não</t>
        </is>
      </c>
      <c r="K54" s="84" t="inlineStr">
        <is>
          <t>Não</t>
        </is>
      </c>
      <c r="L54" s="84" t="n"/>
      <c r="O54" s="53" t="inlineStr">
        <is>
          <t>contabil.general_ledger.query</t>
        </is>
      </c>
      <c r="P54" s="53" t="inlineStr">
        <is>
          <t>accounting</t>
        </is>
      </c>
      <c r="Q54" s="53" t="inlineStr">
        <is>
          <t>reports / ledger</t>
        </is>
      </c>
      <c r="R54" s="53" t="inlineStr">
        <is>
          <t>https://github.com/bootstrapprx/kodoo/tree/main/modules/accounting</t>
        </is>
      </c>
      <c r="S54" s="53" t="inlineStr">
        <is>
          <t>Likely mapping; confirm exact function</t>
        </is>
      </c>
    </row>
    <row r="55" ht="23.25" customHeight="1" s="50">
      <c r="A55" s="84" t="inlineStr">
        <is>
          <t>FN-051</t>
        </is>
      </c>
      <c r="B55" s="84" t="inlineStr">
        <is>
          <t>Razão e Balancetes</t>
        </is>
      </c>
      <c r="C55" s="89" t="inlineStr">
        <is>
          <t>contabil.saldo.calcular</t>
        </is>
      </c>
      <c r="D55" s="84" t="inlineStr">
        <is>
          <t>Cálculo</t>
        </is>
      </c>
      <c r="E55" s="84" t="inlineStr">
        <is>
          <t>Saldo de conta em uma data</t>
        </is>
      </c>
      <c r="F55" s="84" t="inlineStr">
        <is>
          <t>F1</t>
        </is>
      </c>
      <c r="G55" s="84" t="inlineStr">
        <is>
          <t>Alta</t>
        </is>
      </c>
      <c r="H55" s="84" t="inlineStr">
        <is>
          <t>Planejada</t>
        </is>
      </c>
      <c r="I55" s="84" t="inlineStr">
        <is>
          <t>T-033, T-057, T-059, T-063, T-064, T-108, T-123, T-170</t>
        </is>
      </c>
      <c r="J55" s="84" t="inlineStr">
        <is>
          <t>Não</t>
        </is>
      </c>
      <c r="K55" s="84" t="inlineStr">
        <is>
          <t>Não</t>
        </is>
      </c>
      <c r="L55" s="84" t="n"/>
      <c r="O55" s="53" t="inlineStr">
        <is>
          <t>contabil.balance.calculate</t>
        </is>
      </c>
      <c r="P55" s="53" t="inlineStr">
        <is>
          <t>accounting</t>
        </is>
      </c>
      <c r="Q55" s="53" t="inlineStr">
        <is>
          <t>reports / ledger</t>
        </is>
      </c>
      <c r="R55" s="53" t="inlineStr">
        <is>
          <t>https://github.com/bootstrapprx/kodoo/tree/main/modules/accounting</t>
        </is>
      </c>
      <c r="S55" s="53" t="inlineStr">
        <is>
          <t>Likely mapping; confirm exact function</t>
        </is>
      </c>
    </row>
    <row r="56" ht="15" customHeight="1" s="50">
      <c r="A56" s="84" t="inlineStr">
        <is>
          <t>FN-052</t>
        </is>
      </c>
      <c r="B56" s="84" t="inlineStr">
        <is>
          <t>Razão e Balancetes</t>
        </is>
      </c>
      <c r="C56" s="89" t="inlineStr">
        <is>
          <t>contabil.saldo.detalhar</t>
        </is>
      </c>
      <c r="D56" s="84" t="inlineStr">
        <is>
          <t>Consulta</t>
        </is>
      </c>
      <c r="E56" s="84" t="inlineStr">
        <is>
          <t>Do saldo aos lançamentos de origem</t>
        </is>
      </c>
      <c r="F56" s="84" t="inlineStr">
        <is>
          <t>F1</t>
        </is>
      </c>
      <c r="G56" s="84" t="inlineStr">
        <is>
          <t>Alta</t>
        </is>
      </c>
      <c r="H56" s="84" t="inlineStr">
        <is>
          <t>Planejada</t>
        </is>
      </c>
      <c r="I56" s="84" t="inlineStr">
        <is>
          <t>T-033, T-060</t>
        </is>
      </c>
      <c r="J56" s="84" t="inlineStr">
        <is>
          <t>Não</t>
        </is>
      </c>
      <c r="K56" s="84" t="inlineStr">
        <is>
          <t>Não</t>
        </is>
      </c>
      <c r="L56" s="84" t="n"/>
      <c r="O56" s="53" t="inlineStr">
        <is>
          <t>contabil.balance.detalhar</t>
        </is>
      </c>
      <c r="P56" s="53" t="inlineStr">
        <is>
          <t>accounting</t>
        </is>
      </c>
      <c r="Q56" s="53" t="inlineStr">
        <is>
          <t>reports / ledger</t>
        </is>
      </c>
      <c r="R56" s="53" t="inlineStr">
        <is>
          <t>https://github.com/bootstrapprx/kodoo/tree/main/modules/accounting</t>
        </is>
      </c>
      <c r="S56" s="53" t="inlineStr">
        <is>
          <t>Likely mapping; confirm exact function</t>
        </is>
      </c>
    </row>
    <row r="57" ht="15" customHeight="1" s="50">
      <c r="A57" s="84" t="inlineStr">
        <is>
          <t>FN-053</t>
        </is>
      </c>
      <c r="B57" s="84" t="inlineStr">
        <is>
          <t>Razão e Balancetes</t>
        </is>
      </c>
      <c r="C57" s="89" t="inlineStr">
        <is>
          <t>contabil.balancete.gerar</t>
        </is>
      </c>
      <c r="D57" s="84" t="inlineStr">
        <is>
          <t>Relatório</t>
        </is>
      </c>
      <c r="E57" s="84" t="inlineStr">
        <is>
          <t>Balancete de verificação</t>
        </is>
      </c>
      <c r="F57" s="84" t="inlineStr">
        <is>
          <t>F1</t>
        </is>
      </c>
      <c r="G57" s="84" t="inlineStr">
        <is>
          <t>Alta</t>
        </is>
      </c>
      <c r="H57" s="84" t="inlineStr">
        <is>
          <t>Planejada</t>
        </is>
      </c>
      <c r="I57" s="84" t="inlineStr">
        <is>
          <t>T-059</t>
        </is>
      </c>
      <c r="J57" s="84" t="inlineStr">
        <is>
          <t>Não</t>
        </is>
      </c>
      <c r="K57" s="84" t="inlineStr">
        <is>
          <t>Não</t>
        </is>
      </c>
      <c r="L57" s="84" t="n"/>
      <c r="O57" s="53" t="inlineStr">
        <is>
          <t>contabil.trial_balance.generate</t>
        </is>
      </c>
      <c r="P57" s="53" t="inlineStr">
        <is>
          <t>accounting</t>
        </is>
      </c>
      <c r="Q57" s="53" t="inlineStr">
        <is>
          <t>reports / ledger</t>
        </is>
      </c>
      <c r="R57" s="53" t="inlineStr">
        <is>
          <t>https://github.com/bootstrapprx/kodoo/tree/main/modules/accounting</t>
        </is>
      </c>
      <c r="S57" s="53" t="inlineStr">
        <is>
          <t>Likely mapping; confirm exact function</t>
        </is>
      </c>
    </row>
    <row r="58" ht="15" customHeight="1" s="50">
      <c r="A58" s="84" t="inlineStr">
        <is>
          <t>FN-054</t>
        </is>
      </c>
      <c r="B58" s="84" t="inlineStr">
        <is>
          <t>Razão e Balancetes</t>
        </is>
      </c>
      <c r="C58" s="89" t="inlineStr">
        <is>
          <t>contabil.diario_geral.gerar</t>
        </is>
      </c>
      <c r="D58" s="84" t="inlineStr">
        <is>
          <t>Relatório</t>
        </is>
      </c>
      <c r="E58" s="84" t="inlineStr">
        <is>
          <t>Diário geral</t>
        </is>
      </c>
      <c r="F58" s="84" t="inlineStr">
        <is>
          <t>F1</t>
        </is>
      </c>
      <c r="G58" s="84" t="inlineStr">
        <is>
          <t>Média</t>
        </is>
      </c>
      <c r="H58" s="84" t="inlineStr">
        <is>
          <t>Planejada</t>
        </is>
      </c>
      <c r="I58" s="84" t="inlineStr">
        <is>
          <t>T-058</t>
        </is>
      </c>
      <c r="J58" s="84" t="inlineStr">
        <is>
          <t>Não</t>
        </is>
      </c>
      <c r="K58" s="84" t="inlineStr">
        <is>
          <t>Não</t>
        </is>
      </c>
      <c r="L58" s="84" t="n"/>
      <c r="O58" s="53" t="inlineStr">
        <is>
          <t>contabil.journal_geral.generate</t>
        </is>
      </c>
      <c r="P58" s="53" t="inlineStr">
        <is>
          <t>accounting</t>
        </is>
      </c>
      <c r="Q58" s="53" t="inlineStr">
        <is>
          <t>reports / ledger</t>
        </is>
      </c>
      <c r="R58" s="53" t="inlineStr">
        <is>
          <t>https://github.com/bootstrapprx/kodoo/tree/main/modules/accounting</t>
        </is>
      </c>
      <c r="S58" s="53" t="inlineStr">
        <is>
          <t>Likely mapping; confirm exact function</t>
        </is>
      </c>
    </row>
    <row r="59" ht="15" customHeight="1" s="50">
      <c r="A59" s="84" t="inlineStr">
        <is>
          <t>FN-055</t>
        </is>
      </c>
      <c r="B59" s="84" t="inlineStr">
        <is>
          <t>Razão e Balancetes</t>
        </is>
      </c>
      <c r="C59" s="89" t="inlineStr">
        <is>
          <t>contabil.extrato.gerar</t>
        </is>
      </c>
      <c r="D59" s="84" t="inlineStr">
        <is>
          <t>Relatório</t>
        </is>
      </c>
      <c r="E59" s="84" t="inlineStr">
        <is>
          <t>Extrato de conta</t>
        </is>
      </c>
      <c r="F59" s="84" t="inlineStr">
        <is>
          <t>F2</t>
        </is>
      </c>
      <c r="G59" s="84" t="inlineStr">
        <is>
          <t>Média</t>
        </is>
      </c>
      <c r="H59" s="84" t="inlineStr">
        <is>
          <t>Planejada</t>
        </is>
      </c>
      <c r="I59" s="84" t="inlineStr">
        <is>
          <t>T-061</t>
        </is>
      </c>
      <c r="J59" s="84" t="inlineStr">
        <is>
          <t>Não</t>
        </is>
      </c>
      <c r="K59" s="84" t="inlineStr">
        <is>
          <t>Não</t>
        </is>
      </c>
      <c r="L59" s="84" t="n"/>
      <c r="O59" s="53" t="inlineStr">
        <is>
          <t>contabil.statement.generate</t>
        </is>
      </c>
      <c r="P59" s="53" t="inlineStr">
        <is>
          <t>accounting</t>
        </is>
      </c>
      <c r="Q59" s="53" t="inlineStr">
        <is>
          <t>reports / ledger</t>
        </is>
      </c>
      <c r="R59" s="53" t="inlineStr">
        <is>
          <t>https://github.com/bootstrapprx/kodoo/tree/main/modules/accounting</t>
        </is>
      </c>
      <c r="S59" s="53" t="inlineStr">
        <is>
          <t>Likely mapping; confirm exact function</t>
        </is>
      </c>
    </row>
    <row r="60" ht="15" customHeight="1" s="50">
      <c r="A60" s="84" t="inlineStr">
        <is>
          <t>FN-056</t>
        </is>
      </c>
      <c r="B60" s="84" t="inlineStr">
        <is>
          <t>Razão e Balancetes</t>
        </is>
      </c>
      <c r="C60" s="89" t="inlineStr">
        <is>
          <t>contabil.balancete.comparar</t>
        </is>
      </c>
      <c r="D60" s="84" t="inlineStr">
        <is>
          <t>Relatório</t>
        </is>
      </c>
      <c r="E60" s="84" t="inlineStr">
        <is>
          <t>Balancete comparativo entre períodos</t>
        </is>
      </c>
      <c r="F60" s="84" t="inlineStr">
        <is>
          <t>F4</t>
        </is>
      </c>
      <c r="G60" s="84" t="inlineStr">
        <is>
          <t>Média</t>
        </is>
      </c>
      <c r="H60" s="84" t="inlineStr">
        <is>
          <t>Planejada</t>
        </is>
      </c>
      <c r="I60" s="84" t="inlineStr">
        <is>
          <t>T-062</t>
        </is>
      </c>
      <c r="J60" s="84" t="inlineStr">
        <is>
          <t>Não</t>
        </is>
      </c>
      <c r="K60" s="84" t="inlineStr">
        <is>
          <t>Não</t>
        </is>
      </c>
      <c r="L60" s="84" t="n"/>
      <c r="O60" s="53" t="inlineStr">
        <is>
          <t>contabil.trial_balance.comparar</t>
        </is>
      </c>
      <c r="P60" s="53" t="inlineStr">
        <is>
          <t>accounting</t>
        </is>
      </c>
      <c r="Q60" s="53" t="inlineStr">
        <is>
          <t>reports / ledger</t>
        </is>
      </c>
      <c r="R60" s="53" t="inlineStr">
        <is>
          <t>https://github.com/bootstrapprx/kodoo/tree/main/modules/accounting</t>
        </is>
      </c>
      <c r="S60" s="53" t="inlineStr">
        <is>
          <t>Likely mapping; confirm exact function</t>
        </is>
      </c>
    </row>
    <row r="61" ht="15" customHeight="1" s="50">
      <c r="A61" s="84" t="inlineStr">
        <is>
          <t>FN-057</t>
        </is>
      </c>
      <c r="B61" s="84" t="inlineStr">
        <is>
          <t>Períodos e Fechamento</t>
        </is>
      </c>
      <c r="C61" s="89" t="inlineStr">
        <is>
          <t>contabil.periodo.abrir</t>
        </is>
      </c>
      <c r="D61" s="84" t="inlineStr">
        <is>
          <t>Comando</t>
        </is>
      </c>
      <c r="E61" s="84" t="inlineStr">
        <is>
          <t>Abrir período</t>
        </is>
      </c>
      <c r="F61" s="84" t="inlineStr">
        <is>
          <t>F2</t>
        </is>
      </c>
      <c r="G61" s="84" t="inlineStr">
        <is>
          <t>Alta</t>
        </is>
      </c>
      <c r="H61" s="84" t="inlineStr">
        <is>
          <t>Planejada</t>
        </is>
      </c>
      <c r="I61" s="84" t="inlineStr">
        <is>
          <t>T-065, T-066</t>
        </is>
      </c>
      <c r="J61" s="84" t="inlineStr">
        <is>
          <t>Não</t>
        </is>
      </c>
      <c r="K61" s="84" t="inlineStr">
        <is>
          <t>Não</t>
        </is>
      </c>
      <c r="L61" s="84" t="n"/>
      <c r="O61" s="53" t="inlineStr">
        <is>
          <t>contabil.period.open</t>
        </is>
      </c>
      <c r="P61" s="53" t="inlineStr">
        <is>
          <t>accounting</t>
        </is>
      </c>
      <c r="Q61" s="53" t="inlineStr">
        <is>
          <t>core / period close</t>
        </is>
      </c>
      <c r="R61" s="53" t="inlineStr">
        <is>
          <t>https://github.com/bootstrapprx/kodoo/tree/main/modules/accounting</t>
        </is>
      </c>
      <c r="S61" s="53" t="inlineStr">
        <is>
          <t>Likely mapping; confirm exact function</t>
        </is>
      </c>
    </row>
    <row r="62" ht="15" customHeight="1" s="50">
      <c r="A62" s="84" t="inlineStr">
        <is>
          <t>FN-058</t>
        </is>
      </c>
      <c r="B62" s="84" t="inlineStr">
        <is>
          <t>Períodos e Fechamento</t>
        </is>
      </c>
      <c r="C62" s="89" t="inlineStr">
        <is>
          <t>contabil.periodo.verificar_fechamento</t>
        </is>
      </c>
      <c r="D62" s="84" t="inlineStr">
        <is>
          <t>Consulta</t>
        </is>
      </c>
      <c r="E62" s="84" t="inlineStr">
        <is>
          <t>Verificações de fechamento</t>
        </is>
      </c>
      <c r="F62" s="84" t="inlineStr">
        <is>
          <t>F2</t>
        </is>
      </c>
      <c r="G62" s="84" t="inlineStr">
        <is>
          <t>Alta</t>
        </is>
      </c>
      <c r="H62" s="84" t="inlineStr">
        <is>
          <t>Planejada</t>
        </is>
      </c>
      <c r="I62" s="84" t="inlineStr">
        <is>
          <t>T-067, T-071, T-172</t>
        </is>
      </c>
      <c r="J62" s="84" t="inlineStr">
        <is>
          <t>Não</t>
        </is>
      </c>
      <c r="K62" s="84" t="inlineStr">
        <is>
          <t>Não</t>
        </is>
      </c>
      <c r="L62" s="84" t="n"/>
      <c r="O62" s="53" t="inlineStr">
        <is>
          <t>contabil.period.verificar_fechamento</t>
        </is>
      </c>
      <c r="P62" s="53" t="inlineStr">
        <is>
          <t>accounting</t>
        </is>
      </c>
      <c r="Q62" s="53" t="inlineStr">
        <is>
          <t>core / period close</t>
        </is>
      </c>
      <c r="R62" s="53" t="inlineStr">
        <is>
          <t>https://github.com/bootstrapprx/kodoo/tree/main/modules/accounting</t>
        </is>
      </c>
      <c r="S62" s="53" t="inlineStr">
        <is>
          <t>Likely mapping; confirm exact function</t>
        </is>
      </c>
    </row>
    <row r="63" ht="15" customHeight="1" s="50">
      <c r="A63" s="84" t="inlineStr">
        <is>
          <t>FN-059</t>
        </is>
      </c>
      <c r="B63" s="84" t="inlineStr">
        <is>
          <t>Períodos e Fechamento</t>
        </is>
      </c>
      <c r="C63" s="89" t="inlineStr">
        <is>
          <t>contabil.periodo.fechar</t>
        </is>
      </c>
      <c r="D63" s="84" t="inlineStr">
        <is>
          <t>Comando</t>
        </is>
      </c>
      <c r="E63" s="84" t="inlineStr">
        <is>
          <t>Fechar período</t>
        </is>
      </c>
      <c r="F63" s="84" t="inlineStr">
        <is>
          <t>F2</t>
        </is>
      </c>
      <c r="G63" s="84" t="inlineStr">
        <is>
          <t>Alta</t>
        </is>
      </c>
      <c r="H63" s="84" t="inlineStr">
        <is>
          <t>Planejada</t>
        </is>
      </c>
      <c r="I63" s="84" t="inlineStr">
        <is>
          <t>T-067</t>
        </is>
      </c>
      <c r="J63" s="84" t="inlineStr">
        <is>
          <t>Não</t>
        </is>
      </c>
      <c r="K63" s="84" t="inlineStr">
        <is>
          <t>Não</t>
        </is>
      </c>
      <c r="L63" s="84" t="n"/>
      <c r="O63" s="53" t="inlineStr">
        <is>
          <t>contabil.period.close</t>
        </is>
      </c>
      <c r="P63" s="53" t="inlineStr">
        <is>
          <t>accounting</t>
        </is>
      </c>
      <c r="Q63" s="53" t="inlineStr">
        <is>
          <t>core / period close</t>
        </is>
      </c>
      <c r="R63" s="53" t="inlineStr">
        <is>
          <t>https://github.com/bootstrapprx/kodoo/tree/main/modules/accounting</t>
        </is>
      </c>
      <c r="S63" s="53" t="inlineStr">
        <is>
          <t>Likely mapping; confirm exact function</t>
        </is>
      </c>
    </row>
    <row r="64" ht="15" customHeight="1" s="50">
      <c r="A64" s="84" t="inlineStr">
        <is>
          <t>FN-060</t>
        </is>
      </c>
      <c r="B64" s="84" t="inlineStr">
        <is>
          <t>Períodos e Fechamento</t>
        </is>
      </c>
      <c r="C64" s="89" t="inlineStr">
        <is>
          <t>contabil.periodo.reabrir</t>
        </is>
      </c>
      <c r="D64" s="84" t="inlineStr">
        <is>
          <t>Comando</t>
        </is>
      </c>
      <c r="E64" s="84" t="inlineStr">
        <is>
          <t>Reabrir período</t>
        </is>
      </c>
      <c r="F64" s="84" t="inlineStr">
        <is>
          <t>F2</t>
        </is>
      </c>
      <c r="G64" s="84" t="inlineStr">
        <is>
          <t>Média</t>
        </is>
      </c>
      <c r="H64" s="84" t="inlineStr">
        <is>
          <t>Planejada</t>
        </is>
      </c>
      <c r="I64" s="84" t="inlineStr">
        <is>
          <t>T-068</t>
        </is>
      </c>
      <c r="J64" s="84" t="inlineStr">
        <is>
          <t>Não</t>
        </is>
      </c>
      <c r="K64" s="84" t="inlineStr">
        <is>
          <t>Não</t>
        </is>
      </c>
      <c r="L64" s="84" t="n"/>
      <c r="O64" s="53" t="inlineStr">
        <is>
          <t>contabil.period.reopen</t>
        </is>
      </c>
      <c r="P64" s="53" t="inlineStr">
        <is>
          <t>accounting</t>
        </is>
      </c>
      <c r="Q64" s="53" t="inlineStr">
        <is>
          <t>core / period close</t>
        </is>
      </c>
      <c r="R64" s="53" t="inlineStr">
        <is>
          <t>https://github.com/bootstrapprx/kodoo/tree/main/modules/accounting</t>
        </is>
      </c>
      <c r="S64" s="53" t="inlineStr">
        <is>
          <t>Likely mapping; confirm exact function</t>
        </is>
      </c>
    </row>
    <row r="65" ht="15" customHeight="1" s="50">
      <c r="A65" s="84" t="inlineStr">
        <is>
          <t>FN-061</t>
        </is>
      </c>
      <c r="B65" s="84" t="inlineStr">
        <is>
          <t>Períodos e Fechamento</t>
        </is>
      </c>
      <c r="C65" s="89" t="inlineStr">
        <is>
          <t>contabil.exercicio.encerrar</t>
        </is>
      </c>
      <c r="D65" s="84" t="inlineStr">
        <is>
          <t>Comando</t>
        </is>
      </c>
      <c r="E65" s="84" t="inlineStr">
        <is>
          <t>Encerrar exercício</t>
        </is>
      </c>
      <c r="F65" s="84" t="inlineStr">
        <is>
          <t>F4</t>
        </is>
      </c>
      <c r="G65" s="84" t="inlineStr">
        <is>
          <t>Média</t>
        </is>
      </c>
      <c r="H65" s="84" t="inlineStr">
        <is>
          <t>Planejada</t>
        </is>
      </c>
      <c r="I65" s="84" t="inlineStr">
        <is>
          <t>T-070</t>
        </is>
      </c>
      <c r="J65" s="84" t="inlineStr">
        <is>
          <t>Não</t>
        </is>
      </c>
      <c r="K65" s="84" t="inlineStr">
        <is>
          <t>Não</t>
        </is>
      </c>
      <c r="L65" s="84" t="n"/>
      <c r="O65" s="53" t="inlineStr">
        <is>
          <t>contabil.exercicio.encerrar</t>
        </is>
      </c>
      <c r="P65" s="53" t="inlineStr">
        <is>
          <t>accounting</t>
        </is>
      </c>
      <c r="Q65" s="53" t="inlineStr">
        <is>
          <t>core / period close</t>
        </is>
      </c>
      <c r="R65" s="53" t="inlineStr">
        <is>
          <t>https://github.com/bootstrapprx/kodoo/tree/main/modules/accounting</t>
        </is>
      </c>
      <c r="S65" s="53" t="inlineStr">
        <is>
          <t>Likely mapping; confirm exact function</t>
        </is>
      </c>
    </row>
    <row r="66" ht="15" customHeight="1" s="50">
      <c r="A66" s="84" t="inlineStr">
        <is>
          <t>FN-062</t>
        </is>
      </c>
      <c r="B66" s="84" t="inlineStr">
        <is>
          <t>Períodos e Fechamento</t>
        </is>
      </c>
      <c r="C66" s="89" t="inlineStr">
        <is>
          <t>contabil.resultado.apurar</t>
        </is>
      </c>
      <c r="D66" s="84" t="inlineStr">
        <is>
          <t>Cálculo</t>
        </is>
      </c>
      <c r="E66" s="84" t="inlineStr">
        <is>
          <t>Apurar resultado</t>
        </is>
      </c>
      <c r="F66" s="84" t="inlineStr">
        <is>
          <t>F4</t>
        </is>
      </c>
      <c r="G66" s="84" t="inlineStr">
        <is>
          <t>Média</t>
        </is>
      </c>
      <c r="H66" s="84" t="inlineStr">
        <is>
          <t>Planejada</t>
        </is>
      </c>
      <c r="I66" s="84" t="inlineStr">
        <is>
          <t>T-069, T-070</t>
        </is>
      </c>
      <c r="J66" s="84" t="inlineStr">
        <is>
          <t>Não</t>
        </is>
      </c>
      <c r="K66" s="84" t="inlineStr">
        <is>
          <t>Não</t>
        </is>
      </c>
      <c r="L66" s="84" t="n"/>
      <c r="O66" s="53" t="inlineStr">
        <is>
          <t>contabil.resultado.apurar</t>
        </is>
      </c>
      <c r="P66" s="53" t="inlineStr">
        <is>
          <t>accounting</t>
        </is>
      </c>
      <c r="Q66" s="53" t="inlineStr">
        <is>
          <t>core / period close</t>
        </is>
      </c>
      <c r="R66" s="53" t="inlineStr">
        <is>
          <t>https://github.com/bootstrapprx/kodoo/tree/main/modules/accounting</t>
        </is>
      </c>
      <c r="S66" s="53" t="inlineStr">
        <is>
          <t>Likely mapping; confirm exact function</t>
        </is>
      </c>
    </row>
    <row r="67" ht="15" customHeight="1" s="50">
      <c r="A67" s="84" t="inlineStr">
        <is>
          <t>FN-063</t>
        </is>
      </c>
      <c r="B67" s="84" t="inlineStr">
        <is>
          <t>Cadastros Base</t>
        </is>
      </c>
      <c r="C67" s="89" t="inlineStr">
        <is>
          <t>cadastro.parceiro.gerir</t>
        </is>
      </c>
      <c r="D67" s="84" t="inlineStr">
        <is>
          <t>Comando</t>
        </is>
      </c>
      <c r="E67" s="84" t="inlineStr">
        <is>
          <t>Parceiros (clientes e fornecedores)</t>
        </is>
      </c>
      <c r="F67" s="84" t="inlineStr">
        <is>
          <t>F2</t>
        </is>
      </c>
      <c r="G67" s="84" t="inlineStr">
        <is>
          <t>Alta</t>
        </is>
      </c>
      <c r="H67" s="84" t="inlineStr">
        <is>
          <t>Planejada</t>
        </is>
      </c>
      <c r="I67" s="84" t="inlineStr">
        <is>
          <t>T-072, T-073, T-074</t>
        </is>
      </c>
      <c r="J67" s="84" t="inlineStr">
        <is>
          <t>Não</t>
        </is>
      </c>
      <c r="K67" s="84" t="inlineStr">
        <is>
          <t>Não</t>
        </is>
      </c>
      <c r="L67" s="84" t="n"/>
      <c r="O67" s="53" t="inlineStr">
        <is>
          <t>cadastro.parceiro.manage</t>
        </is>
      </c>
      <c r="P67" s="53" t="inlineStr">
        <is>
          <t>people or accounting</t>
        </is>
      </c>
      <c r="Q67" s="53" t="inlineStr">
        <is>
          <t>reference data — exact owner to verify</t>
        </is>
      </c>
      <c r="R67" s="53" t="inlineStr">
        <is>
          <t>https://github.com/bootstrapprx/kodoo/tree/main/modules/people</t>
        </is>
      </c>
      <c r="S67" s="53" t="inlineStr">
        <is>
          <t>Needs ownership decision</t>
        </is>
      </c>
    </row>
    <row r="68" ht="15" customHeight="1" s="50">
      <c r="A68" s="84" t="inlineStr">
        <is>
          <t>FN-064</t>
        </is>
      </c>
      <c r="B68" s="84" t="inlineStr">
        <is>
          <t>Cadastros Base</t>
        </is>
      </c>
      <c r="C68" s="89" t="inlineStr">
        <is>
          <t>cadastro.centro_custo.gerir</t>
        </is>
      </c>
      <c r="D68" s="84" t="inlineStr">
        <is>
          <t>Comando</t>
        </is>
      </c>
      <c r="E68" s="84" t="inlineStr">
        <is>
          <t>Centros de custo</t>
        </is>
      </c>
      <c r="F68" s="84" t="inlineStr">
        <is>
          <t>F2</t>
        </is>
      </c>
      <c r="G68" s="84" t="inlineStr">
        <is>
          <t>Média</t>
        </is>
      </c>
      <c r="H68" s="84" t="inlineStr">
        <is>
          <t>Planejada</t>
        </is>
      </c>
      <c r="I68" s="84" t="inlineStr">
        <is>
          <t>T-075, T-076</t>
        </is>
      </c>
      <c r="J68" s="84" t="inlineStr">
        <is>
          <t>Não</t>
        </is>
      </c>
      <c r="K68" s="84" t="inlineStr">
        <is>
          <t>Não</t>
        </is>
      </c>
      <c r="L68" s="84" t="n"/>
      <c r="O68" s="53" t="inlineStr">
        <is>
          <t>cadastro.centro_custo.manage</t>
        </is>
      </c>
      <c r="P68" s="53" t="inlineStr">
        <is>
          <t>people or accounting</t>
        </is>
      </c>
      <c r="Q68" s="53" t="inlineStr">
        <is>
          <t>reference data — exact owner to verify</t>
        </is>
      </c>
      <c r="R68" s="53" t="inlineStr">
        <is>
          <t>https://github.com/bootstrapprx/kodoo/tree/main/modules/people</t>
        </is>
      </c>
      <c r="S68" s="53" t="inlineStr">
        <is>
          <t>Needs ownership decision</t>
        </is>
      </c>
    </row>
    <row r="69" ht="15" customHeight="1" s="50">
      <c r="A69" s="84" t="inlineStr">
        <is>
          <t>FN-065</t>
        </is>
      </c>
      <c r="B69" s="84" t="inlineStr">
        <is>
          <t>Cadastros Base</t>
        </is>
      </c>
      <c r="C69" s="89" t="inlineStr">
        <is>
          <t>cadastro.dimensao.gerir</t>
        </is>
      </c>
      <c r="D69" s="84" t="inlineStr">
        <is>
          <t>Comando</t>
        </is>
      </c>
      <c r="E69" s="84" t="inlineStr">
        <is>
          <t>Dimensões analíticas</t>
        </is>
      </c>
      <c r="F69" s="84" t="inlineStr">
        <is>
          <t>F3</t>
        </is>
      </c>
      <c r="G69" s="84" t="inlineStr">
        <is>
          <t>Média</t>
        </is>
      </c>
      <c r="H69" s="84" t="inlineStr">
        <is>
          <t>Planejada</t>
        </is>
      </c>
      <c r="I69" s="84" t="inlineStr">
        <is>
          <t>T-077</t>
        </is>
      </c>
      <c r="J69" s="84" t="inlineStr">
        <is>
          <t>Não</t>
        </is>
      </c>
      <c r="K69" s="84" t="inlineStr">
        <is>
          <t>Não</t>
        </is>
      </c>
      <c r="L69" s="84" t="n"/>
      <c r="O69" s="53" t="inlineStr">
        <is>
          <t>cadastro.dimensao.manage</t>
        </is>
      </c>
      <c r="P69" s="53" t="inlineStr">
        <is>
          <t>people or accounting</t>
        </is>
      </c>
      <c r="Q69" s="53" t="inlineStr">
        <is>
          <t>reference data — exact owner to verify</t>
        </is>
      </c>
      <c r="R69" s="53" t="inlineStr">
        <is>
          <t>https://github.com/bootstrapprx/kodoo/tree/main/modules/people</t>
        </is>
      </c>
      <c r="S69" s="53" t="inlineStr">
        <is>
          <t>Needs ownership decision</t>
        </is>
      </c>
    </row>
    <row r="70" ht="15" customHeight="1" s="50">
      <c r="A70" s="84" t="inlineStr">
        <is>
          <t>FN-066</t>
        </is>
      </c>
      <c r="B70" s="84" t="inlineStr">
        <is>
          <t>Cadastros Base</t>
        </is>
      </c>
      <c r="C70" s="89" t="inlineStr">
        <is>
          <t>cadastro.condicao_pagamento.gerir</t>
        </is>
      </c>
      <c r="D70" s="84" t="inlineStr">
        <is>
          <t>Comando</t>
        </is>
      </c>
      <c r="E70" s="84" t="inlineStr">
        <is>
          <t>Condições de pagamento</t>
        </is>
      </c>
      <c r="F70" s="84" t="inlineStr">
        <is>
          <t>F3</t>
        </is>
      </c>
      <c r="G70" s="84" t="inlineStr">
        <is>
          <t>Média</t>
        </is>
      </c>
      <c r="H70" s="84" t="inlineStr">
        <is>
          <t>Planejada</t>
        </is>
      </c>
      <c r="I70" s="84" t="inlineStr">
        <is>
          <t>T-078</t>
        </is>
      </c>
      <c r="J70" s="84" t="inlineStr">
        <is>
          <t>Não</t>
        </is>
      </c>
      <c r="K70" s="84" t="inlineStr">
        <is>
          <t>Não</t>
        </is>
      </c>
      <c r="L70" s="84" t="n"/>
      <c r="O70" s="53" t="inlineStr">
        <is>
          <t>cadastro.condicao_payment.manage</t>
        </is>
      </c>
      <c r="P70" s="53" t="inlineStr">
        <is>
          <t>people or accounting</t>
        </is>
      </c>
      <c r="Q70" s="53" t="inlineStr">
        <is>
          <t>reference data — exact owner to verify</t>
        </is>
      </c>
      <c r="R70" s="53" t="inlineStr">
        <is>
          <t>https://github.com/bootstrapprx/kodoo/tree/main/modules/people</t>
        </is>
      </c>
      <c r="S70" s="53" t="inlineStr">
        <is>
          <t>Needs ownership decision</t>
        </is>
      </c>
    </row>
    <row r="71" ht="15" customHeight="1" s="50">
      <c r="A71" s="84" t="inlineStr">
        <is>
          <t>FN-067</t>
        </is>
      </c>
      <c r="B71" s="84" t="inlineStr">
        <is>
          <t>Cadastros Base</t>
        </is>
      </c>
      <c r="C71" s="89" t="inlineStr">
        <is>
          <t>cadastro.conta_bancaria.gerir</t>
        </is>
      </c>
      <c r="D71" s="84" t="inlineStr">
        <is>
          <t>Comando</t>
        </is>
      </c>
      <c r="E71" s="84" t="inlineStr">
        <is>
          <t>Contas bancárias</t>
        </is>
      </c>
      <c r="F71" s="84" t="inlineStr">
        <is>
          <t>F3</t>
        </is>
      </c>
      <c r="G71" s="84" t="inlineStr">
        <is>
          <t>Alta</t>
        </is>
      </c>
      <c r="H71" s="84" t="inlineStr">
        <is>
          <t>Planejada</t>
        </is>
      </c>
      <c r="I71" s="84" t="inlineStr">
        <is>
          <t>T-079, T-080</t>
        </is>
      </c>
      <c r="J71" s="84" t="inlineStr">
        <is>
          <t>Não</t>
        </is>
      </c>
      <c r="K71" s="84" t="inlineStr">
        <is>
          <t>Não</t>
        </is>
      </c>
      <c r="L71" s="84" t="n"/>
      <c r="O71" s="53" t="inlineStr">
        <is>
          <t>cadastro.account_bancaria.manage</t>
        </is>
      </c>
      <c r="P71" s="53" t="inlineStr">
        <is>
          <t>people or accounting</t>
        </is>
      </c>
      <c r="Q71" s="53" t="inlineStr">
        <is>
          <t>reference data — exact owner to verify</t>
        </is>
      </c>
      <c r="R71" s="53" t="inlineStr">
        <is>
          <t>https://github.com/bootstrapprx/kodoo/tree/main/modules/people</t>
        </is>
      </c>
      <c r="S71" s="53" t="inlineStr">
        <is>
          <t>Needs ownership decision</t>
        </is>
      </c>
    </row>
    <row r="72" ht="15" customHeight="1" s="50">
      <c r="A72" s="84" t="inlineStr">
        <is>
          <t>FN-068</t>
        </is>
      </c>
      <c r="B72" s="84" t="inlineStr">
        <is>
          <t>Moedas e Câmbio</t>
        </is>
      </c>
      <c r="C72" s="89" t="inlineStr">
        <is>
          <t>moeda.taxa.registrar</t>
        </is>
      </c>
      <c r="D72" s="84" t="inlineStr">
        <is>
          <t>Comando</t>
        </is>
      </c>
      <c r="E72" s="84" t="inlineStr">
        <is>
          <t>Registrar taxa de câmbio</t>
        </is>
      </c>
      <c r="F72" s="84" t="inlineStr">
        <is>
          <t>F2</t>
        </is>
      </c>
      <c r="G72" s="84" t="inlineStr">
        <is>
          <t>Alta</t>
        </is>
      </c>
      <c r="H72" s="84" t="inlineStr">
        <is>
          <t>Planejada</t>
        </is>
      </c>
      <c r="I72" s="84" t="inlineStr">
        <is>
          <t>T-084</t>
        </is>
      </c>
      <c r="J72" s="84" t="inlineStr">
        <is>
          <t>Não</t>
        </is>
      </c>
      <c r="K72" s="84" t="inlineStr">
        <is>
          <t>Não</t>
        </is>
      </c>
      <c r="L72" s="84" t="n"/>
      <c r="O72" s="53" t="inlineStr">
        <is>
          <t>currency.taxa.registrar</t>
        </is>
      </c>
      <c r="P72" s="53" t="inlineStr">
        <is>
          <t>accounting</t>
        </is>
      </c>
      <c r="Q72" s="53" t="inlineStr">
        <is>
          <t>fx</t>
        </is>
      </c>
      <c r="R72" s="53" t="inlineStr">
        <is>
          <t>https://github.com/bootstrapprx/kodoo/tree/main/modules/accounting</t>
        </is>
      </c>
      <c r="S72" s="53" t="inlineStr">
        <is>
          <t>Likely mapping; confirm exact function</t>
        </is>
      </c>
    </row>
    <row r="73" ht="15" customHeight="1" s="50">
      <c r="A73" s="84" t="inlineStr">
        <is>
          <t>FN-069</t>
        </is>
      </c>
      <c r="B73" s="84" t="inlineStr">
        <is>
          <t>Moedas e Câmbio</t>
        </is>
      </c>
      <c r="C73" s="89" t="inlineStr">
        <is>
          <t>moeda.converter</t>
        </is>
      </c>
      <c r="D73" s="84" t="inlineStr">
        <is>
          <t>Cálculo</t>
        </is>
      </c>
      <c r="E73" s="84" t="inlineStr">
        <is>
          <t>Converter valor entre moedas</t>
        </is>
      </c>
      <c r="F73" s="84" t="inlineStr">
        <is>
          <t>F2</t>
        </is>
      </c>
      <c r="G73" s="84" t="inlineStr">
        <is>
          <t>Alta</t>
        </is>
      </c>
      <c r="H73" s="84" t="inlineStr">
        <is>
          <t>Planejada</t>
        </is>
      </c>
      <c r="I73" s="84" t="inlineStr">
        <is>
          <t>T-084, T-087</t>
        </is>
      </c>
      <c r="J73" s="84" t="inlineStr">
        <is>
          <t>Não</t>
        </is>
      </c>
      <c r="K73" s="84" t="inlineStr">
        <is>
          <t>Não</t>
        </is>
      </c>
      <c r="L73" s="84" t="n"/>
      <c r="O73" s="53" t="inlineStr">
        <is>
          <t>currency.converter</t>
        </is>
      </c>
      <c r="P73" s="53" t="inlineStr">
        <is>
          <t>accounting</t>
        </is>
      </c>
      <c r="Q73" s="53" t="inlineStr">
        <is>
          <t>fx</t>
        </is>
      </c>
      <c r="R73" s="53" t="inlineStr">
        <is>
          <t>https://github.com/bootstrapprx/kodoo/tree/main/modules/accounting</t>
        </is>
      </c>
      <c r="S73" s="53" t="inlineStr">
        <is>
          <t>Likely mapping; confirm exact function</t>
        </is>
      </c>
    </row>
    <row r="74" ht="15" customHeight="1" s="50">
      <c r="A74" s="84" t="inlineStr">
        <is>
          <t>FN-070</t>
        </is>
      </c>
      <c r="B74" s="84" t="inlineStr">
        <is>
          <t>Moedas e Câmbio</t>
        </is>
      </c>
      <c r="C74" s="89" t="inlineStr">
        <is>
          <t>moeda.taxa.importar</t>
        </is>
      </c>
      <c r="D74" s="84" t="inlineStr">
        <is>
          <t>Importação</t>
        </is>
      </c>
      <c r="E74" s="84" t="inlineStr">
        <is>
          <t>Importar taxas</t>
        </is>
      </c>
      <c r="F74" s="84" t="inlineStr">
        <is>
          <t>F3</t>
        </is>
      </c>
      <c r="G74" s="84" t="inlineStr">
        <is>
          <t>Baixa</t>
        </is>
      </c>
      <c r="H74" s="84" t="inlineStr">
        <is>
          <t>Planejada</t>
        </is>
      </c>
      <c r="I74" s="84" t="inlineStr">
        <is>
          <t>T-085</t>
        </is>
      </c>
      <c r="J74" s="84" t="inlineStr">
        <is>
          <t>Não</t>
        </is>
      </c>
      <c r="K74" s="84" t="inlineStr">
        <is>
          <t>Não</t>
        </is>
      </c>
      <c r="L74" s="84" t="n"/>
      <c r="O74" s="53" t="inlineStr">
        <is>
          <t>currency.taxa.import</t>
        </is>
      </c>
      <c r="P74" s="53" t="inlineStr">
        <is>
          <t>accounting</t>
        </is>
      </c>
      <c r="Q74" s="53" t="inlineStr">
        <is>
          <t>fx</t>
        </is>
      </c>
      <c r="R74" s="53" t="inlineStr">
        <is>
          <t>https://github.com/bootstrapprx/kodoo/tree/main/modules/accounting</t>
        </is>
      </c>
      <c r="S74" s="53" t="inlineStr">
        <is>
          <t>Likely mapping; confirm exact function</t>
        </is>
      </c>
    </row>
    <row r="75" ht="15" customHeight="1" s="50">
      <c r="A75" s="84" t="inlineStr">
        <is>
          <t>FN-071</t>
        </is>
      </c>
      <c r="B75" s="84" t="inlineStr">
        <is>
          <t>Moedas e Câmbio</t>
        </is>
      </c>
      <c r="C75" s="89" t="inlineStr">
        <is>
          <t>moeda.reavaliar</t>
        </is>
      </c>
      <c r="D75" s="84" t="inlineStr">
        <is>
          <t>Comando</t>
        </is>
      </c>
      <c r="E75" s="84" t="inlineStr">
        <is>
          <t>Reavaliação cambial</t>
        </is>
      </c>
      <c r="F75" s="84" t="inlineStr">
        <is>
          <t>F4</t>
        </is>
      </c>
      <c r="G75" s="84" t="inlineStr">
        <is>
          <t>Média</t>
        </is>
      </c>
      <c r="H75" s="84" t="inlineStr">
        <is>
          <t>Planejada</t>
        </is>
      </c>
      <c r="I75" s="84" t="inlineStr">
        <is>
          <t>T-086</t>
        </is>
      </c>
      <c r="J75" s="84" t="inlineStr">
        <is>
          <t>Não</t>
        </is>
      </c>
      <c r="K75" s="84" t="inlineStr">
        <is>
          <t>Não</t>
        </is>
      </c>
      <c r="L75" s="84" t="n"/>
      <c r="O75" s="53" t="inlineStr">
        <is>
          <t>currency.reavaliar</t>
        </is>
      </c>
      <c r="P75" s="53" t="inlineStr">
        <is>
          <t>accounting</t>
        </is>
      </c>
      <c r="Q75" s="53" t="inlineStr">
        <is>
          <t>fx</t>
        </is>
      </c>
      <c r="R75" s="53" t="inlineStr">
        <is>
          <t>https://github.com/bootstrapprx/kodoo/tree/main/modules/accounting</t>
        </is>
      </c>
      <c r="S75" s="53" t="inlineStr">
        <is>
          <t>Likely mapping; confirm exact function</t>
        </is>
      </c>
    </row>
    <row r="76" ht="15" customHeight="1" s="50">
      <c r="A76" s="84" t="inlineStr">
        <is>
          <t>FN-072</t>
        </is>
      </c>
      <c r="B76" s="84" t="inlineStr">
        <is>
          <t>Contas a Pagar</t>
        </is>
      </c>
      <c r="C76" s="89" t="inlineStr">
        <is>
          <t>pagar.fatura.registrar</t>
        </is>
      </c>
      <c r="D76" s="84" t="inlineStr">
        <is>
          <t>Comando</t>
        </is>
      </c>
      <c r="E76" s="84" t="inlineStr">
        <is>
          <t>Registrar fatura de fornecedor</t>
        </is>
      </c>
      <c r="F76" s="84" t="inlineStr">
        <is>
          <t>F3</t>
        </is>
      </c>
      <c r="G76" s="84" t="inlineStr">
        <is>
          <t>Alta</t>
        </is>
      </c>
      <c r="H76" s="84" t="inlineStr">
        <is>
          <t>Planejada</t>
        </is>
      </c>
      <c r="I76" s="84" t="inlineStr">
        <is>
          <t>T-088, T-089</t>
        </is>
      </c>
      <c r="J76" s="84" t="inlineStr">
        <is>
          <t>Não</t>
        </is>
      </c>
      <c r="K76" s="84" t="inlineStr">
        <is>
          <t>Não</t>
        </is>
      </c>
      <c r="L76" s="84" t="n"/>
      <c r="O76" s="53" t="inlineStr">
        <is>
          <t>pagar.fatura.registrar</t>
        </is>
      </c>
      <c r="P76" s="53" t="inlineStr">
        <is>
          <t>accounting</t>
        </is>
      </c>
      <c r="Q76" s="53" t="inlineStr">
        <is>
          <t>bank / payable workflows (verify)</t>
        </is>
      </c>
      <c r="R76" s="53" t="inlineStr">
        <is>
          <t>https://github.com/bootstrapprx/kodoo/tree/main/modules/accounting</t>
        </is>
      </c>
      <c r="S76" s="53" t="inlineStr">
        <is>
          <t>Likely mapping; confirm exact function</t>
        </is>
      </c>
    </row>
    <row r="77" ht="15" customHeight="1" s="50">
      <c r="A77" s="84" t="inlineStr">
        <is>
          <t>FN-073</t>
        </is>
      </c>
      <c r="B77" s="84" t="inlineStr">
        <is>
          <t>Contas a Pagar</t>
        </is>
      </c>
      <c r="C77" s="89" t="inlineStr">
        <is>
          <t>pagar.fatura.gerar_lancamento</t>
        </is>
      </c>
      <c r="D77" s="84" t="inlineStr">
        <is>
          <t>Comando</t>
        </is>
      </c>
      <c r="E77" s="84" t="inlineStr">
        <is>
          <t>Gerar lançamento da fatura</t>
        </is>
      </c>
      <c r="F77" s="84" t="inlineStr">
        <is>
          <t>F3</t>
        </is>
      </c>
      <c r="G77" s="84" t="inlineStr">
        <is>
          <t>Alta</t>
        </is>
      </c>
      <c r="H77" s="84" t="inlineStr">
        <is>
          <t>Planejada</t>
        </is>
      </c>
      <c r="I77" s="84" t="inlineStr">
        <is>
          <t>T-089</t>
        </is>
      </c>
      <c r="J77" s="84" t="inlineStr">
        <is>
          <t>Não</t>
        </is>
      </c>
      <c r="K77" s="84" t="inlineStr">
        <is>
          <t>Não</t>
        </is>
      </c>
      <c r="L77" s="84" t="n"/>
      <c r="O77" s="53" t="inlineStr">
        <is>
          <t>pagar.fatura.generate_lancamento</t>
        </is>
      </c>
      <c r="P77" s="53" t="inlineStr">
        <is>
          <t>accounting</t>
        </is>
      </c>
      <c r="Q77" s="53" t="inlineStr">
        <is>
          <t>bank / payable workflows (verify)</t>
        </is>
      </c>
      <c r="R77" s="53" t="inlineStr">
        <is>
          <t>https://github.com/bootstrapprx/kodoo/tree/main/modules/accounting</t>
        </is>
      </c>
      <c r="S77" s="53" t="inlineStr">
        <is>
          <t>Likely mapping; confirm exact function</t>
        </is>
      </c>
    </row>
    <row r="78" ht="15" customHeight="1" s="50">
      <c r="A78" s="84" t="inlineStr">
        <is>
          <t>FN-074</t>
        </is>
      </c>
      <c r="B78" s="84" t="inlineStr">
        <is>
          <t>Contas a Pagar</t>
        </is>
      </c>
      <c r="C78" s="89" t="inlineStr">
        <is>
          <t>pagar.pagamento.registrar</t>
        </is>
      </c>
      <c r="D78" s="84" t="inlineStr">
        <is>
          <t>Comando</t>
        </is>
      </c>
      <c r="E78" s="84" t="inlineStr">
        <is>
          <t>Registrar pagamento</t>
        </is>
      </c>
      <c r="F78" s="84" t="inlineStr">
        <is>
          <t>F3</t>
        </is>
      </c>
      <c r="G78" s="84" t="inlineStr">
        <is>
          <t>Alta</t>
        </is>
      </c>
      <c r="H78" s="84" t="inlineStr">
        <is>
          <t>Planejada</t>
        </is>
      </c>
      <c r="I78" s="84" t="inlineStr">
        <is>
          <t>T-090, T-091</t>
        </is>
      </c>
      <c r="J78" s="84" t="inlineStr">
        <is>
          <t>Não</t>
        </is>
      </c>
      <c r="K78" s="84" t="inlineStr">
        <is>
          <t>Não</t>
        </is>
      </c>
      <c r="L78" s="84" t="n"/>
      <c r="O78" s="53" t="inlineStr">
        <is>
          <t>pagar.payment.registrar</t>
        </is>
      </c>
      <c r="P78" s="53" t="inlineStr">
        <is>
          <t>accounting</t>
        </is>
      </c>
      <c r="Q78" s="53" t="inlineStr">
        <is>
          <t>bank / payable workflows (verify)</t>
        </is>
      </c>
      <c r="R78" s="53" t="inlineStr">
        <is>
          <t>https://github.com/bootstrapprx/kodoo/tree/main/modules/accounting</t>
        </is>
      </c>
      <c r="S78" s="53" t="inlineStr">
        <is>
          <t>Likely mapping; confirm exact function</t>
        </is>
      </c>
    </row>
    <row r="79" ht="15" customHeight="1" s="50">
      <c r="A79" s="84" t="inlineStr">
        <is>
          <t>FN-075</t>
        </is>
      </c>
      <c r="B79" s="84" t="inlineStr">
        <is>
          <t>Contas a Pagar</t>
        </is>
      </c>
      <c r="C79" s="89" t="inlineStr">
        <is>
          <t>pagar.pagamento.alocar</t>
        </is>
      </c>
      <c r="D79" s="84" t="inlineStr">
        <is>
          <t>Comando</t>
        </is>
      </c>
      <c r="E79" s="84" t="inlineStr">
        <is>
          <t>Alocar pagamento a faturas</t>
        </is>
      </c>
      <c r="F79" s="84" t="inlineStr">
        <is>
          <t>F3</t>
        </is>
      </c>
      <c r="G79" s="84" t="inlineStr">
        <is>
          <t>Alta</t>
        </is>
      </c>
      <c r="H79" s="84" t="inlineStr">
        <is>
          <t>Planejada</t>
        </is>
      </c>
      <c r="I79" s="84" t="inlineStr">
        <is>
          <t>T-091</t>
        </is>
      </c>
      <c r="J79" s="84" t="inlineStr">
        <is>
          <t>Não</t>
        </is>
      </c>
      <c r="K79" s="84" t="inlineStr">
        <is>
          <t>Não</t>
        </is>
      </c>
      <c r="L79" s="84" t="n"/>
      <c r="O79" s="53" t="inlineStr">
        <is>
          <t>pagar.payment.alocar</t>
        </is>
      </c>
      <c r="P79" s="53" t="inlineStr">
        <is>
          <t>accounting</t>
        </is>
      </c>
      <c r="Q79" s="53" t="inlineStr">
        <is>
          <t>bank / payable workflows (verify)</t>
        </is>
      </c>
      <c r="R79" s="53" t="inlineStr">
        <is>
          <t>https://github.com/bootstrapprx/kodoo/tree/main/modules/accounting</t>
        </is>
      </c>
      <c r="S79" s="53" t="inlineStr">
        <is>
          <t>Likely mapping; confirm exact function</t>
        </is>
      </c>
    </row>
    <row r="80" ht="15" customHeight="1" s="50">
      <c r="A80" s="84" t="inlineStr">
        <is>
          <t>FN-076</t>
        </is>
      </c>
      <c r="B80" s="84" t="inlineStr">
        <is>
          <t>Contas a Pagar</t>
        </is>
      </c>
      <c r="C80" s="89" t="inlineStr">
        <is>
          <t>pagar.lote.gerar</t>
        </is>
      </c>
      <c r="D80" s="84" t="inlineStr">
        <is>
          <t>Comando</t>
        </is>
      </c>
      <c r="E80" s="84" t="inlineStr">
        <is>
          <t>Gerar lote de pagamentos</t>
        </is>
      </c>
      <c r="F80" s="84" t="inlineStr">
        <is>
          <t>F4</t>
        </is>
      </c>
      <c r="G80" s="84" t="inlineStr">
        <is>
          <t>Média</t>
        </is>
      </c>
      <c r="H80" s="84" t="inlineStr">
        <is>
          <t>Planejada</t>
        </is>
      </c>
      <c r="I80" s="84" t="inlineStr">
        <is>
          <t>T-092</t>
        </is>
      </c>
      <c r="J80" s="84" t="inlineStr">
        <is>
          <t>Não</t>
        </is>
      </c>
      <c r="K80" s="84" t="inlineStr">
        <is>
          <t>Não</t>
        </is>
      </c>
      <c r="L80" s="84" t="n"/>
      <c r="O80" s="53" t="inlineStr">
        <is>
          <t>pagar.batch.generate</t>
        </is>
      </c>
      <c r="P80" s="53" t="inlineStr">
        <is>
          <t>accounting</t>
        </is>
      </c>
      <c r="Q80" s="53" t="inlineStr">
        <is>
          <t>bank / payable workflows (verify)</t>
        </is>
      </c>
      <c r="R80" s="53" t="inlineStr">
        <is>
          <t>https://github.com/bootstrapprx/kodoo/tree/main/modules/accounting</t>
        </is>
      </c>
      <c r="S80" s="53" t="inlineStr">
        <is>
          <t>Likely mapping; confirm exact function</t>
        </is>
      </c>
    </row>
    <row r="81" ht="15" customHeight="1" s="50">
      <c r="A81" s="84" t="inlineStr">
        <is>
          <t>FN-077</t>
        </is>
      </c>
      <c r="B81" s="84" t="inlineStr">
        <is>
          <t>Contas a Pagar</t>
        </is>
      </c>
      <c r="C81" s="89" t="inlineStr">
        <is>
          <t>pagar.pagamento.aprovar</t>
        </is>
      </c>
      <c r="D81" s="84" t="inlineStr">
        <is>
          <t>Comando</t>
        </is>
      </c>
      <c r="E81" s="84" t="inlineStr">
        <is>
          <t>Aprovar pagamento</t>
        </is>
      </c>
      <c r="F81" s="84" t="inlineStr">
        <is>
          <t>F4</t>
        </is>
      </c>
      <c r="G81" s="84" t="inlineStr">
        <is>
          <t>Média</t>
        </is>
      </c>
      <c r="H81" s="84" t="inlineStr">
        <is>
          <t>Planejada</t>
        </is>
      </c>
      <c r="I81" s="84" t="inlineStr">
        <is>
          <t>T-093</t>
        </is>
      </c>
      <c r="J81" s="84" t="inlineStr">
        <is>
          <t>Não</t>
        </is>
      </c>
      <c r="K81" s="84" t="inlineStr">
        <is>
          <t>Não</t>
        </is>
      </c>
      <c r="L81" s="84" t="n"/>
      <c r="O81" s="53" t="inlineStr">
        <is>
          <t>pagar.payment.approve</t>
        </is>
      </c>
      <c r="P81" s="53" t="inlineStr">
        <is>
          <t>accounting</t>
        </is>
      </c>
      <c r="Q81" s="53" t="inlineStr">
        <is>
          <t>bank / payable workflows (verify)</t>
        </is>
      </c>
      <c r="R81" s="53" t="inlineStr">
        <is>
          <t>https://github.com/bootstrapprx/kodoo/tree/main/modules/accounting</t>
        </is>
      </c>
      <c r="S81" s="53" t="inlineStr">
        <is>
          <t>Likely mapping; confirm exact function</t>
        </is>
      </c>
    </row>
    <row r="82" ht="15" customHeight="1" s="50">
      <c r="A82" s="84" t="inlineStr">
        <is>
          <t>FN-078</t>
        </is>
      </c>
      <c r="B82" s="84" t="inlineStr">
        <is>
          <t>Contas a Pagar</t>
        </is>
      </c>
      <c r="C82" s="89" t="inlineStr">
        <is>
          <t>pagar.aging.gerar</t>
        </is>
      </c>
      <c r="D82" s="84" t="inlineStr">
        <is>
          <t>Relatório</t>
        </is>
      </c>
      <c r="E82" s="84" t="inlineStr">
        <is>
          <t>Aging de contas a pagar</t>
        </is>
      </c>
      <c r="F82" s="84" t="inlineStr">
        <is>
          <t>F4</t>
        </is>
      </c>
      <c r="G82" s="84" t="inlineStr">
        <is>
          <t>Média</t>
        </is>
      </c>
      <c r="H82" s="84" t="inlineStr">
        <is>
          <t>Planejada</t>
        </is>
      </c>
      <c r="I82" s="84" t="inlineStr">
        <is>
          <t>T-095</t>
        </is>
      </c>
      <c r="J82" s="84" t="inlineStr">
        <is>
          <t>Não</t>
        </is>
      </c>
      <c r="K82" s="84" t="inlineStr">
        <is>
          <t>Não</t>
        </is>
      </c>
      <c r="L82" s="84" t="n"/>
      <c r="O82" s="53" t="inlineStr">
        <is>
          <t>pagar.aging.generate</t>
        </is>
      </c>
      <c r="P82" s="53" t="inlineStr">
        <is>
          <t>accounting</t>
        </is>
      </c>
      <c r="Q82" s="53" t="inlineStr">
        <is>
          <t>bank / payable workflows (verify)</t>
        </is>
      </c>
      <c r="R82" s="53" t="inlineStr">
        <is>
          <t>https://github.com/bootstrapprx/kodoo/tree/main/modules/accounting</t>
        </is>
      </c>
      <c r="S82" s="53" t="inlineStr">
        <is>
          <t>Likely mapping; confirm exact function</t>
        </is>
      </c>
    </row>
    <row r="83" ht="15" customHeight="1" s="50">
      <c r="A83" s="84" t="inlineStr">
        <is>
          <t>FN-079</t>
        </is>
      </c>
      <c r="B83" s="84" t="inlineStr">
        <is>
          <t>Contas a Receber</t>
        </is>
      </c>
      <c r="C83" s="89" t="inlineStr">
        <is>
          <t>receber.fatura.registrar</t>
        </is>
      </c>
      <c r="D83" s="84" t="inlineStr">
        <is>
          <t>Comando</t>
        </is>
      </c>
      <c r="E83" s="84" t="inlineStr">
        <is>
          <t>Registrar fatura de cliente</t>
        </is>
      </c>
      <c r="F83" s="84" t="inlineStr">
        <is>
          <t>F3</t>
        </is>
      </c>
      <c r="G83" s="84" t="inlineStr">
        <is>
          <t>Alta</t>
        </is>
      </c>
      <c r="H83" s="84" t="inlineStr">
        <is>
          <t>Planejada</t>
        </is>
      </c>
      <c r="I83" s="84" t="inlineStr">
        <is>
          <t>T-096, T-097</t>
        </is>
      </c>
      <c r="J83" s="84" t="inlineStr">
        <is>
          <t>Não</t>
        </is>
      </c>
      <c r="K83" s="84" t="inlineStr">
        <is>
          <t>Não</t>
        </is>
      </c>
      <c r="L83" s="84" t="n"/>
      <c r="O83" s="53" t="inlineStr">
        <is>
          <t>receber.fatura.registrar</t>
        </is>
      </c>
      <c r="P83" s="53" t="inlineStr">
        <is>
          <t>accounting</t>
        </is>
      </c>
      <c r="Q83" s="53" t="inlineStr">
        <is>
          <t>receivable workflows (verify)</t>
        </is>
      </c>
      <c r="R83" s="53" t="inlineStr">
        <is>
          <t>https://github.com/bootstrapprx/kodoo/tree/main/modules/accounting</t>
        </is>
      </c>
      <c r="S83" s="53" t="inlineStr">
        <is>
          <t>Likely mapping; confirm exact function</t>
        </is>
      </c>
    </row>
    <row r="84" ht="15" customHeight="1" s="50">
      <c r="A84" s="84" t="inlineStr">
        <is>
          <t>FN-080</t>
        </is>
      </c>
      <c r="B84" s="84" t="inlineStr">
        <is>
          <t>Contas a Receber</t>
        </is>
      </c>
      <c r="C84" s="89" t="inlineStr">
        <is>
          <t>receber.fatura.gerar_lancamento</t>
        </is>
      </c>
      <c r="D84" s="84" t="inlineStr">
        <is>
          <t>Comando</t>
        </is>
      </c>
      <c r="E84" s="84" t="inlineStr">
        <is>
          <t>Gerar lançamento da fatura</t>
        </is>
      </c>
      <c r="F84" s="84" t="inlineStr">
        <is>
          <t>F3</t>
        </is>
      </c>
      <c r="G84" s="84" t="inlineStr">
        <is>
          <t>Alta</t>
        </is>
      </c>
      <c r="H84" s="84" t="inlineStr">
        <is>
          <t>Planejada</t>
        </is>
      </c>
      <c r="I84" s="84" t="inlineStr">
        <is>
          <t>T-097</t>
        </is>
      </c>
      <c r="J84" s="84" t="inlineStr">
        <is>
          <t>Não</t>
        </is>
      </c>
      <c r="K84" s="84" t="inlineStr">
        <is>
          <t>Não</t>
        </is>
      </c>
      <c r="L84" s="84" t="n"/>
      <c r="O84" s="53" t="inlineStr">
        <is>
          <t>receber.fatura.generate_lancamento</t>
        </is>
      </c>
      <c r="P84" s="53" t="inlineStr">
        <is>
          <t>accounting</t>
        </is>
      </c>
      <c r="Q84" s="53" t="inlineStr">
        <is>
          <t>receivable workflows (verify)</t>
        </is>
      </c>
      <c r="R84" s="53" t="inlineStr">
        <is>
          <t>https://github.com/bootstrapprx/kodoo/tree/main/modules/accounting</t>
        </is>
      </c>
      <c r="S84" s="53" t="inlineStr">
        <is>
          <t>Likely mapping; confirm exact function</t>
        </is>
      </c>
    </row>
    <row r="85" ht="15" customHeight="1" s="50">
      <c r="A85" s="84" t="inlineStr">
        <is>
          <t>FN-081</t>
        </is>
      </c>
      <c r="B85" s="84" t="inlineStr">
        <is>
          <t>Contas a Receber</t>
        </is>
      </c>
      <c r="C85" s="89" t="inlineStr">
        <is>
          <t>receber.recebimento.registrar</t>
        </is>
      </c>
      <c r="D85" s="84" t="inlineStr">
        <is>
          <t>Comando</t>
        </is>
      </c>
      <c r="E85" s="84" t="inlineStr">
        <is>
          <t>Registrar recebimento</t>
        </is>
      </c>
      <c r="F85" s="84" t="inlineStr">
        <is>
          <t>F3</t>
        </is>
      </c>
      <c r="G85" s="84" t="inlineStr">
        <is>
          <t>Alta</t>
        </is>
      </c>
      <c r="H85" s="84" t="inlineStr">
        <is>
          <t>Planejada</t>
        </is>
      </c>
      <c r="I85" s="84" t="inlineStr">
        <is>
          <t>T-098, T-099</t>
        </is>
      </c>
      <c r="J85" s="84" t="inlineStr">
        <is>
          <t>Não</t>
        </is>
      </c>
      <c r="K85" s="84" t="inlineStr">
        <is>
          <t>Não</t>
        </is>
      </c>
      <c r="L85" s="84" t="n"/>
      <c r="O85" s="53" t="inlineStr">
        <is>
          <t>receber.receipt.registrar</t>
        </is>
      </c>
      <c r="P85" s="53" t="inlineStr">
        <is>
          <t>accounting</t>
        </is>
      </c>
      <c r="Q85" s="53" t="inlineStr">
        <is>
          <t>receivable workflows (verify)</t>
        </is>
      </c>
      <c r="R85" s="53" t="inlineStr">
        <is>
          <t>https://github.com/bootstrapprx/kodoo/tree/main/modules/accounting</t>
        </is>
      </c>
      <c r="S85" s="53" t="inlineStr">
        <is>
          <t>Likely mapping; confirm exact function</t>
        </is>
      </c>
    </row>
    <row r="86" ht="15" customHeight="1" s="50">
      <c r="A86" s="84" t="inlineStr">
        <is>
          <t>FN-082</t>
        </is>
      </c>
      <c r="B86" s="84" t="inlineStr">
        <is>
          <t>Contas a Receber</t>
        </is>
      </c>
      <c r="C86" s="89" t="inlineStr">
        <is>
          <t>receber.recebimento.alocar</t>
        </is>
      </c>
      <c r="D86" s="84" t="inlineStr">
        <is>
          <t>Comando</t>
        </is>
      </c>
      <c r="E86" s="84" t="inlineStr">
        <is>
          <t>Alocar recebimento a faturas</t>
        </is>
      </c>
      <c r="F86" s="84" t="inlineStr">
        <is>
          <t>F3</t>
        </is>
      </c>
      <c r="G86" s="84" t="inlineStr">
        <is>
          <t>Alta</t>
        </is>
      </c>
      <c r="H86" s="84" t="inlineStr">
        <is>
          <t>Planejada</t>
        </is>
      </c>
      <c r="I86" s="84" t="inlineStr">
        <is>
          <t>T-099</t>
        </is>
      </c>
      <c r="J86" s="84" t="inlineStr">
        <is>
          <t>Não</t>
        </is>
      </c>
      <c r="K86" s="84" t="inlineStr">
        <is>
          <t>Não</t>
        </is>
      </c>
      <c r="L86" s="84" t="n"/>
      <c r="O86" s="53" t="inlineStr">
        <is>
          <t>receber.receipt.alocar</t>
        </is>
      </c>
      <c r="P86" s="53" t="inlineStr">
        <is>
          <t>accounting</t>
        </is>
      </c>
      <c r="Q86" s="53" t="inlineStr">
        <is>
          <t>receivable workflows (verify)</t>
        </is>
      </c>
      <c r="R86" s="53" t="inlineStr">
        <is>
          <t>https://github.com/bootstrapprx/kodoo/tree/main/modules/accounting</t>
        </is>
      </c>
      <c r="S86" s="53" t="inlineStr">
        <is>
          <t>Likely mapping; confirm exact function</t>
        </is>
      </c>
    </row>
    <row r="87" ht="15" customHeight="1" s="50">
      <c r="A87" s="84" t="inlineStr">
        <is>
          <t>FN-083</t>
        </is>
      </c>
      <c r="B87" s="84" t="inlineStr">
        <is>
          <t>Contas a Receber</t>
        </is>
      </c>
      <c r="C87" s="89" t="inlineStr">
        <is>
          <t>receber.nota_credito.emitir</t>
        </is>
      </c>
      <c r="D87" s="84" t="inlineStr">
        <is>
          <t>Comando</t>
        </is>
      </c>
      <c r="E87" s="84" t="inlineStr">
        <is>
          <t>Emitir nota de crédito</t>
        </is>
      </c>
      <c r="F87" s="84" t="inlineStr">
        <is>
          <t>F4</t>
        </is>
      </c>
      <c r="G87" s="84" t="inlineStr">
        <is>
          <t>Média</t>
        </is>
      </c>
      <c r="H87" s="84" t="inlineStr">
        <is>
          <t>Planejada</t>
        </is>
      </c>
      <c r="I87" s="84" t="inlineStr">
        <is>
          <t>T-100</t>
        </is>
      </c>
      <c r="J87" s="84" t="inlineStr">
        <is>
          <t>Não</t>
        </is>
      </c>
      <c r="K87" s="84" t="inlineStr">
        <is>
          <t>Não</t>
        </is>
      </c>
      <c r="L87" s="84" t="n"/>
      <c r="O87" s="53" t="inlineStr">
        <is>
          <t>receber.nota_credito.emitir</t>
        </is>
      </c>
      <c r="P87" s="53" t="inlineStr">
        <is>
          <t>accounting</t>
        </is>
      </c>
      <c r="Q87" s="53" t="inlineStr">
        <is>
          <t>receivable workflows (verify)</t>
        </is>
      </c>
      <c r="R87" s="53" t="inlineStr">
        <is>
          <t>https://github.com/bootstrapprx/kodoo/tree/main/modules/accounting</t>
        </is>
      </c>
      <c r="S87" s="53" t="inlineStr">
        <is>
          <t>Likely mapping; confirm exact function</t>
        </is>
      </c>
    </row>
    <row r="88" ht="15" customHeight="1" s="50">
      <c r="A88" s="84" t="inlineStr">
        <is>
          <t>FN-084</t>
        </is>
      </c>
      <c r="B88" s="84" t="inlineStr">
        <is>
          <t>Contas a Receber</t>
        </is>
      </c>
      <c r="C88" s="89" t="inlineStr">
        <is>
          <t>receber.aging.gerar</t>
        </is>
      </c>
      <c r="D88" s="84" t="inlineStr">
        <is>
          <t>Relatório</t>
        </is>
      </c>
      <c r="E88" s="84" t="inlineStr">
        <is>
          <t>Aging de contas a receber</t>
        </is>
      </c>
      <c r="F88" s="84" t="inlineStr">
        <is>
          <t>F4</t>
        </is>
      </c>
      <c r="G88" s="84" t="inlineStr">
        <is>
          <t>Média</t>
        </is>
      </c>
      <c r="H88" s="84" t="inlineStr">
        <is>
          <t>Planejada</t>
        </is>
      </c>
      <c r="I88" s="84" t="inlineStr">
        <is>
          <t>T-102</t>
        </is>
      </c>
      <c r="J88" s="84" t="inlineStr">
        <is>
          <t>Não</t>
        </is>
      </c>
      <c r="K88" s="84" t="inlineStr">
        <is>
          <t>Não</t>
        </is>
      </c>
      <c r="L88" s="84" t="n"/>
      <c r="O88" s="53" t="inlineStr">
        <is>
          <t>receber.aging.generate</t>
        </is>
      </c>
      <c r="P88" s="53" t="inlineStr">
        <is>
          <t>accounting</t>
        </is>
      </c>
      <c r="Q88" s="53" t="inlineStr">
        <is>
          <t>receivable workflows (verify)</t>
        </is>
      </c>
      <c r="R88" s="53" t="inlineStr">
        <is>
          <t>https://github.com/bootstrapprx/kodoo/tree/main/modules/accounting</t>
        </is>
      </c>
      <c r="S88" s="53" t="inlineStr">
        <is>
          <t>Likely mapping; confirm exact function</t>
        </is>
      </c>
    </row>
    <row r="89" ht="15" customHeight="1" s="50">
      <c r="A89" s="84" t="inlineStr">
        <is>
          <t>FN-085</t>
        </is>
      </c>
      <c r="B89" s="84" t="inlineStr">
        <is>
          <t>Tesouraria e Bancos</t>
        </is>
      </c>
      <c r="C89" s="89" t="inlineStr">
        <is>
          <t>tesouraria.extrato.importar</t>
        </is>
      </c>
      <c r="D89" s="84" t="inlineStr">
        <is>
          <t>Importação</t>
        </is>
      </c>
      <c r="E89" s="84" t="inlineStr">
        <is>
          <t>Importar extrato bancário (OFX e CSV)</t>
        </is>
      </c>
      <c r="F89" s="84" t="inlineStr">
        <is>
          <t>F3</t>
        </is>
      </c>
      <c r="G89" s="84" t="inlineStr">
        <is>
          <t>Alta</t>
        </is>
      </c>
      <c r="H89" s="84" t="inlineStr">
        <is>
          <t>Planejada</t>
        </is>
      </c>
      <c r="I89" s="84" t="inlineStr">
        <is>
          <t>T-105</t>
        </is>
      </c>
      <c r="J89" s="84" t="inlineStr">
        <is>
          <t>Não</t>
        </is>
      </c>
      <c r="K89" s="84" t="inlineStr">
        <is>
          <t>Não</t>
        </is>
      </c>
      <c r="L89" s="84" t="n"/>
      <c r="O89" s="53" t="inlineStr">
        <is>
          <t>tesouraria.statement.import</t>
        </is>
      </c>
      <c r="P89" s="53" t="inlineStr">
        <is>
          <t>accounting</t>
        </is>
      </c>
      <c r="Q89" s="53" t="inlineStr">
        <is>
          <t>bank</t>
        </is>
      </c>
      <c r="R89" s="53" t="inlineStr">
        <is>
          <t>https://github.com/bootstrapprx/kodoo/tree/main/modules/accounting</t>
        </is>
      </c>
      <c r="S89" s="53" t="inlineStr">
        <is>
          <t>Likely mapping; confirm exact function</t>
        </is>
      </c>
    </row>
    <row r="90" ht="15" customHeight="1" s="50">
      <c r="A90" s="84" t="inlineStr">
        <is>
          <t>FN-086</t>
        </is>
      </c>
      <c r="B90" s="84" t="inlineStr">
        <is>
          <t>Tesouraria e Bancos</t>
        </is>
      </c>
      <c r="C90" s="89" t="inlineStr">
        <is>
          <t>tesouraria.conciliacao.sugerir</t>
        </is>
      </c>
      <c r="D90" s="84" t="inlineStr">
        <is>
          <t>Cálculo</t>
        </is>
      </c>
      <c r="E90" s="84" t="inlineStr">
        <is>
          <t>Sugerir conciliações</t>
        </is>
      </c>
      <c r="F90" s="84" t="inlineStr">
        <is>
          <t>F3</t>
        </is>
      </c>
      <c r="G90" s="84" t="inlineStr">
        <is>
          <t>Alta</t>
        </is>
      </c>
      <c r="H90" s="84" t="inlineStr">
        <is>
          <t>Planejada</t>
        </is>
      </c>
      <c r="I90" s="84" t="inlineStr">
        <is>
          <t>T-106</t>
        </is>
      </c>
      <c r="J90" s="84" t="inlineStr">
        <is>
          <t>Não</t>
        </is>
      </c>
      <c r="K90" s="84" t="inlineStr">
        <is>
          <t>Não</t>
        </is>
      </c>
      <c r="L90" s="84" t="n"/>
      <c r="O90" s="53" t="inlineStr">
        <is>
          <t>tesouraria.conciliacao.sugerir</t>
        </is>
      </c>
      <c r="P90" s="53" t="inlineStr">
        <is>
          <t>accounting</t>
        </is>
      </c>
      <c r="Q90" s="53" t="inlineStr">
        <is>
          <t>bank</t>
        </is>
      </c>
      <c r="R90" s="53" t="inlineStr">
        <is>
          <t>https://github.com/bootstrapprx/kodoo/tree/main/modules/accounting</t>
        </is>
      </c>
      <c r="S90" s="53" t="inlineStr">
        <is>
          <t>Likely mapping; confirm exact function</t>
        </is>
      </c>
    </row>
    <row r="91" ht="15" customHeight="1" s="50">
      <c r="A91" s="84" t="inlineStr">
        <is>
          <t>FN-087</t>
        </is>
      </c>
      <c r="B91" s="84" t="inlineStr">
        <is>
          <t>Tesouraria e Bancos</t>
        </is>
      </c>
      <c r="C91" s="89" t="inlineStr">
        <is>
          <t>tesouraria.conciliacao.conciliar</t>
        </is>
      </c>
      <c r="D91" s="84" t="inlineStr">
        <is>
          <t>Comando</t>
        </is>
      </c>
      <c r="E91" s="84" t="inlineStr">
        <is>
          <t>Conciliar itens</t>
        </is>
      </c>
      <c r="F91" s="84" t="inlineStr">
        <is>
          <t>F3</t>
        </is>
      </c>
      <c r="G91" s="84" t="inlineStr">
        <is>
          <t>Alta</t>
        </is>
      </c>
      <c r="H91" s="84" t="inlineStr">
        <is>
          <t>Planejada</t>
        </is>
      </c>
      <c r="I91" s="84" t="inlineStr">
        <is>
          <t>T-106</t>
        </is>
      </c>
      <c r="J91" s="84" t="inlineStr">
        <is>
          <t>Não</t>
        </is>
      </c>
      <c r="K91" s="84" t="inlineStr">
        <is>
          <t>Não</t>
        </is>
      </c>
      <c r="L91" s="84" t="n"/>
      <c r="O91" s="53" t="inlineStr">
        <is>
          <t>tesouraria.conciliacao.reconcile</t>
        </is>
      </c>
      <c r="P91" s="53" t="inlineStr">
        <is>
          <t>accounting</t>
        </is>
      </c>
      <c r="Q91" s="53" t="inlineStr">
        <is>
          <t>bank</t>
        </is>
      </c>
      <c r="R91" s="53" t="inlineStr">
        <is>
          <t>https://github.com/bootstrapprx/kodoo/tree/main/modules/accounting</t>
        </is>
      </c>
      <c r="S91" s="53" t="inlineStr">
        <is>
          <t>Likely mapping; confirm exact function</t>
        </is>
      </c>
    </row>
    <row r="92" ht="15" customHeight="1" s="50">
      <c r="A92" s="84" t="inlineStr">
        <is>
          <t>FN-088</t>
        </is>
      </c>
      <c r="B92" s="84" t="inlineStr">
        <is>
          <t>Tesouraria e Bancos</t>
        </is>
      </c>
      <c r="C92" s="89" t="inlineStr">
        <is>
          <t>tesouraria.conciliacao.desfazer</t>
        </is>
      </c>
      <c r="D92" s="84" t="inlineStr">
        <is>
          <t>Comando</t>
        </is>
      </c>
      <c r="E92" s="84" t="inlineStr">
        <is>
          <t>Desfazer conciliação</t>
        </is>
      </c>
      <c r="F92" s="84" t="inlineStr">
        <is>
          <t>F3</t>
        </is>
      </c>
      <c r="G92" s="84" t="inlineStr">
        <is>
          <t>Média</t>
        </is>
      </c>
      <c r="H92" s="84" t="inlineStr">
        <is>
          <t>Planejada</t>
        </is>
      </c>
      <c r="I92" s="84" t="inlineStr">
        <is>
          <t>T-106</t>
        </is>
      </c>
      <c r="J92" s="84" t="inlineStr">
        <is>
          <t>Não</t>
        </is>
      </c>
      <c r="K92" s="84" t="inlineStr">
        <is>
          <t>Não</t>
        </is>
      </c>
      <c r="L92" s="84" t="n"/>
      <c r="O92" s="53" t="inlineStr">
        <is>
          <t>tesouraria.conciliacao.desfazer</t>
        </is>
      </c>
      <c r="P92" s="53" t="inlineStr">
        <is>
          <t>accounting</t>
        </is>
      </c>
      <c r="Q92" s="53" t="inlineStr">
        <is>
          <t>bank</t>
        </is>
      </c>
      <c r="R92" s="53" t="inlineStr">
        <is>
          <t>https://github.com/bootstrapprx/kodoo/tree/main/modules/accounting</t>
        </is>
      </c>
      <c r="S92" s="53" t="inlineStr">
        <is>
          <t>Likely mapping; confirm exact function</t>
        </is>
      </c>
    </row>
    <row r="93" ht="15" customHeight="1" s="50">
      <c r="A93" s="84" t="inlineStr">
        <is>
          <t>FN-089</t>
        </is>
      </c>
      <c r="B93" s="84" t="inlineStr">
        <is>
          <t>Tesouraria e Bancos</t>
        </is>
      </c>
      <c r="C93" s="89" t="inlineStr">
        <is>
          <t>tesouraria.transferencia.registrar</t>
        </is>
      </c>
      <c r="D93" s="84" t="inlineStr">
        <is>
          <t>Comando</t>
        </is>
      </c>
      <c r="E93" s="84" t="inlineStr">
        <is>
          <t>Transferência entre contas</t>
        </is>
      </c>
      <c r="F93" s="84" t="inlineStr">
        <is>
          <t>F3</t>
        </is>
      </c>
      <c r="G93" s="84" t="inlineStr">
        <is>
          <t>Média</t>
        </is>
      </c>
      <c r="H93" s="84" t="inlineStr">
        <is>
          <t>Planejada</t>
        </is>
      </c>
      <c r="I93" s="84" t="inlineStr">
        <is>
          <t>T-107</t>
        </is>
      </c>
      <c r="J93" s="84" t="inlineStr">
        <is>
          <t>Não</t>
        </is>
      </c>
      <c r="K93" s="84" t="inlineStr">
        <is>
          <t>Não</t>
        </is>
      </c>
      <c r="L93" s="84" t="n"/>
      <c r="O93" s="53" t="inlineStr">
        <is>
          <t>tesouraria.transferencia.registrar</t>
        </is>
      </c>
      <c r="P93" s="53" t="inlineStr">
        <is>
          <t>accounting</t>
        </is>
      </c>
      <c r="Q93" s="53" t="inlineStr">
        <is>
          <t>bank</t>
        </is>
      </c>
      <c r="R93" s="53" t="inlineStr">
        <is>
          <t>https://github.com/bootstrapprx/kodoo/tree/main/modules/accounting</t>
        </is>
      </c>
      <c r="S93" s="53" t="inlineStr">
        <is>
          <t>Likely mapping; confirm exact function</t>
        </is>
      </c>
    </row>
    <row r="94" ht="15" customHeight="1" s="50">
      <c r="A94" s="84" t="inlineStr">
        <is>
          <t>FN-090</t>
        </is>
      </c>
      <c r="B94" s="84" t="inlineStr">
        <is>
          <t>Tesouraria e Bancos</t>
        </is>
      </c>
      <c r="C94" s="89" t="inlineStr">
        <is>
          <t>tesouraria.conciliacao.regras</t>
        </is>
      </c>
      <c r="D94" s="84" t="inlineStr">
        <is>
          <t>Comando</t>
        </is>
      </c>
      <c r="E94" s="84" t="inlineStr">
        <is>
          <t>Regras de conciliação automática</t>
        </is>
      </c>
      <c r="F94" s="84" t="inlineStr">
        <is>
          <t>F4</t>
        </is>
      </c>
      <c r="G94" s="84" t="inlineStr">
        <is>
          <t>Baixa</t>
        </is>
      </c>
      <c r="H94" s="84" t="inlineStr">
        <is>
          <t>Planejada</t>
        </is>
      </c>
      <c r="I94" s="84" t="inlineStr">
        <is>
          <t>T-111, T-112</t>
        </is>
      </c>
      <c r="J94" s="84" t="inlineStr">
        <is>
          <t>Não</t>
        </is>
      </c>
      <c r="K94" s="84" t="inlineStr">
        <is>
          <t>Não</t>
        </is>
      </c>
      <c r="L94" s="84" t="n"/>
      <c r="O94" s="53" t="inlineStr">
        <is>
          <t>tesouraria.conciliacao.regras</t>
        </is>
      </c>
      <c r="P94" s="53" t="inlineStr">
        <is>
          <t>accounting</t>
        </is>
      </c>
      <c r="Q94" s="53" t="inlineStr">
        <is>
          <t>bank</t>
        </is>
      </c>
      <c r="R94" s="53" t="inlineStr">
        <is>
          <t>https://github.com/bootstrapprx/kodoo/tree/main/modules/accounting</t>
        </is>
      </c>
      <c r="S94" s="53" t="inlineStr">
        <is>
          <t>Likely mapping; confirm exact function</t>
        </is>
      </c>
    </row>
    <row r="95" ht="15" customHeight="1" s="50">
      <c r="A95" s="84" t="inlineStr">
        <is>
          <t>FN-091</t>
        </is>
      </c>
      <c r="B95" s="84" t="inlineStr">
        <is>
          <t>Tesouraria e Bancos</t>
        </is>
      </c>
      <c r="C95" s="89" t="inlineStr">
        <is>
          <t>tesouraria.fluxo_caixa.gerar</t>
        </is>
      </c>
      <c r="D95" s="84" t="inlineStr">
        <is>
          <t>Relatório</t>
        </is>
      </c>
      <c r="E95" s="84" t="inlineStr">
        <is>
          <t>Fluxo de caixa realizado</t>
        </is>
      </c>
      <c r="F95" s="84" t="inlineStr">
        <is>
          <t>F4</t>
        </is>
      </c>
      <c r="G95" s="84" t="inlineStr">
        <is>
          <t>Alta</t>
        </is>
      </c>
      <c r="H95" s="84" t="inlineStr">
        <is>
          <t>Planejada</t>
        </is>
      </c>
      <c r="I95" s="84" t="inlineStr">
        <is>
          <t>T-109, T-171</t>
        </is>
      </c>
      <c r="J95" s="84" t="inlineStr">
        <is>
          <t>Não</t>
        </is>
      </c>
      <c r="K95" s="84" t="inlineStr">
        <is>
          <t>Não</t>
        </is>
      </c>
      <c r="L95" s="84" t="n"/>
      <c r="O95" s="53" t="inlineStr">
        <is>
          <t>tesouraria.fluxo_caixa.generate</t>
        </is>
      </c>
      <c r="P95" s="53" t="inlineStr">
        <is>
          <t>accounting</t>
        </is>
      </c>
      <c r="Q95" s="53" t="inlineStr">
        <is>
          <t>bank</t>
        </is>
      </c>
      <c r="R95" s="53" t="inlineStr">
        <is>
          <t>https://github.com/bootstrapprx/kodoo/tree/main/modules/accounting</t>
        </is>
      </c>
      <c r="S95" s="53" t="inlineStr">
        <is>
          <t>Likely mapping; confirm exact function</t>
        </is>
      </c>
    </row>
    <row r="96" ht="15" customHeight="1" s="50">
      <c r="A96" s="84" t="inlineStr">
        <is>
          <t>FN-092</t>
        </is>
      </c>
      <c r="B96" s="84" t="inlineStr">
        <is>
          <t>Tesouraria e Bancos</t>
        </is>
      </c>
      <c r="C96" s="89" t="inlineStr">
        <is>
          <t>tesouraria.fluxo_caixa.projetar</t>
        </is>
      </c>
      <c r="D96" s="84" t="inlineStr">
        <is>
          <t>Cálculo</t>
        </is>
      </c>
      <c r="E96" s="84" t="inlineStr">
        <is>
          <t>Projeção de fluxo de caixa</t>
        </is>
      </c>
      <c r="F96" s="84" t="inlineStr">
        <is>
          <t>F4</t>
        </is>
      </c>
      <c r="G96" s="84" t="inlineStr">
        <is>
          <t>Média</t>
        </is>
      </c>
      <c r="H96" s="84" t="inlineStr">
        <is>
          <t>Planejada</t>
        </is>
      </c>
      <c r="I96" s="84" t="inlineStr">
        <is>
          <t>T-110</t>
        </is>
      </c>
      <c r="J96" s="84" t="inlineStr">
        <is>
          <t>Não</t>
        </is>
      </c>
      <c r="K96" s="84" t="inlineStr">
        <is>
          <t>Não</t>
        </is>
      </c>
      <c r="L96" s="84" t="n"/>
      <c r="O96" s="53" t="inlineStr">
        <is>
          <t>tesouraria.fluxo_caixa.projetar</t>
        </is>
      </c>
      <c r="P96" s="53" t="inlineStr">
        <is>
          <t>accounting</t>
        </is>
      </c>
      <c r="Q96" s="53" t="inlineStr">
        <is>
          <t>bank</t>
        </is>
      </c>
      <c r="R96" s="53" t="inlineStr">
        <is>
          <t>https://github.com/bootstrapprx/kodoo/tree/main/modules/accounting</t>
        </is>
      </c>
      <c r="S96" s="53" t="inlineStr">
        <is>
          <t>Likely mapping; confirm exact function</t>
        </is>
      </c>
    </row>
    <row r="97" ht="15" customHeight="1" s="50">
      <c r="A97" s="84" t="inlineStr">
        <is>
          <t>FN-093</t>
        </is>
      </c>
      <c r="B97" s="84" t="inlineStr">
        <is>
          <t>Orçamento</t>
        </is>
      </c>
      <c r="C97" s="89" t="inlineStr">
        <is>
          <t>orcamento.criar</t>
        </is>
      </c>
      <c r="D97" s="84" t="inlineStr">
        <is>
          <t>Comando</t>
        </is>
      </c>
      <c r="E97" s="84" t="inlineStr">
        <is>
          <t>Criar orçamento</t>
        </is>
      </c>
      <c r="F97" s="84" t="inlineStr">
        <is>
          <t>F4</t>
        </is>
      </c>
      <c r="G97" s="84" t="inlineStr">
        <is>
          <t>Média</t>
        </is>
      </c>
      <c r="H97" s="84" t="inlineStr">
        <is>
          <t>Planejada</t>
        </is>
      </c>
      <c r="I97" s="84" t="inlineStr">
        <is>
          <t>T-113, T-114, T-115</t>
        </is>
      </c>
      <c r="J97" s="84" t="inlineStr">
        <is>
          <t>Não</t>
        </is>
      </c>
      <c r="K97" s="84" t="inlineStr">
        <is>
          <t>Não</t>
        </is>
      </c>
      <c r="L97" s="84" t="n"/>
      <c r="O97" s="53" t="inlineStr">
        <is>
          <t>budget.create</t>
        </is>
      </c>
      <c r="P97" s="53" t="inlineStr">
        <is>
          <t>future/verify</t>
        </is>
      </c>
      <c r="Q97" s="53" t="inlineStr">
        <is>
          <t>budgeting</t>
        </is>
      </c>
      <c r="R97" s="53" t="inlineStr">
        <is>
          <t>https://github.com/bootstrapprx/kodoo/tree/main/modules</t>
        </is>
      </c>
      <c r="S97" s="53" t="inlineStr">
        <is>
          <t>Proposed classification; validate against code</t>
        </is>
      </c>
    </row>
    <row r="98" ht="15" customHeight="1" s="50">
      <c r="A98" s="84" t="inlineStr">
        <is>
          <t>FN-094</t>
        </is>
      </c>
      <c r="B98" s="84" t="inlineStr">
        <is>
          <t>Orçamento</t>
        </is>
      </c>
      <c r="C98" s="89" t="inlineStr">
        <is>
          <t>orcamento.comparar_realizado</t>
        </is>
      </c>
      <c r="D98" s="84" t="inlineStr">
        <is>
          <t>Cálculo</t>
        </is>
      </c>
      <c r="E98" s="84" t="inlineStr">
        <is>
          <t>Comparar orçado e realizado</t>
        </is>
      </c>
      <c r="F98" s="84" t="inlineStr">
        <is>
          <t>F4</t>
        </is>
      </c>
      <c r="G98" s="84" t="inlineStr">
        <is>
          <t>Alta</t>
        </is>
      </c>
      <c r="H98" s="84" t="inlineStr">
        <is>
          <t>Planejada</t>
        </is>
      </c>
      <c r="I98" s="84" t="inlineStr">
        <is>
          <t>T-116, T-118</t>
        </is>
      </c>
      <c r="J98" s="84" t="inlineStr">
        <is>
          <t>Não</t>
        </is>
      </c>
      <c r="K98" s="84" t="inlineStr">
        <is>
          <t>Não</t>
        </is>
      </c>
      <c r="L98" s="84" t="n"/>
      <c r="O98" s="53" t="inlineStr">
        <is>
          <t>budget.comparar_realizado</t>
        </is>
      </c>
      <c r="P98" s="53" t="inlineStr">
        <is>
          <t>future/verify</t>
        </is>
      </c>
      <c r="Q98" s="53" t="inlineStr">
        <is>
          <t>budgeting</t>
        </is>
      </c>
      <c r="R98" s="53" t="inlineStr">
        <is>
          <t>https://github.com/bootstrapprx/kodoo/tree/main/modules</t>
        </is>
      </c>
      <c r="S98" s="53" t="inlineStr">
        <is>
          <t>Proposed classification; validate against code</t>
        </is>
      </c>
    </row>
    <row r="99" ht="15" customHeight="1" s="50">
      <c r="A99" s="84" t="inlineStr">
        <is>
          <t>FN-095</t>
        </is>
      </c>
      <c r="B99" s="84" t="inlineStr">
        <is>
          <t>Orçamento</t>
        </is>
      </c>
      <c r="C99" s="89" t="inlineStr">
        <is>
          <t>orcamento.revisar</t>
        </is>
      </c>
      <c r="D99" s="84" t="inlineStr">
        <is>
          <t>Comando</t>
        </is>
      </c>
      <c r="E99" s="84" t="inlineStr">
        <is>
          <t>Revisar orçamento</t>
        </is>
      </c>
      <c r="F99" s="84" t="inlineStr">
        <is>
          <t>F5</t>
        </is>
      </c>
      <c r="G99" s="84" t="inlineStr">
        <is>
          <t>Baixa</t>
        </is>
      </c>
      <c r="H99" s="84" t="inlineStr">
        <is>
          <t>Planejada</t>
        </is>
      </c>
      <c r="I99" s="84" t="inlineStr">
        <is>
          <t>T-117</t>
        </is>
      </c>
      <c r="J99" s="84" t="inlineStr">
        <is>
          <t>Não</t>
        </is>
      </c>
      <c r="K99" s="84" t="inlineStr">
        <is>
          <t>Não</t>
        </is>
      </c>
      <c r="L99" s="84" t="n"/>
      <c r="O99" s="53" t="inlineStr">
        <is>
          <t>budget.revisar</t>
        </is>
      </c>
      <c r="P99" s="53" t="inlineStr">
        <is>
          <t>future/verify</t>
        </is>
      </c>
      <c r="Q99" s="53" t="inlineStr">
        <is>
          <t>budgeting</t>
        </is>
      </c>
      <c r="R99" s="53" t="inlineStr">
        <is>
          <t>https://github.com/bootstrapprx/kodoo/tree/main/modules</t>
        </is>
      </c>
      <c r="S99" s="53" t="inlineStr">
        <is>
          <t>Proposed classification; validate against code</t>
        </is>
      </c>
    </row>
    <row r="100" ht="15" customHeight="1" s="50">
      <c r="A100" s="84" t="inlineStr">
        <is>
          <t>FN-096</t>
        </is>
      </c>
      <c r="B100" s="84" t="inlineStr">
        <is>
          <t>Relatórios Financeiros</t>
        </is>
      </c>
      <c r="C100" s="89" t="inlineStr">
        <is>
          <t>demonstracao.balanco_patrimonial</t>
        </is>
      </c>
      <c r="D100" s="84" t="inlineStr">
        <is>
          <t>Relatório</t>
        </is>
      </c>
      <c r="E100" s="84" t="inlineStr">
        <is>
          <t>Balanço patrimonial</t>
        </is>
      </c>
      <c r="F100" s="84" t="inlineStr">
        <is>
          <t>F4</t>
        </is>
      </c>
      <c r="G100" s="84" t="inlineStr">
        <is>
          <t>Alta</t>
        </is>
      </c>
      <c r="H100" s="84" t="inlineStr">
        <is>
          <t>Planejada</t>
        </is>
      </c>
      <c r="I100" s="84" t="inlineStr">
        <is>
          <t>T-119</t>
        </is>
      </c>
      <c r="J100" s="84" t="inlineStr">
        <is>
          <t>Não</t>
        </is>
      </c>
      <c r="K100" s="84" t="inlineStr">
        <is>
          <t>Não</t>
        </is>
      </c>
      <c r="L100" s="84" t="n"/>
      <c r="O100" s="53" t="inlineStr">
        <is>
          <t>demonstracao.balanco_patrimonial</t>
        </is>
      </c>
      <c r="P100" s="53" t="inlineStr">
        <is>
          <t>accounting</t>
        </is>
      </c>
      <c r="Q100" s="53" t="inlineStr">
        <is>
          <t>reports</t>
        </is>
      </c>
      <c r="R100" s="53" t="inlineStr">
        <is>
          <t>https://github.com/bootstrapprx/kodoo/tree/main/modules/accounting</t>
        </is>
      </c>
      <c r="S100" s="53" t="inlineStr">
        <is>
          <t>Likely mapping; confirm exact function</t>
        </is>
      </c>
    </row>
    <row r="101" ht="15" customHeight="1" s="50">
      <c r="A101" s="84" t="inlineStr">
        <is>
          <t>FN-097</t>
        </is>
      </c>
      <c r="B101" s="84" t="inlineStr">
        <is>
          <t>Relatórios Financeiros</t>
        </is>
      </c>
      <c r="C101" s="89" t="inlineStr">
        <is>
          <t>demonstracao.dre</t>
        </is>
      </c>
      <c r="D101" s="84" t="inlineStr">
        <is>
          <t>Relatório</t>
        </is>
      </c>
      <c r="E101" s="84" t="inlineStr">
        <is>
          <t>Demonstração do resultado</t>
        </is>
      </c>
      <c r="F101" s="84" t="inlineStr">
        <is>
          <t>F4</t>
        </is>
      </c>
      <c r="G101" s="84" t="inlineStr">
        <is>
          <t>Alta</t>
        </is>
      </c>
      <c r="H101" s="84" t="inlineStr">
        <is>
          <t>Planejada</t>
        </is>
      </c>
      <c r="I101" s="84" t="inlineStr">
        <is>
          <t>T-120</t>
        </is>
      </c>
      <c r="J101" s="84" t="inlineStr">
        <is>
          <t>Não</t>
        </is>
      </c>
      <c r="K101" s="84" t="inlineStr">
        <is>
          <t>Não</t>
        </is>
      </c>
      <c r="L101" s="84" t="n"/>
      <c r="O101" s="53" t="inlineStr">
        <is>
          <t>demonstracao.dre</t>
        </is>
      </c>
      <c r="P101" s="53" t="inlineStr">
        <is>
          <t>accounting</t>
        </is>
      </c>
      <c r="Q101" s="53" t="inlineStr">
        <is>
          <t>reports</t>
        </is>
      </c>
      <c r="R101" s="53" t="inlineStr">
        <is>
          <t>https://github.com/bootstrapprx/kodoo/tree/main/modules/accounting</t>
        </is>
      </c>
      <c r="S101" s="53" t="inlineStr">
        <is>
          <t>Likely mapping; confirm exact function</t>
        </is>
      </c>
    </row>
    <row r="102" ht="15" customHeight="1" s="50">
      <c r="A102" s="84" t="inlineStr">
        <is>
          <t>FN-098</t>
        </is>
      </c>
      <c r="B102" s="84" t="inlineStr">
        <is>
          <t>Relatórios Financeiros</t>
        </is>
      </c>
      <c r="C102" s="89" t="inlineStr">
        <is>
          <t>demonstracao.dfc</t>
        </is>
      </c>
      <c r="D102" s="84" t="inlineStr">
        <is>
          <t>Relatório</t>
        </is>
      </c>
      <c r="E102" s="84" t="inlineStr">
        <is>
          <t>Demonstração dos fluxos de caixa</t>
        </is>
      </c>
      <c r="F102" s="84" t="inlineStr">
        <is>
          <t>F4</t>
        </is>
      </c>
      <c r="G102" s="84" t="inlineStr">
        <is>
          <t>Média</t>
        </is>
      </c>
      <c r="H102" s="84" t="inlineStr">
        <is>
          <t>Planejada</t>
        </is>
      </c>
      <c r="I102" s="84" t="inlineStr">
        <is>
          <t>T-121</t>
        </is>
      </c>
      <c r="J102" s="84" t="inlineStr">
        <is>
          <t>Não</t>
        </is>
      </c>
      <c r="K102" s="84" t="inlineStr">
        <is>
          <t>Não</t>
        </is>
      </c>
      <c r="L102" s="84" t="n"/>
      <c r="O102" s="53" t="inlineStr">
        <is>
          <t>demonstracao.dfc</t>
        </is>
      </c>
      <c r="P102" s="53" t="inlineStr">
        <is>
          <t>accounting</t>
        </is>
      </c>
      <c r="Q102" s="53" t="inlineStr">
        <is>
          <t>reports</t>
        </is>
      </c>
      <c r="R102" s="53" t="inlineStr">
        <is>
          <t>https://github.com/bootstrapprx/kodoo/tree/main/modules/accounting</t>
        </is>
      </c>
      <c r="S102" s="53" t="inlineStr">
        <is>
          <t>Likely mapping; confirm exact function</t>
        </is>
      </c>
    </row>
    <row r="103" ht="15" customHeight="1" s="50">
      <c r="A103" s="84" t="inlineStr">
        <is>
          <t>FN-099</t>
        </is>
      </c>
      <c r="B103" s="84" t="inlineStr">
        <is>
          <t>Relatórios Financeiros</t>
        </is>
      </c>
      <c r="C103" s="89" t="inlineStr">
        <is>
          <t>demonstracao.dmpl</t>
        </is>
      </c>
      <c r="D103" s="84" t="inlineStr">
        <is>
          <t>Relatório</t>
        </is>
      </c>
      <c r="E103" s="84" t="inlineStr">
        <is>
          <t>Mutações do patrimônio líquido</t>
        </is>
      </c>
      <c r="F103" s="84" t="inlineStr">
        <is>
          <t>F5</t>
        </is>
      </c>
      <c r="G103" s="84" t="inlineStr">
        <is>
          <t>Baixa</t>
        </is>
      </c>
      <c r="H103" s="84" t="inlineStr">
        <is>
          <t>Planejada</t>
        </is>
      </c>
      <c r="I103" s="84" t="inlineStr">
        <is>
          <t>T-125</t>
        </is>
      </c>
      <c r="J103" s="84" t="inlineStr">
        <is>
          <t>Não</t>
        </is>
      </c>
      <c r="K103" s="84" t="inlineStr">
        <is>
          <t>Não</t>
        </is>
      </c>
      <c r="L103" s="84" t="n"/>
      <c r="O103" s="53" t="inlineStr">
        <is>
          <t>demonstracao.dmpl</t>
        </is>
      </c>
      <c r="P103" s="53" t="inlineStr">
        <is>
          <t>accounting</t>
        </is>
      </c>
      <c r="Q103" s="53" t="inlineStr">
        <is>
          <t>reports</t>
        </is>
      </c>
      <c r="R103" s="53" t="inlineStr">
        <is>
          <t>https://github.com/bootstrapprx/kodoo/tree/main/modules/accounting</t>
        </is>
      </c>
      <c r="S103" s="53" t="inlineStr">
        <is>
          <t>Likely mapping; confirm exact function</t>
        </is>
      </c>
    </row>
    <row r="104" ht="15" customHeight="1" s="50">
      <c r="A104" s="84" t="inlineStr">
        <is>
          <t>FN-100</t>
        </is>
      </c>
      <c r="B104" s="84" t="inlineStr">
        <is>
          <t>Relatórios Financeiros</t>
        </is>
      </c>
      <c r="C104" s="89" t="inlineStr">
        <is>
          <t>relatorio.exportar</t>
        </is>
      </c>
      <c r="D104" s="84" t="inlineStr">
        <is>
          <t>Comando</t>
        </is>
      </c>
      <c r="E104" s="84" t="inlineStr">
        <is>
          <t>Exportar relatório (CSV, XLSX, PDF)</t>
        </is>
      </c>
      <c r="F104" s="84" t="inlineStr">
        <is>
          <t>F4</t>
        </is>
      </c>
      <c r="G104" s="84" t="inlineStr">
        <is>
          <t>Alta</t>
        </is>
      </c>
      <c r="H104" s="84" t="inlineStr">
        <is>
          <t>Planejada</t>
        </is>
      </c>
      <c r="I104" s="84" t="inlineStr">
        <is>
          <t>T-119, T-120, T-121</t>
        </is>
      </c>
      <c r="J104" s="84" t="inlineStr">
        <is>
          <t>Não</t>
        </is>
      </c>
      <c r="K104" s="84" t="inlineStr">
        <is>
          <t>Não</t>
        </is>
      </c>
      <c r="L104" s="84" t="n"/>
      <c r="O104" s="53" t="inlineStr">
        <is>
          <t>report.export</t>
        </is>
      </c>
      <c r="P104" s="53" t="inlineStr">
        <is>
          <t>accounting</t>
        </is>
      </c>
      <c r="Q104" s="53" t="inlineStr">
        <is>
          <t>reports</t>
        </is>
      </c>
      <c r="R104" s="53" t="inlineStr">
        <is>
          <t>https://github.com/bootstrapprx/kodoo/tree/main/modules/accounting</t>
        </is>
      </c>
      <c r="S104" s="53" t="inlineStr">
        <is>
          <t>Likely mapping; confirm exact function</t>
        </is>
      </c>
    </row>
    <row r="105" ht="15" customHeight="1" s="50">
      <c r="A105" s="84" t="inlineStr">
        <is>
          <t>FN-101</t>
        </is>
      </c>
      <c r="B105" s="84" t="inlineStr">
        <is>
          <t>Relatórios Financeiros</t>
        </is>
      </c>
      <c r="C105" s="89" t="inlineStr">
        <is>
          <t>relatorio.indicadores</t>
        </is>
      </c>
      <c r="D105" s="84" t="inlineStr">
        <is>
          <t>Cálculo</t>
        </is>
      </c>
      <c r="E105" s="84" t="inlineStr">
        <is>
          <t>Indicadores financeiros</t>
        </is>
      </c>
      <c r="F105" s="84" t="inlineStr">
        <is>
          <t>F4</t>
        </is>
      </c>
      <c r="G105" s="84" t="inlineStr">
        <is>
          <t>Média</t>
        </is>
      </c>
      <c r="H105" s="84" t="inlineStr">
        <is>
          <t>Planejada</t>
        </is>
      </c>
      <c r="I105" s="84" t="inlineStr">
        <is>
          <t>T-122</t>
        </is>
      </c>
      <c r="J105" s="84" t="inlineStr">
        <is>
          <t>Não</t>
        </is>
      </c>
      <c r="K105" s="84" t="inlineStr">
        <is>
          <t>Não</t>
        </is>
      </c>
      <c r="L105" s="84" t="n"/>
      <c r="O105" s="53" t="inlineStr">
        <is>
          <t>report.indicadores</t>
        </is>
      </c>
      <c r="P105" s="53" t="inlineStr">
        <is>
          <t>accounting</t>
        </is>
      </c>
      <c r="Q105" s="53" t="inlineStr">
        <is>
          <t>reports</t>
        </is>
      </c>
      <c r="R105" s="53" t="inlineStr">
        <is>
          <t>https://github.com/bootstrapprx/kodoo/tree/main/modules/accounting</t>
        </is>
      </c>
      <c r="S105" s="53" t="inlineStr">
        <is>
          <t>Likely mapping; confirm exact function</t>
        </is>
      </c>
    </row>
    <row r="106" ht="15" customHeight="1" s="50">
      <c r="A106" s="84" t="inlineStr">
        <is>
          <t>FN-102</t>
        </is>
      </c>
      <c r="B106" s="84" t="inlineStr">
        <is>
          <t>Fiscal e Tributos</t>
        </is>
      </c>
      <c r="C106" s="89" t="inlineStr">
        <is>
          <t>fiscal.imposto.calcular</t>
        </is>
      </c>
      <c r="D106" s="84" t="inlineStr">
        <is>
          <t>Cálculo</t>
        </is>
      </c>
      <c r="E106" s="84" t="inlineStr">
        <is>
          <t>Calcular imposto</t>
        </is>
      </c>
      <c r="F106" s="84" t="inlineStr">
        <is>
          <t>F5</t>
        </is>
      </c>
      <c r="G106" s="84" t="inlineStr">
        <is>
          <t>Média</t>
        </is>
      </c>
      <c r="H106" s="84" t="inlineStr">
        <is>
          <t>Planejada</t>
        </is>
      </c>
      <c r="I106" s="84" t="inlineStr">
        <is>
          <t>T-130</t>
        </is>
      </c>
      <c r="J106" s="84" t="inlineStr">
        <is>
          <t>Não</t>
        </is>
      </c>
      <c r="K106" s="84" t="inlineStr">
        <is>
          <t>Não</t>
        </is>
      </c>
      <c r="L106" s="84" t="n"/>
      <c r="O106" s="53" t="inlineStr">
        <is>
          <t>fiscal.tax.calculate</t>
        </is>
      </c>
      <c r="P106" s="53" t="inlineStr">
        <is>
          <t>accounting</t>
        </is>
      </c>
      <c r="Q106" s="53" t="inlineStr">
        <is>
          <t>tax capability — exact owner to verify</t>
        </is>
      </c>
      <c r="R106" s="53" t="inlineStr">
        <is>
          <t>https://github.com/bootstrapprx/kodoo/tree/main/modules/accounting</t>
        </is>
      </c>
      <c r="S106" s="53" t="inlineStr">
        <is>
          <t>Likely mapping; confirm exact function</t>
        </is>
      </c>
    </row>
    <row r="107" ht="15" customHeight="1" s="50">
      <c r="A107" s="84" t="inlineStr">
        <is>
          <t>FN-103</t>
        </is>
      </c>
      <c r="B107" s="84" t="inlineStr">
        <is>
          <t>Fiscal e Tributos</t>
        </is>
      </c>
      <c r="C107" s="89" t="inlineStr">
        <is>
          <t>fiscal.imposto.apurar</t>
        </is>
      </c>
      <c r="D107" s="84" t="inlineStr">
        <is>
          <t>Cálculo</t>
        </is>
      </c>
      <c r="E107" s="84" t="inlineStr">
        <is>
          <t>Apurar impostos do período</t>
        </is>
      </c>
      <c r="F107" s="84" t="inlineStr">
        <is>
          <t>F5</t>
        </is>
      </c>
      <c r="G107" s="84" t="inlineStr">
        <is>
          <t>Média</t>
        </is>
      </c>
      <c r="H107" s="84" t="inlineStr">
        <is>
          <t>Planejada</t>
        </is>
      </c>
      <c r="I107" s="84" t="inlineStr">
        <is>
          <t>T-133</t>
        </is>
      </c>
      <c r="J107" s="84" t="inlineStr">
        <is>
          <t>Não</t>
        </is>
      </c>
      <c r="K107" s="84" t="inlineStr">
        <is>
          <t>Não</t>
        </is>
      </c>
      <c r="L107" s="84" t="n"/>
      <c r="O107" s="53" t="inlineStr">
        <is>
          <t>fiscal.tax.apurar</t>
        </is>
      </c>
      <c r="P107" s="53" t="inlineStr">
        <is>
          <t>accounting</t>
        </is>
      </c>
      <c r="Q107" s="53" t="inlineStr">
        <is>
          <t>tax capability — exact owner to verify</t>
        </is>
      </c>
      <c r="R107" s="53" t="inlineStr">
        <is>
          <t>https://github.com/bootstrapprx/kodoo/tree/main/modules/accounting</t>
        </is>
      </c>
      <c r="S107" s="53" t="inlineStr">
        <is>
          <t>Likely mapping; confirm exact function</t>
        </is>
      </c>
    </row>
    <row r="108" ht="15" customHeight="1" s="50">
      <c r="A108" s="84" t="inlineStr">
        <is>
          <t>FN-104</t>
        </is>
      </c>
      <c r="B108" s="84" t="inlineStr">
        <is>
          <t>Fiscal e Tributos</t>
        </is>
      </c>
      <c r="C108" s="89" t="inlineStr">
        <is>
          <t>fiscal.retencao.calcular</t>
        </is>
      </c>
      <c r="D108" s="84" t="inlineStr">
        <is>
          <t>Cálculo</t>
        </is>
      </c>
      <c r="E108" s="84" t="inlineStr">
        <is>
          <t>Calcular retenções</t>
        </is>
      </c>
      <c r="F108" s="84" t="inlineStr">
        <is>
          <t>F5</t>
        </is>
      </c>
      <c r="G108" s="84" t="inlineStr">
        <is>
          <t>Média</t>
        </is>
      </c>
      <c r="H108" s="84" t="inlineStr">
        <is>
          <t>Planejada</t>
        </is>
      </c>
      <c r="I108" s="84" t="inlineStr">
        <is>
          <t>T-132</t>
        </is>
      </c>
      <c r="J108" s="84" t="inlineStr">
        <is>
          <t>Não</t>
        </is>
      </c>
      <c r="K108" s="84" t="inlineStr">
        <is>
          <t>Não</t>
        </is>
      </c>
      <c r="L108" s="84" t="n"/>
      <c r="O108" s="53" t="inlineStr">
        <is>
          <t>fiscal.retencao.calculate</t>
        </is>
      </c>
      <c r="P108" s="53" t="inlineStr">
        <is>
          <t>accounting</t>
        </is>
      </c>
      <c r="Q108" s="53" t="inlineStr">
        <is>
          <t>tax capability — exact owner to verify</t>
        </is>
      </c>
      <c r="R108" s="53" t="inlineStr">
        <is>
          <t>https://github.com/bootstrapprx/kodoo/tree/main/modules/accounting</t>
        </is>
      </c>
      <c r="S108" s="53" t="inlineStr">
        <is>
          <t>Likely mapping; confirm exact function</t>
        </is>
      </c>
    </row>
    <row r="109" ht="15" customHeight="1" s="50">
      <c r="A109" s="84" t="inlineStr">
        <is>
          <t>FN-105</t>
        </is>
      </c>
      <c r="B109" s="84" t="inlineStr">
        <is>
          <t>Fiscal e Tributos</t>
        </is>
      </c>
      <c r="C109" s="89" t="inlineStr">
        <is>
          <t>fiscal.ecd.gerar</t>
        </is>
      </c>
      <c r="D109" s="84" t="inlineStr">
        <is>
          <t>Comando</t>
        </is>
      </c>
      <c r="E109" s="84" t="inlineStr">
        <is>
          <t>Gerar ECD (SPED Contábil)</t>
        </is>
      </c>
      <c r="F109" s="84" t="inlineStr">
        <is>
          <t>F5</t>
        </is>
      </c>
      <c r="G109" s="84" t="inlineStr">
        <is>
          <t>Baixa</t>
        </is>
      </c>
      <c r="H109" s="84" t="inlineStr">
        <is>
          <t>Planejada</t>
        </is>
      </c>
      <c r="I109" s="84" t="inlineStr">
        <is>
          <t>T-135</t>
        </is>
      </c>
      <c r="J109" s="84" t="inlineStr">
        <is>
          <t>Não</t>
        </is>
      </c>
      <c r="K109" s="84" t="inlineStr">
        <is>
          <t>Não</t>
        </is>
      </c>
      <c r="L109" s="84" t="n"/>
      <c r="O109" s="53" t="inlineStr">
        <is>
          <t>fiscal.ecd.generate</t>
        </is>
      </c>
      <c r="P109" s="53" t="inlineStr">
        <is>
          <t>accounting</t>
        </is>
      </c>
      <c r="Q109" s="53" t="inlineStr">
        <is>
          <t>tax capability — exact owner to verify</t>
        </is>
      </c>
      <c r="R109" s="53" t="inlineStr">
        <is>
          <t>https://github.com/bootstrapprx/kodoo/tree/main/modules/accounting</t>
        </is>
      </c>
      <c r="S109" s="53" t="inlineStr">
        <is>
          <t>Likely mapping; confirm exact function</t>
        </is>
      </c>
    </row>
    <row r="110" ht="15" customHeight="1" s="50">
      <c r="A110" s="84" t="inlineStr">
        <is>
          <t>FN-106</t>
        </is>
      </c>
      <c r="B110" s="84" t="inlineStr">
        <is>
          <t>Ativo Imobilizado</t>
        </is>
      </c>
      <c r="C110" s="89" t="inlineStr">
        <is>
          <t>ativo.depreciacao.calcular</t>
        </is>
      </c>
      <c r="D110" s="84" t="inlineStr">
        <is>
          <t>Cálculo</t>
        </is>
      </c>
      <c r="E110" s="84" t="inlineStr">
        <is>
          <t>Calcular depreciação</t>
        </is>
      </c>
      <c r="F110" s="84" t="inlineStr">
        <is>
          <t>F5</t>
        </is>
      </c>
      <c r="G110" s="84" t="inlineStr">
        <is>
          <t>Média</t>
        </is>
      </c>
      <c r="H110" s="84" t="inlineStr">
        <is>
          <t>Planejada</t>
        </is>
      </c>
      <c r="I110" s="84" t="inlineStr">
        <is>
          <t>T-139, T-140</t>
        </is>
      </c>
      <c r="J110" s="84" t="inlineStr">
        <is>
          <t>Não</t>
        </is>
      </c>
      <c r="K110" s="84" t="inlineStr">
        <is>
          <t>Não</t>
        </is>
      </c>
      <c r="L110" s="84" t="n"/>
      <c r="O110" s="53" t="inlineStr">
        <is>
          <t>asset.depreciacao.calculate</t>
        </is>
      </c>
      <c r="P110" s="53" t="inlineStr">
        <is>
          <t>future/verify</t>
        </is>
      </c>
      <c r="Q110" s="53" t="inlineStr">
        <is>
          <t>fixed assets</t>
        </is>
      </c>
      <c r="R110" s="53" t="inlineStr">
        <is>
          <t>https://github.com/bootstrapprx/kodoo/tree/main/modules</t>
        </is>
      </c>
      <c r="S110" s="53" t="inlineStr">
        <is>
          <t>Proposed classification; validate against code</t>
        </is>
      </c>
    </row>
    <row r="111" ht="15" customHeight="1" s="50">
      <c r="A111" s="84" t="inlineStr">
        <is>
          <t>FN-107</t>
        </is>
      </c>
      <c r="B111" s="84" t="inlineStr">
        <is>
          <t>Ativo Imobilizado</t>
        </is>
      </c>
      <c r="C111" s="89" t="inlineStr">
        <is>
          <t>ativo.baixar</t>
        </is>
      </c>
      <c r="D111" s="84" t="inlineStr">
        <is>
          <t>Comando</t>
        </is>
      </c>
      <c r="E111" s="84" t="inlineStr">
        <is>
          <t>Baixar ativo</t>
        </is>
      </c>
      <c r="F111" s="84" t="inlineStr">
        <is>
          <t>F5</t>
        </is>
      </c>
      <c r="G111" s="84" t="inlineStr">
        <is>
          <t>Baixa</t>
        </is>
      </c>
      <c r="H111" s="84" t="inlineStr">
        <is>
          <t>Planejada</t>
        </is>
      </c>
      <c r="I111" s="84" t="inlineStr">
        <is>
          <t>T-141</t>
        </is>
      </c>
      <c r="J111" s="84" t="inlineStr">
        <is>
          <t>Não</t>
        </is>
      </c>
      <c r="K111" s="84" t="inlineStr">
        <is>
          <t>Não</t>
        </is>
      </c>
      <c r="L111" s="84" t="n"/>
      <c r="O111" s="53" t="inlineStr">
        <is>
          <t>asset.baixar</t>
        </is>
      </c>
      <c r="P111" s="53" t="inlineStr">
        <is>
          <t>future/verify</t>
        </is>
      </c>
      <c r="Q111" s="53" t="inlineStr">
        <is>
          <t>fixed assets</t>
        </is>
      </c>
      <c r="R111" s="53" t="inlineStr">
        <is>
          <t>https://github.com/bootstrapprx/kodoo/tree/main/modules</t>
        </is>
      </c>
      <c r="S111" s="53" t="inlineStr">
        <is>
          <t>Proposed classification; validate against code</t>
        </is>
      </c>
    </row>
    <row r="112" ht="15" customHeight="1" s="50">
      <c r="A112" s="84" t="inlineStr">
        <is>
          <t>FN-108</t>
        </is>
      </c>
      <c r="B112" s="84" t="inlineStr">
        <is>
          <t>Importação e Integração</t>
        </is>
      </c>
      <c r="C112" s="89" t="inlineStr">
        <is>
          <t>importacao.csv.carregar</t>
        </is>
      </c>
      <c r="D112" s="84" t="inlineStr">
        <is>
          <t>Importação</t>
        </is>
      </c>
      <c r="E112" s="84" t="inlineStr">
        <is>
          <t>Importação genérica de CSV</t>
        </is>
      </c>
      <c r="F112" s="84" t="inlineStr">
        <is>
          <t>F3</t>
        </is>
      </c>
      <c r="G112" s="84" t="inlineStr">
        <is>
          <t>Média</t>
        </is>
      </c>
      <c r="H112" s="84" t="inlineStr">
        <is>
          <t>Planejada</t>
        </is>
      </c>
      <c r="I112" s="84" t="inlineStr">
        <is>
          <t>T-142, T-143</t>
        </is>
      </c>
      <c r="J112" s="84" t="inlineStr">
        <is>
          <t>Não</t>
        </is>
      </c>
      <c r="K112" s="84" t="inlineStr">
        <is>
          <t>Não</t>
        </is>
      </c>
      <c r="L112" s="84" t="n"/>
      <c r="O112" s="53" t="inlineStr">
        <is>
          <t>import.csv.carregar</t>
        </is>
      </c>
      <c r="P112" s="53" t="inlineStr">
        <is>
          <t>accounting or migration tooling</t>
        </is>
      </c>
      <c r="Q112" s="53" t="inlineStr">
        <is>
          <t>integration / import — exact owner to verify</t>
        </is>
      </c>
      <c r="R112" s="53" t="inlineStr">
        <is>
          <t>https://github.com/bootstrapprx/kodoo/tree/main/context/roadmap.md</t>
        </is>
      </c>
      <c r="S112" s="53" t="inlineStr">
        <is>
          <t>Cross-cutting; exact owner not confirmed</t>
        </is>
      </c>
    </row>
    <row r="113" ht="15" customHeight="1" s="50">
      <c r="A113" s="84" t="inlineStr">
        <is>
          <t>FN-109</t>
        </is>
      </c>
      <c r="B113" s="84" t="inlineStr">
        <is>
          <t>Importação e Integração</t>
        </is>
      </c>
      <c r="C113" s="89" t="inlineStr">
        <is>
          <t>importacao.simular</t>
        </is>
      </c>
      <c r="D113" s="84" t="inlineStr">
        <is>
          <t>Importação</t>
        </is>
      </c>
      <c r="E113" s="84" t="inlineStr">
        <is>
          <t>Simulação (dry-run) antes de gravar</t>
        </is>
      </c>
      <c r="F113" s="84" t="inlineStr">
        <is>
          <t>F3</t>
        </is>
      </c>
      <c r="G113" s="84" t="inlineStr">
        <is>
          <t>Média</t>
        </is>
      </c>
      <c r="H113" s="84" t="inlineStr">
        <is>
          <t>Planejada</t>
        </is>
      </c>
      <c r="I113" s="84" t="inlineStr">
        <is>
          <t>T-035, T-053, T-085, T-105</t>
        </is>
      </c>
      <c r="J113" s="84" t="inlineStr">
        <is>
          <t>Não</t>
        </is>
      </c>
      <c r="K113" s="84" t="inlineStr">
        <is>
          <t>Não</t>
        </is>
      </c>
      <c r="L113" s="84" t="n"/>
      <c r="O113" s="53" t="inlineStr">
        <is>
          <t>import.simular</t>
        </is>
      </c>
      <c r="P113" s="53" t="inlineStr">
        <is>
          <t>accounting or migration tooling</t>
        </is>
      </c>
      <c r="Q113" s="53" t="inlineStr">
        <is>
          <t>integration / import — exact owner to verify</t>
        </is>
      </c>
      <c r="R113" s="53" t="inlineStr">
        <is>
          <t>https://github.com/bootstrapprx/kodoo/tree/main/context/roadmap.md</t>
        </is>
      </c>
      <c r="S113" s="53" t="inlineStr">
        <is>
          <t>Cross-cutting; exact owner not confirmed</t>
        </is>
      </c>
    </row>
    <row r="114" ht="15" customHeight="1" s="50">
      <c r="A114" s="84" t="inlineStr">
        <is>
          <t>FN-110</t>
        </is>
      </c>
      <c r="B114" s="84" t="inlineStr">
        <is>
          <t>Importação e Integração</t>
        </is>
      </c>
      <c r="C114" s="89" t="inlineStr">
        <is>
          <t>exportacao.dados</t>
        </is>
      </c>
      <c r="D114" s="84" t="inlineStr">
        <is>
          <t>Comando</t>
        </is>
      </c>
      <c r="E114" s="84" t="inlineStr">
        <is>
          <t>Exportar dados da organização</t>
        </is>
      </c>
      <c r="F114" s="84" t="inlineStr">
        <is>
          <t>F5</t>
        </is>
      </c>
      <c r="G114" s="84" t="inlineStr">
        <is>
          <t>Baixa</t>
        </is>
      </c>
      <c r="H114" s="84" t="inlineStr">
        <is>
          <t>Planejada</t>
        </is>
      </c>
      <c r="I114" s="84" t="inlineStr">
        <is>
          <t>T-145</t>
        </is>
      </c>
      <c r="J114" s="84" t="inlineStr">
        <is>
          <t>Não</t>
        </is>
      </c>
      <c r="K114" s="84" t="inlineStr">
        <is>
          <t>Não</t>
        </is>
      </c>
      <c r="L114" s="84" t="n"/>
      <c r="O114" s="53" t="inlineStr">
        <is>
          <t>export.dados</t>
        </is>
      </c>
      <c r="P114" s="53" t="inlineStr">
        <is>
          <t>accounting or migration tooling</t>
        </is>
      </c>
      <c r="Q114" s="53" t="inlineStr">
        <is>
          <t>integration / import — exact owner to verify</t>
        </is>
      </c>
      <c r="R114" s="53" t="inlineStr">
        <is>
          <t>https://github.com/bootstrapprx/kodoo/tree/main/context/roadmap.md</t>
        </is>
      </c>
      <c r="S114" s="53" t="inlineStr">
        <is>
          <t>Cross-cutting; exact owner not confirmed</t>
        </is>
      </c>
    </row>
    <row r="115" ht="15" customHeight="1" s="50">
      <c r="A115" s="84" t="inlineStr">
        <is>
          <t>FN-111</t>
        </is>
      </c>
      <c r="B115" s="84" t="inlineStr">
        <is>
          <t>Importação e Integração</t>
        </is>
      </c>
      <c r="C115" s="89" t="inlineStr">
        <is>
          <t>integracao.webhook.gerir</t>
        </is>
      </c>
      <c r="D115" s="84" t="inlineStr">
        <is>
          <t>Comando</t>
        </is>
      </c>
      <c r="E115" s="84" t="inlineStr">
        <is>
          <t>Webhooks e chaves de API</t>
        </is>
      </c>
      <c r="F115" s="84" t="inlineStr">
        <is>
          <t>F6</t>
        </is>
      </c>
      <c r="G115" s="84" t="inlineStr">
        <is>
          <t>Baixa</t>
        </is>
      </c>
      <c r="H115" s="84" t="inlineStr">
        <is>
          <t>Planejada</t>
        </is>
      </c>
      <c r="I115" s="84" t="inlineStr">
        <is>
          <t>T-029</t>
        </is>
      </c>
      <c r="J115" s="84" t="inlineStr">
        <is>
          <t>Não</t>
        </is>
      </c>
      <c r="K115" s="84" t="inlineStr">
        <is>
          <t>Não</t>
        </is>
      </c>
      <c r="L115" s="84" t="n"/>
      <c r="O115" s="53" t="inlineStr">
        <is>
          <t>integration.webhook.manage</t>
        </is>
      </c>
      <c r="P115" s="53" t="inlineStr">
        <is>
          <t>accounting or migration tooling</t>
        </is>
      </c>
      <c r="Q115" s="53" t="inlineStr">
        <is>
          <t>integration / import — exact owner to verify</t>
        </is>
      </c>
      <c r="R115" s="53" t="inlineStr">
        <is>
          <t>https://github.com/bootstrapprx/kodoo/tree/main/context/roadmap.md</t>
        </is>
      </c>
      <c r="S115" s="53" t="inlineStr">
        <is>
          <t>Cross-cutting; exact owner not confirmed</t>
        </is>
      </c>
    </row>
    <row r="116" ht="15" customHeight="1" s="50">
      <c r="A116" s="84" t="inlineStr">
        <is>
          <t>FN-112</t>
        </is>
      </c>
      <c r="B116" s="84" t="inlineStr">
        <is>
          <t>Auditoria e Conformidade</t>
        </is>
      </c>
      <c r="C116" s="89" t="inlineStr">
        <is>
          <t>auditoria.evento.registrar</t>
        </is>
      </c>
      <c r="D116" s="84" t="inlineStr">
        <is>
          <t>Comando</t>
        </is>
      </c>
      <c r="E116" s="84" t="inlineStr">
        <is>
          <t>Registrar evento de auditoria</t>
        </is>
      </c>
      <c r="F116" s="84" t="inlineStr">
        <is>
          <t>F1</t>
        </is>
      </c>
      <c r="G116" s="84" t="inlineStr">
        <is>
          <t>Alta</t>
        </is>
      </c>
      <c r="H116" s="84" t="inlineStr">
        <is>
          <t>Planejada</t>
        </is>
      </c>
      <c r="I116" s="84" t="inlineStr">
        <is>
          <t>T-044, T-147</t>
        </is>
      </c>
      <c r="J116" s="84" t="inlineStr">
        <is>
          <t>Não</t>
        </is>
      </c>
      <c r="K116" s="84" t="inlineStr">
        <is>
          <t>Não</t>
        </is>
      </c>
      <c r="L116" s="84" t="n"/>
      <c r="O116" s="53" t="inlineStr">
        <is>
          <t>audit.evento.registrar</t>
        </is>
      </c>
      <c r="P116" s="53" t="inlineStr">
        <is>
          <t>accounting or kodoo-core</t>
        </is>
      </c>
      <c r="Q116" s="53" t="inlineStr">
        <is>
          <t>audit / compliance — owner to verify</t>
        </is>
      </c>
      <c r="R116" s="53" t="inlineStr">
        <is>
          <t>https://github.com/bootstrapprx/kodoo/tree/main/modules</t>
        </is>
      </c>
      <c r="S116" s="53" t="inlineStr">
        <is>
          <t>Proposed classification; validate against code</t>
        </is>
      </c>
    </row>
    <row r="117" ht="23.25" customHeight="1" s="50">
      <c r="A117" s="84" t="inlineStr">
        <is>
          <t>FN-113</t>
        </is>
      </c>
      <c r="B117" s="84" t="inlineStr">
        <is>
          <t>Auditoria e Conformidade</t>
        </is>
      </c>
      <c r="C117" s="89" t="inlineStr">
        <is>
          <t>auditoria.trilha.consultar</t>
        </is>
      </c>
      <c r="D117" s="84" t="inlineStr">
        <is>
          <t>Consulta</t>
        </is>
      </c>
      <c r="E117" s="84" t="inlineStr">
        <is>
          <t>Consultar trilha de auditoria</t>
        </is>
      </c>
      <c r="F117" s="84" t="inlineStr">
        <is>
          <t>F2</t>
        </is>
      </c>
      <c r="G117" s="84" t="inlineStr">
        <is>
          <t>Alta</t>
        </is>
      </c>
      <c r="H117" s="84" t="inlineStr">
        <is>
          <t>Planejada</t>
        </is>
      </c>
      <c r="I117" s="84" t="inlineStr">
        <is>
          <t>T-028, T-038, T-049, T-117, T-144, T-147, T-152</t>
        </is>
      </c>
      <c r="J117" s="84" t="inlineStr">
        <is>
          <t>Não</t>
        </is>
      </c>
      <c r="K117" s="84" t="inlineStr">
        <is>
          <t>Não</t>
        </is>
      </c>
      <c r="L117" s="84" t="n"/>
      <c r="O117" s="53" t="inlineStr">
        <is>
          <t>audit.trilha.query</t>
        </is>
      </c>
      <c r="P117" s="53" t="inlineStr">
        <is>
          <t>accounting or kodoo-core</t>
        </is>
      </c>
      <c r="Q117" s="53" t="inlineStr">
        <is>
          <t>audit / compliance — owner to verify</t>
        </is>
      </c>
      <c r="R117" s="53" t="inlineStr">
        <is>
          <t>https://github.com/bootstrapprx/kodoo/tree/main/modules</t>
        </is>
      </c>
      <c r="S117" s="53" t="inlineStr">
        <is>
          <t>Proposed classification; validate against code</t>
        </is>
      </c>
    </row>
    <row r="118" ht="15" customHeight="1" s="50">
      <c r="A118" s="84" t="inlineStr">
        <is>
          <t>FN-114</t>
        </is>
      </c>
      <c r="B118" s="84" t="inlineStr">
        <is>
          <t>Auditoria e Conformidade</t>
        </is>
      </c>
      <c r="C118" s="89" t="inlineStr">
        <is>
          <t>auditoria.integridade.verificar</t>
        </is>
      </c>
      <c r="D118" s="84" t="inlineStr">
        <is>
          <t>Invariante</t>
        </is>
      </c>
      <c r="E118" s="84" t="inlineStr">
        <is>
          <t>Verificar integridade do razão</t>
        </is>
      </c>
      <c r="F118" s="84" t="inlineStr">
        <is>
          <t>F5</t>
        </is>
      </c>
      <c r="G118" s="84" t="inlineStr">
        <is>
          <t>Média</t>
        </is>
      </c>
      <c r="H118" s="84" t="inlineStr">
        <is>
          <t>Planejada</t>
        </is>
      </c>
      <c r="I118" s="84" t="inlineStr">
        <is>
          <t>T-150</t>
        </is>
      </c>
      <c r="J118" s="84" t="inlineStr">
        <is>
          <t>Não</t>
        </is>
      </c>
      <c r="K118" s="84" t="inlineStr">
        <is>
          <t>Não</t>
        </is>
      </c>
      <c r="L118" s="84" t="n"/>
      <c r="O118" s="53" t="inlineStr">
        <is>
          <t>audit.integridade.verificar</t>
        </is>
      </c>
      <c r="P118" s="53" t="inlineStr">
        <is>
          <t>accounting or kodoo-core</t>
        </is>
      </c>
      <c r="Q118" s="53" t="inlineStr">
        <is>
          <t>audit / compliance — owner to verify</t>
        </is>
      </c>
      <c r="R118" s="53" t="inlineStr">
        <is>
          <t>https://github.com/bootstrapprx/kodoo/tree/main/modules</t>
        </is>
      </c>
      <c r="S118" s="53" t="inlineStr">
        <is>
          <t>Proposed classification; validate against code</t>
        </is>
      </c>
    </row>
    <row r="119" ht="15" customHeight="1" s="50">
      <c r="A119" s="84" t="inlineStr">
        <is>
          <t>FN-115</t>
        </is>
      </c>
      <c r="B119" s="84" t="inlineStr">
        <is>
          <t>Auditoria e Conformidade</t>
        </is>
      </c>
      <c r="C119" s="89" t="inlineStr">
        <is>
          <t>auditoria.segregacao_funcoes.gerar</t>
        </is>
      </c>
      <c r="D119" s="84" t="inlineStr">
        <is>
          <t>Relatório</t>
        </is>
      </c>
      <c r="E119" s="84" t="inlineStr">
        <is>
          <t>Relatório de segregação de funções</t>
        </is>
      </c>
      <c r="F119" s="84" t="inlineStr">
        <is>
          <t>F5</t>
        </is>
      </c>
      <c r="G119" s="84" t="inlineStr">
        <is>
          <t>Baixa</t>
        </is>
      </c>
      <c r="H119" s="84" t="inlineStr">
        <is>
          <t>Planejada</t>
        </is>
      </c>
      <c r="I119" s="84" t="inlineStr">
        <is>
          <t>T-151</t>
        </is>
      </c>
      <c r="J119" s="84" t="inlineStr">
        <is>
          <t>Não</t>
        </is>
      </c>
      <c r="K119" s="84" t="inlineStr">
        <is>
          <t>Não</t>
        </is>
      </c>
      <c r="L119" s="84" t="n"/>
      <c r="O119" s="53" t="inlineStr">
        <is>
          <t>audit.segregacao_funcoes.generate</t>
        </is>
      </c>
      <c r="P119" s="53" t="inlineStr">
        <is>
          <t>accounting or kodoo-core</t>
        </is>
      </c>
      <c r="Q119" s="53" t="inlineStr">
        <is>
          <t>audit / compliance — owner to verify</t>
        </is>
      </c>
      <c r="R119" s="53" t="inlineStr">
        <is>
          <t>https://github.com/bootstrapprx/kodoo/tree/main/modules</t>
        </is>
      </c>
      <c r="S119" s="53" t="inlineStr">
        <is>
          <t>Proposed classification; validate against code</t>
        </is>
      </c>
    </row>
    <row r="120" ht="15" customHeight="1" s="50">
      <c r="A120" s="84" t="inlineStr">
        <is>
          <t>FN-116</t>
        </is>
      </c>
      <c r="B120" s="84" t="inlineStr">
        <is>
          <t>Auditoria e Conformidade</t>
        </is>
      </c>
      <c r="C120" s="89" t="inlineStr">
        <is>
          <t>auditoria.alerta.avaliar</t>
        </is>
      </c>
      <c r="D120" s="84" t="inlineStr">
        <is>
          <t>Comando</t>
        </is>
      </c>
      <c r="E120" s="84" t="inlineStr">
        <is>
          <t>Avaliar regras de controle interno</t>
        </is>
      </c>
      <c r="F120" s="84" t="inlineStr">
        <is>
          <t>F5</t>
        </is>
      </c>
      <c r="G120" s="84" t="inlineStr">
        <is>
          <t>Baixa</t>
        </is>
      </c>
      <c r="H120" s="84" t="inlineStr">
        <is>
          <t>Planejada</t>
        </is>
      </c>
      <c r="I120" s="84" t="inlineStr">
        <is>
          <t>T-148, T-149</t>
        </is>
      </c>
      <c r="J120" s="84" t="inlineStr">
        <is>
          <t>Não</t>
        </is>
      </c>
      <c r="K120" s="84" t="inlineStr">
        <is>
          <t>Não</t>
        </is>
      </c>
      <c r="L120" s="84" t="n"/>
      <c r="O120" s="53" t="inlineStr">
        <is>
          <t>audit.alerta.avaliar</t>
        </is>
      </c>
      <c r="P120" s="53" t="inlineStr">
        <is>
          <t>accounting or kodoo-core</t>
        </is>
      </c>
      <c r="Q120" s="53" t="inlineStr">
        <is>
          <t>audit / compliance — owner to verify</t>
        </is>
      </c>
      <c r="R120" s="53" t="inlineStr">
        <is>
          <t>https://github.com/bootstrapprx/kodoo/tree/main/modules</t>
        </is>
      </c>
      <c r="S120" s="53" t="inlineStr">
        <is>
          <t>Proposed classification; validate against code</t>
        </is>
      </c>
    </row>
    <row r="121" ht="23.25" customHeight="1" s="50">
      <c r="A121" s="84" t="inlineStr">
        <is>
          <t>FN-117</t>
        </is>
      </c>
      <c r="B121" s="84" t="inlineStr">
        <is>
          <t>Documentos e Impressão</t>
        </is>
      </c>
      <c r="C121" s="89" t="inlineStr">
        <is>
          <t>documento.renderizar</t>
        </is>
      </c>
      <c r="D121" s="84" t="inlineStr">
        <is>
          <t>Comando</t>
        </is>
      </c>
      <c r="E121" s="84" t="inlineStr">
        <is>
          <t>Renderizar documento (PDF)</t>
        </is>
      </c>
      <c r="F121" s="84" t="inlineStr">
        <is>
          <t>F5</t>
        </is>
      </c>
      <c r="G121" s="84" t="inlineStr">
        <is>
          <t>Média</t>
        </is>
      </c>
      <c r="H121" s="84" t="inlineStr">
        <is>
          <t>Planejada</t>
        </is>
      </c>
      <c r="I121" s="84" t="inlineStr">
        <is>
          <t>T-136, T-154, T-155, T-156, T-157</t>
        </is>
      </c>
      <c r="J121" s="84" t="inlineStr">
        <is>
          <t>Não</t>
        </is>
      </c>
      <c r="K121" s="84" t="inlineStr">
        <is>
          <t>Não</t>
        </is>
      </c>
      <c r="L121" s="84" t="n"/>
      <c r="O121" s="53" t="inlineStr">
        <is>
          <t>document.renderizar</t>
        </is>
      </c>
      <c r="P121" s="53" t="inlineStr">
        <is>
          <t>future/verify</t>
        </is>
      </c>
      <c r="Q121" s="53" t="inlineStr">
        <is>
          <t>documents / printing</t>
        </is>
      </c>
      <c r="R121" s="53" t="inlineStr">
        <is>
          <t>https://github.com/bootstrapprx/kodoo/tree/main/modules</t>
        </is>
      </c>
      <c r="S121" s="53" t="inlineStr">
        <is>
          <t>Proposed classification; validate against code</t>
        </is>
      </c>
    </row>
    <row r="122" ht="15" customHeight="1" s="50">
      <c r="A122" s="84" t="inlineStr">
        <is>
          <t>FN-118</t>
        </is>
      </c>
      <c r="B122" s="84" t="inlineStr">
        <is>
          <t>Documentos e Impressão</t>
        </is>
      </c>
      <c r="C122" s="89" t="inlineStr">
        <is>
          <t>documento.modelo.gerir</t>
        </is>
      </c>
      <c r="D122" s="84" t="inlineStr">
        <is>
          <t>Comando</t>
        </is>
      </c>
      <c r="E122" s="84" t="inlineStr">
        <is>
          <t>Gerir modelos de documento</t>
        </is>
      </c>
      <c r="F122" s="84" t="inlineStr">
        <is>
          <t>F5</t>
        </is>
      </c>
      <c r="G122" s="84" t="inlineStr">
        <is>
          <t>Baixa</t>
        </is>
      </c>
      <c r="H122" s="84" t="inlineStr">
        <is>
          <t>Planejada</t>
        </is>
      </c>
      <c r="I122" s="84" t="inlineStr">
        <is>
          <t>T-153</t>
        </is>
      </c>
      <c r="J122" s="84" t="inlineStr">
        <is>
          <t>Não</t>
        </is>
      </c>
      <c r="K122" s="84" t="inlineStr">
        <is>
          <t>Não</t>
        </is>
      </c>
      <c r="L122" s="84" t="n"/>
      <c r="O122" s="53" t="inlineStr">
        <is>
          <t>document.modelo.manage</t>
        </is>
      </c>
      <c r="P122" s="53" t="inlineStr">
        <is>
          <t>future/verify</t>
        </is>
      </c>
      <c r="Q122" s="53" t="inlineStr">
        <is>
          <t>documents / printing</t>
        </is>
      </c>
      <c r="R122" s="53" t="inlineStr">
        <is>
          <t>https://github.com/bootstrapprx/kodoo/tree/main/modules</t>
        </is>
      </c>
      <c r="S122" s="53" t="inlineStr">
        <is>
          <t>Proposed classification; validate against code</t>
        </is>
      </c>
    </row>
    <row r="123" ht="15" customHeight="1" s="50">
      <c r="A123" s="84" t="inlineStr">
        <is>
          <t>FN-119</t>
        </is>
      </c>
      <c r="B123" s="84" t="inlineStr">
        <is>
          <t>Setor Público (opcional)</t>
        </is>
      </c>
      <c r="C123" s="89" t="inlineStr">
        <is>
          <t>publico.empenho.registrar</t>
        </is>
      </c>
      <c r="D123" s="84" t="inlineStr">
        <is>
          <t>Comando</t>
        </is>
      </c>
      <c r="E123" s="84" t="inlineStr">
        <is>
          <t>Registrar empenho</t>
        </is>
      </c>
      <c r="F123" s="84" t="inlineStr">
        <is>
          <t>F5</t>
        </is>
      </c>
      <c r="G123" s="84" t="inlineStr">
        <is>
          <t>Baixa</t>
        </is>
      </c>
      <c r="H123" s="84" t="inlineStr">
        <is>
          <t>Planejada</t>
        </is>
      </c>
      <c r="I123" s="84" t="inlineStr">
        <is>
          <t>T-160</t>
        </is>
      </c>
      <c r="J123" s="84" t="inlineStr">
        <is>
          <t>Não</t>
        </is>
      </c>
      <c r="K123" s="84" t="inlineStr">
        <is>
          <t>Não</t>
        </is>
      </c>
      <c r="L123" s="84" t="n"/>
      <c r="O123" s="53" t="inlineStr">
        <is>
          <t>publico.empenho.registrar</t>
        </is>
      </c>
      <c r="P123" s="53" t="inlineStr">
        <is>
          <t>accounting or future domain module</t>
        </is>
      </c>
      <c r="Q123" s="53" t="inlineStr">
        <is>
          <t>public-sector accounting — owner to verify</t>
        </is>
      </c>
      <c r="R123" s="53" t="inlineStr">
        <is>
          <t>https://github.com/bootstrapprx/kodoo/tree/main/modules/accounting</t>
        </is>
      </c>
      <c r="S123" s="53" t="inlineStr">
        <is>
          <t>Future/optional; exact owner not confirmed</t>
        </is>
      </c>
    </row>
    <row r="124" ht="15" customHeight="1" s="50">
      <c r="A124" s="84" t="inlineStr">
        <is>
          <t>FN-120</t>
        </is>
      </c>
      <c r="B124" s="84" t="inlineStr">
        <is>
          <t>Setor Público (opcional)</t>
        </is>
      </c>
      <c r="C124" s="89" t="inlineStr">
        <is>
          <t>publico.liquidacao.registrar</t>
        </is>
      </c>
      <c r="D124" s="84" t="inlineStr">
        <is>
          <t>Comando</t>
        </is>
      </c>
      <c r="E124" s="84" t="inlineStr">
        <is>
          <t>Registrar liquidação</t>
        </is>
      </c>
      <c r="F124" s="84" t="inlineStr">
        <is>
          <t>F5</t>
        </is>
      </c>
      <c r="G124" s="84" t="inlineStr">
        <is>
          <t>Baixa</t>
        </is>
      </c>
      <c r="H124" s="84" t="inlineStr">
        <is>
          <t>Planejada</t>
        </is>
      </c>
      <c r="I124" s="84" t="inlineStr">
        <is>
          <t>T-161</t>
        </is>
      </c>
      <c r="J124" s="84" t="inlineStr">
        <is>
          <t>Não</t>
        </is>
      </c>
      <c r="K124" s="84" t="inlineStr">
        <is>
          <t>Não</t>
        </is>
      </c>
      <c r="L124" s="84" t="n"/>
      <c r="O124" s="53" t="inlineStr">
        <is>
          <t>publico.liquidacao.registrar</t>
        </is>
      </c>
      <c r="P124" s="53" t="inlineStr">
        <is>
          <t>accounting or future domain module</t>
        </is>
      </c>
      <c r="Q124" s="53" t="inlineStr">
        <is>
          <t>public-sector accounting — owner to verify</t>
        </is>
      </c>
      <c r="R124" s="53" t="inlineStr">
        <is>
          <t>https://github.com/bootstrapprx/kodoo/tree/main/modules/accounting</t>
        </is>
      </c>
      <c r="S124" s="53" t="inlineStr">
        <is>
          <t>Future/optional; exact owner not confirmed</t>
        </is>
      </c>
    </row>
    <row r="125" ht="15" customHeight="1" s="50">
      <c r="A125" s="84" t="inlineStr">
        <is>
          <t>FN-121</t>
        </is>
      </c>
      <c r="B125" s="84" t="inlineStr">
        <is>
          <t>Setor Público (opcional)</t>
        </is>
      </c>
      <c r="C125" s="89" t="inlineStr">
        <is>
          <t>publico.pagamento.registrar</t>
        </is>
      </c>
      <c r="D125" s="84" t="inlineStr">
        <is>
          <t>Comando</t>
        </is>
      </c>
      <c r="E125" s="84" t="inlineStr">
        <is>
          <t>Registrar pagamento orçamentário</t>
        </is>
      </c>
      <c r="F125" s="84" t="inlineStr">
        <is>
          <t>F5</t>
        </is>
      </c>
      <c r="G125" s="84" t="inlineStr">
        <is>
          <t>Baixa</t>
        </is>
      </c>
      <c r="H125" s="84" t="inlineStr">
        <is>
          <t>Planejada</t>
        </is>
      </c>
      <c r="I125" s="84" t="inlineStr">
        <is>
          <t>T-162</t>
        </is>
      </c>
      <c r="J125" s="84" t="inlineStr">
        <is>
          <t>Não</t>
        </is>
      </c>
      <c r="K125" s="84" t="inlineStr">
        <is>
          <t>Não</t>
        </is>
      </c>
      <c r="L125" s="84" t="n"/>
      <c r="O125" s="53" t="inlineStr">
        <is>
          <t>publico.payment.registrar</t>
        </is>
      </c>
      <c r="P125" s="53" t="inlineStr">
        <is>
          <t>accounting or future domain module</t>
        </is>
      </c>
      <c r="Q125" s="53" t="inlineStr">
        <is>
          <t>public-sector accounting — owner to verify</t>
        </is>
      </c>
      <c r="R125" s="53" t="inlineStr">
        <is>
          <t>https://github.com/bootstrapprx/kodoo/tree/main/modules/accounting</t>
        </is>
      </c>
      <c r="S125" s="53" t="inlineStr">
        <is>
          <t>Future/optional; exact owner not confirmed</t>
        </is>
      </c>
    </row>
    <row r="126" ht="15" customHeight="1" s="50">
      <c r="A126" s="84" t="inlineStr">
        <is>
          <t>FN-122</t>
        </is>
      </c>
      <c r="B126" s="84" t="inlineStr">
        <is>
          <t>Setor Público (opcional)</t>
        </is>
      </c>
      <c r="C126" s="89" t="inlineStr">
        <is>
          <t>publico.execucao_orcamentaria.calcular</t>
        </is>
      </c>
      <c r="D126" s="84" t="inlineStr">
        <is>
          <t>Cálculo</t>
        </is>
      </c>
      <c r="E126" s="84" t="inlineStr">
        <is>
          <t>Execução orçamentária</t>
        </is>
      </c>
      <c r="F126" s="84" t="inlineStr">
        <is>
          <t>F5</t>
        </is>
      </c>
      <c r="G126" s="84" t="inlineStr">
        <is>
          <t>Baixa</t>
        </is>
      </c>
      <c r="H126" s="84" t="inlineStr">
        <is>
          <t>Planejada</t>
        </is>
      </c>
      <c r="I126" s="84" t="inlineStr">
        <is>
          <t>T-163</t>
        </is>
      </c>
      <c r="J126" s="84" t="inlineStr">
        <is>
          <t>Não</t>
        </is>
      </c>
      <c r="K126" s="84" t="inlineStr">
        <is>
          <t>Não</t>
        </is>
      </c>
      <c r="L126" s="84" t="n"/>
      <c r="O126" s="53" t="inlineStr">
        <is>
          <t>publico.execucao_orcamentaria.calculate</t>
        </is>
      </c>
      <c r="P126" s="53" t="inlineStr">
        <is>
          <t>accounting or future domain module</t>
        </is>
      </c>
      <c r="Q126" s="53" t="inlineStr">
        <is>
          <t>public-sector accounting — owner to verify</t>
        </is>
      </c>
      <c r="R126" s="53" t="inlineStr">
        <is>
          <t>https://github.com/bootstrapprx/kodoo/tree/main/modules/accounting</t>
        </is>
      </c>
      <c r="S126" s="53" t="inlineStr">
        <is>
          <t>Future/optional; exact owner not confirmed</t>
        </is>
      </c>
    </row>
    <row r="127" ht="15" customHeight="1" s="50">
      <c r="A127" s="84" t="inlineStr">
        <is>
          <t>FN-123</t>
        </is>
      </c>
      <c r="B127" s="84" t="inlineStr">
        <is>
          <t>Setor Público (opcional)</t>
        </is>
      </c>
      <c r="C127" s="89" t="inlineStr">
        <is>
          <t>publico.restos_a_pagar.gerar</t>
        </is>
      </c>
      <c r="D127" s="84" t="inlineStr">
        <is>
          <t>Relatório</t>
        </is>
      </c>
      <c r="E127" s="84" t="inlineStr">
        <is>
          <t>Restos a pagar</t>
        </is>
      </c>
      <c r="F127" s="84" t="inlineStr">
        <is>
          <t>F6</t>
        </is>
      </c>
      <c r="G127" s="84" t="inlineStr">
        <is>
          <t>Baixa</t>
        </is>
      </c>
      <c r="H127" s="84" t="inlineStr">
        <is>
          <t>Planejada</t>
        </is>
      </c>
      <c r="I127" s="84" t="inlineStr">
        <is>
          <t>T-164</t>
        </is>
      </c>
      <c r="J127" s="84" t="inlineStr">
        <is>
          <t>Não</t>
        </is>
      </c>
      <c r="K127" s="84" t="inlineStr">
        <is>
          <t>Não</t>
        </is>
      </c>
      <c r="L127" s="84" t="n"/>
      <c r="O127" s="53" t="inlineStr">
        <is>
          <t>publico.restos_a_pagar.generate</t>
        </is>
      </c>
      <c r="P127" s="53" t="inlineStr">
        <is>
          <t>accounting or future domain module</t>
        </is>
      </c>
      <c r="Q127" s="53" t="inlineStr">
        <is>
          <t>public-sector accounting — owner to verify</t>
        </is>
      </c>
      <c r="R127" s="53" t="inlineStr">
        <is>
          <t>https://github.com/bootstrapprx/kodoo/tree/main/modules/accounting</t>
        </is>
      </c>
      <c r="S127" s="53" t="inlineStr">
        <is>
          <t>Future/optional; exact owner not confirmed</t>
        </is>
      </c>
    </row>
    <row r="128" ht="15" customHeight="1" s="50">
      <c r="A128" s="84" t="inlineStr">
        <is>
          <t>FN-124</t>
        </is>
      </c>
      <c r="B128" s="84" t="inlineStr">
        <is>
          <t>Setor Público (opcional)</t>
        </is>
      </c>
      <c r="C128" s="89" t="inlineStr">
        <is>
          <t>publico.conciliacao_pcasp</t>
        </is>
      </c>
      <c r="D128" s="84" t="inlineStr">
        <is>
          <t>Cálculo</t>
        </is>
      </c>
      <c r="E128" s="84" t="inlineStr">
        <is>
          <t>Conciliação de saldos PCASP</t>
        </is>
      </c>
      <c r="F128" s="84" t="inlineStr">
        <is>
          <t>F6</t>
        </is>
      </c>
      <c r="G128" s="84" t="inlineStr">
        <is>
          <t>Baixa</t>
        </is>
      </c>
      <c r="H128" s="84" t="inlineStr">
        <is>
          <t>Planejada</t>
        </is>
      </c>
      <c r="I128" s="84" t="inlineStr">
        <is>
          <t>T-168</t>
        </is>
      </c>
      <c r="J128" s="84" t="inlineStr">
        <is>
          <t>Não</t>
        </is>
      </c>
      <c r="K128" s="84" t="inlineStr">
        <is>
          <t>Não</t>
        </is>
      </c>
      <c r="L128" s="84" t="n"/>
      <c r="O128" s="53" t="inlineStr">
        <is>
          <t>publico.conciliacao_pcasp</t>
        </is>
      </c>
      <c r="P128" s="53" t="inlineStr">
        <is>
          <t>accounting or future domain module</t>
        </is>
      </c>
      <c r="Q128" s="53" t="inlineStr">
        <is>
          <t>public-sector accounting — owner to verify</t>
        </is>
      </c>
      <c r="R128" s="53" t="inlineStr">
        <is>
          <t>https://github.com/bootstrapprx/kodoo/tree/main/modules/accounting</t>
        </is>
      </c>
      <c r="S128" s="53" t="inlineStr">
        <is>
          <t>Future/optional; exact owner not confirmed</t>
        </is>
      </c>
    </row>
    <row r="129" ht="15" customHeight="1" s="50">
      <c r="A129" s="84" t="inlineStr">
        <is>
          <t>FN-125</t>
        </is>
      </c>
      <c r="B129" s="84" t="inlineStr">
        <is>
          <t>Painéis</t>
        </is>
      </c>
      <c r="C129" s="89" t="inlineStr">
        <is>
          <t>painel.pendencias.consultar</t>
        </is>
      </c>
      <c r="D129" s="84" t="inlineStr">
        <is>
          <t>Consulta</t>
        </is>
      </c>
      <c r="E129" s="84" t="inlineStr">
        <is>
          <t>Pendências do usuário e da organização</t>
        </is>
      </c>
      <c r="F129" s="84" t="inlineStr">
        <is>
          <t>F4</t>
        </is>
      </c>
      <c r="G129" s="84" t="inlineStr">
        <is>
          <t>Média</t>
        </is>
      </c>
      <c r="H129" s="84" t="inlineStr">
        <is>
          <t>Planejada</t>
        </is>
      </c>
      <c r="I129" s="84" t="inlineStr">
        <is>
          <t>T-173</t>
        </is>
      </c>
      <c r="J129" s="84" t="inlineStr">
        <is>
          <t>Não</t>
        </is>
      </c>
      <c r="K129" s="84" t="inlineStr">
        <is>
          <t>Não</t>
        </is>
      </c>
      <c r="L129" s="84" t="n"/>
      <c r="O129" s="53" t="inlineStr">
        <is>
          <t>dashboard.pendencias.query</t>
        </is>
      </c>
      <c r="P129" s="53" t="inlineStr">
        <is>
          <t>app composition / reports</t>
        </is>
      </c>
      <c r="Q129" s="53" t="inlineStr">
        <is>
          <t>dashboard</t>
        </is>
      </c>
      <c r="R129" s="53" t="inlineStr">
        <is>
          <t>https://github.com/bootstrapprx/kodoo/tree/main/apps/kalkulisto</t>
        </is>
      </c>
      <c r="S129" s="53" t="inlineStr">
        <is>
          <t>Likely composition/read-model; confirm</t>
        </is>
      </c>
    </row>
    <row r="130" ht="15" customHeight="1" s="50">
      <c r="A130" s="86" t="n"/>
      <c r="B130" s="84" t="n"/>
      <c r="C130" s="89" t="n"/>
      <c r="D130" s="84" t="n"/>
      <c r="E130" s="84" t="n"/>
      <c r="F130" s="86" t="n"/>
      <c r="G130" s="86" t="n"/>
      <c r="H130" s="86" t="n"/>
      <c r="I130" s="84" t="n"/>
      <c r="J130" s="86" t="n"/>
      <c r="K130" s="86" t="n"/>
      <c r="L130" s="84" t="n"/>
      <c r="P130" s="53" t="inlineStr">
        <is>
          <t>unmapped / to verify</t>
        </is>
      </c>
      <c r="Q130" s="53" t="inlineStr">
        <is>
          <t>unspecified</t>
        </is>
      </c>
      <c r="R130" s="53" t="inlineStr">
        <is>
          <t>https://github.com/bootstrapprx/kodoo/tree/main/modules</t>
        </is>
      </c>
      <c r="S130" s="53" t="inlineStr">
        <is>
          <t>Proposed classification; validate against code</t>
        </is>
      </c>
    </row>
    <row r="131" ht="15" customHeight="1" s="50">
      <c r="A131" s="86" t="n"/>
      <c r="B131" s="84" t="n"/>
      <c r="C131" s="89" t="n"/>
      <c r="D131" s="84" t="n"/>
      <c r="E131" s="84" t="n"/>
      <c r="F131" s="86" t="n"/>
      <c r="G131" s="86" t="n"/>
      <c r="H131" s="86" t="n"/>
      <c r="I131" s="84" t="n"/>
      <c r="J131" s="86" t="n"/>
      <c r="K131" s="86" t="n"/>
      <c r="L131" s="84" t="n"/>
      <c r="P131" s="53" t="inlineStr">
        <is>
          <t>unmapped / to verify</t>
        </is>
      </c>
      <c r="Q131" s="53" t="inlineStr">
        <is>
          <t>unspecified</t>
        </is>
      </c>
      <c r="R131" s="53" t="inlineStr">
        <is>
          <t>https://github.com/bootstrapprx/kodoo/tree/main/modules</t>
        </is>
      </c>
      <c r="S131" s="53" t="inlineStr">
        <is>
          <t>Proposed classification; validate against code</t>
        </is>
      </c>
    </row>
    <row r="132" ht="15" customHeight="1" s="50">
      <c r="A132" s="86" t="n"/>
      <c r="B132" s="84" t="n"/>
      <c r="C132" s="89" t="n"/>
      <c r="D132" s="84" t="n"/>
      <c r="E132" s="84" t="n"/>
      <c r="F132" s="86" t="n"/>
      <c r="G132" s="86" t="n"/>
      <c r="H132" s="86" t="n"/>
      <c r="I132" s="84" t="n"/>
      <c r="J132" s="86" t="n"/>
      <c r="K132" s="86" t="n"/>
      <c r="L132" s="84" t="n"/>
      <c r="P132" s="53" t="inlineStr">
        <is>
          <t>unmapped / to verify</t>
        </is>
      </c>
      <c r="Q132" s="53" t="inlineStr">
        <is>
          <t>unspecified</t>
        </is>
      </c>
      <c r="R132" s="53" t="inlineStr">
        <is>
          <t>https://github.com/bootstrapprx/kodoo/tree/main/modules</t>
        </is>
      </c>
      <c r="S132" s="53" t="inlineStr">
        <is>
          <t>Proposed classification; validate against code</t>
        </is>
      </c>
    </row>
    <row r="133" ht="15" customHeight="1" s="50">
      <c r="A133" s="86" t="n"/>
      <c r="B133" s="84" t="n"/>
      <c r="C133" s="89" t="n"/>
      <c r="D133" s="84" t="n"/>
      <c r="E133" s="84" t="n"/>
      <c r="F133" s="86" t="n"/>
      <c r="G133" s="86" t="n"/>
      <c r="H133" s="86" t="n"/>
      <c r="I133" s="84" t="n"/>
      <c r="J133" s="86" t="n"/>
      <c r="K133" s="86" t="n"/>
      <c r="L133" s="84" t="n"/>
      <c r="P133" s="53" t="inlineStr">
        <is>
          <t>unmapped / to verify</t>
        </is>
      </c>
      <c r="Q133" s="53" t="inlineStr">
        <is>
          <t>unspecified</t>
        </is>
      </c>
      <c r="R133" s="53" t="inlineStr">
        <is>
          <t>https://github.com/bootstrapprx/kodoo/tree/main/modules</t>
        </is>
      </c>
      <c r="S133" s="53" t="inlineStr">
        <is>
          <t>Proposed classification; validate against code</t>
        </is>
      </c>
    </row>
    <row r="134" ht="15" customHeight="1" s="50">
      <c r="A134" s="86" t="n"/>
      <c r="B134" s="84" t="n"/>
      <c r="C134" s="89" t="n"/>
      <c r="D134" s="84" t="n"/>
      <c r="E134" s="84" t="n"/>
      <c r="F134" s="86" t="n"/>
      <c r="G134" s="86" t="n"/>
      <c r="H134" s="86" t="n"/>
      <c r="I134" s="84" t="n"/>
      <c r="J134" s="86" t="n"/>
      <c r="K134" s="86" t="n"/>
      <c r="L134" s="84" t="n"/>
      <c r="P134" s="53" t="inlineStr">
        <is>
          <t>unmapped / to verify</t>
        </is>
      </c>
      <c r="Q134" s="53" t="inlineStr">
        <is>
          <t>unspecified</t>
        </is>
      </c>
      <c r="R134" s="53" t="inlineStr">
        <is>
          <t>https://github.com/bootstrapprx/kodoo/tree/main/modules</t>
        </is>
      </c>
      <c r="S134" s="53" t="inlineStr">
        <is>
          <t>Proposed classification; validate against code</t>
        </is>
      </c>
    </row>
    <row r="135" ht="15" customHeight="1" s="50">
      <c r="A135" s="86" t="n"/>
      <c r="B135" s="84" t="n"/>
      <c r="C135" s="89" t="n"/>
      <c r="D135" s="84" t="n"/>
      <c r="E135" s="84" t="n"/>
      <c r="F135" s="86" t="n"/>
      <c r="G135" s="86" t="n"/>
      <c r="H135" s="86" t="n"/>
      <c r="I135" s="84" t="n"/>
      <c r="J135" s="86" t="n"/>
      <c r="K135" s="86" t="n"/>
      <c r="L135" s="84" t="n"/>
      <c r="P135" s="53" t="inlineStr">
        <is>
          <t>unmapped / to verify</t>
        </is>
      </c>
      <c r="Q135" s="53" t="inlineStr">
        <is>
          <t>unspecified</t>
        </is>
      </c>
      <c r="R135" s="53" t="inlineStr">
        <is>
          <t>https://github.com/bootstrapprx/kodoo/tree/main/modules</t>
        </is>
      </c>
      <c r="S135" s="53" t="inlineStr">
        <is>
          <t>Proposed classification; validate against code</t>
        </is>
      </c>
    </row>
    <row r="136" ht="15" customHeight="1" s="50">
      <c r="A136" s="86" t="n"/>
      <c r="B136" s="84" t="n"/>
      <c r="C136" s="89" t="n"/>
      <c r="D136" s="84" t="n"/>
      <c r="E136" s="84" t="n"/>
      <c r="F136" s="86" t="n"/>
      <c r="G136" s="86" t="n"/>
      <c r="H136" s="86" t="n"/>
      <c r="I136" s="84" t="n"/>
      <c r="J136" s="86" t="n"/>
      <c r="K136" s="86" t="n"/>
      <c r="L136" s="84" t="n"/>
      <c r="P136" s="53" t="inlineStr">
        <is>
          <t>unmapped / to verify</t>
        </is>
      </c>
      <c r="Q136" s="53" t="inlineStr">
        <is>
          <t>unspecified</t>
        </is>
      </c>
      <c r="R136" s="53" t="inlineStr">
        <is>
          <t>https://github.com/bootstrapprx/kodoo/tree/main/modules</t>
        </is>
      </c>
      <c r="S136" s="53" t="inlineStr">
        <is>
          <t>Proposed classification; validate against code</t>
        </is>
      </c>
    </row>
    <row r="137" ht="15" customHeight="1" s="50">
      <c r="A137" s="86" t="n"/>
      <c r="B137" s="84" t="n"/>
      <c r="C137" s="89" t="n"/>
      <c r="D137" s="84" t="n"/>
      <c r="E137" s="84" t="n"/>
      <c r="F137" s="86" t="n"/>
      <c r="G137" s="86" t="n"/>
      <c r="H137" s="86" t="n"/>
      <c r="I137" s="84" t="n"/>
      <c r="J137" s="86" t="n"/>
      <c r="K137" s="86" t="n"/>
      <c r="L137" s="84" t="n"/>
      <c r="P137" s="53" t="inlineStr">
        <is>
          <t>unmapped / to verify</t>
        </is>
      </c>
      <c r="Q137" s="53" t="inlineStr">
        <is>
          <t>unspecified</t>
        </is>
      </c>
      <c r="R137" s="53" t="inlineStr">
        <is>
          <t>https://github.com/bootstrapprx/kodoo/tree/main/modules</t>
        </is>
      </c>
      <c r="S137" s="53" t="inlineStr">
        <is>
          <t>Proposed classification; validate against code</t>
        </is>
      </c>
    </row>
    <row r="138" ht="15" customHeight="1" s="50">
      <c r="A138" s="86" t="n"/>
      <c r="B138" s="84" t="n"/>
      <c r="C138" s="89" t="n"/>
      <c r="D138" s="84" t="n"/>
      <c r="E138" s="84" t="n"/>
      <c r="F138" s="86" t="n"/>
      <c r="G138" s="86" t="n"/>
      <c r="H138" s="86" t="n"/>
      <c r="I138" s="84" t="n"/>
      <c r="J138" s="86" t="n"/>
      <c r="K138" s="86" t="n"/>
      <c r="L138" s="84" t="n"/>
      <c r="P138" s="53" t="inlineStr">
        <is>
          <t>unmapped / to verify</t>
        </is>
      </c>
      <c r="Q138" s="53" t="inlineStr">
        <is>
          <t>unspecified</t>
        </is>
      </c>
      <c r="R138" s="53" t="inlineStr">
        <is>
          <t>https://github.com/bootstrapprx/kodoo/tree/main/modules</t>
        </is>
      </c>
      <c r="S138" s="53" t="inlineStr">
        <is>
          <t>Proposed classification; validate against code</t>
        </is>
      </c>
    </row>
    <row r="139" ht="15" customHeight="1" s="50">
      <c r="A139" s="86" t="n"/>
      <c r="B139" s="84" t="n"/>
      <c r="C139" s="89" t="n"/>
      <c r="D139" s="84" t="n"/>
      <c r="E139" s="84" t="n"/>
      <c r="F139" s="86" t="n"/>
      <c r="G139" s="86" t="n"/>
      <c r="H139" s="86" t="n"/>
      <c r="I139" s="84" t="n"/>
      <c r="J139" s="86" t="n"/>
      <c r="K139" s="86" t="n"/>
      <c r="L139" s="84" t="n"/>
      <c r="P139" s="53" t="inlineStr">
        <is>
          <t>unmapped / to verify</t>
        </is>
      </c>
      <c r="Q139" s="53" t="inlineStr">
        <is>
          <t>unspecified</t>
        </is>
      </c>
      <c r="R139" s="53" t="inlineStr">
        <is>
          <t>https://github.com/bootstrapprx/kodoo/tree/main/modules</t>
        </is>
      </c>
      <c r="S139" s="53" t="inlineStr">
        <is>
          <t>Proposed classification; validate against code</t>
        </is>
      </c>
    </row>
    <row r="140" ht="15" customHeight="1" s="50">
      <c r="A140" s="86" t="n"/>
      <c r="B140" s="84" t="n"/>
      <c r="C140" s="89" t="n"/>
      <c r="D140" s="84" t="n"/>
      <c r="E140" s="84" t="n"/>
      <c r="F140" s="86" t="n"/>
      <c r="G140" s="86" t="n"/>
      <c r="H140" s="86" t="n"/>
      <c r="I140" s="84" t="n"/>
      <c r="J140" s="86" t="n"/>
      <c r="K140" s="86" t="n"/>
      <c r="L140" s="84" t="n"/>
      <c r="P140" s="53" t="inlineStr">
        <is>
          <t>unmapped / to verify</t>
        </is>
      </c>
      <c r="Q140" s="53" t="inlineStr">
        <is>
          <t>unspecified</t>
        </is>
      </c>
      <c r="R140" s="53" t="inlineStr">
        <is>
          <t>https://github.com/bootstrapprx/kodoo/tree/main/modules</t>
        </is>
      </c>
      <c r="S140" s="53" t="inlineStr">
        <is>
          <t>Proposed classification; validate against code</t>
        </is>
      </c>
    </row>
    <row r="141" ht="15" customHeight="1" s="50">
      <c r="A141" s="86" t="n"/>
      <c r="B141" s="84" t="n"/>
      <c r="C141" s="89" t="n"/>
      <c r="D141" s="84" t="n"/>
      <c r="E141" s="84" t="n"/>
      <c r="F141" s="86" t="n"/>
      <c r="G141" s="86" t="n"/>
      <c r="H141" s="86" t="n"/>
      <c r="I141" s="84" t="n"/>
      <c r="J141" s="86" t="n"/>
      <c r="K141" s="86" t="n"/>
      <c r="L141" s="84" t="n"/>
      <c r="P141" s="53" t="inlineStr">
        <is>
          <t>unmapped / to verify</t>
        </is>
      </c>
      <c r="Q141" s="53" t="inlineStr">
        <is>
          <t>unspecified</t>
        </is>
      </c>
      <c r="R141" s="53" t="inlineStr">
        <is>
          <t>https://github.com/bootstrapprx/kodoo/tree/main/modules</t>
        </is>
      </c>
      <c r="S141" s="53" t="inlineStr">
        <is>
          <t>Proposed classification; validate against code</t>
        </is>
      </c>
    </row>
    <row r="142" ht="15" customHeight="1" s="50">
      <c r="A142" s="86" t="n"/>
      <c r="B142" s="84" t="n"/>
      <c r="C142" s="89" t="n"/>
      <c r="D142" s="84" t="n"/>
      <c r="E142" s="84" t="n"/>
      <c r="F142" s="86" t="n"/>
      <c r="G142" s="86" t="n"/>
      <c r="H142" s="86" t="n"/>
      <c r="I142" s="84" t="n"/>
      <c r="J142" s="86" t="n"/>
      <c r="K142" s="86" t="n"/>
      <c r="L142" s="84" t="n"/>
      <c r="P142" s="53" t="inlineStr">
        <is>
          <t>unmapped / to verify</t>
        </is>
      </c>
      <c r="Q142" s="53" t="inlineStr">
        <is>
          <t>unspecified</t>
        </is>
      </c>
      <c r="R142" s="53" t="inlineStr">
        <is>
          <t>https://github.com/bootstrapprx/kodoo/tree/main/modules</t>
        </is>
      </c>
      <c r="S142" s="53" t="inlineStr">
        <is>
          <t>Proposed classification; validate against code</t>
        </is>
      </c>
    </row>
    <row r="143" ht="15" customHeight="1" s="50">
      <c r="A143" s="86" t="n"/>
      <c r="B143" s="84" t="n"/>
      <c r="C143" s="89" t="n"/>
      <c r="D143" s="84" t="n"/>
      <c r="E143" s="84" t="n"/>
      <c r="F143" s="86" t="n"/>
      <c r="G143" s="86" t="n"/>
      <c r="H143" s="86" t="n"/>
      <c r="I143" s="84" t="n"/>
      <c r="J143" s="86" t="n"/>
      <c r="K143" s="86" t="n"/>
      <c r="L143" s="84" t="n"/>
      <c r="P143" s="53" t="inlineStr">
        <is>
          <t>unmapped / to verify</t>
        </is>
      </c>
      <c r="Q143" s="53" t="inlineStr">
        <is>
          <t>unspecified</t>
        </is>
      </c>
      <c r="R143" s="53" t="inlineStr">
        <is>
          <t>https://github.com/bootstrapprx/kodoo/tree/main/modules</t>
        </is>
      </c>
      <c r="S143" s="53" t="inlineStr">
        <is>
          <t>Proposed classification; validate against code</t>
        </is>
      </c>
    </row>
    <row r="144" ht="15" customHeight="1" s="50">
      <c r="A144" s="86" t="n"/>
      <c r="B144" s="84" t="n"/>
      <c r="C144" s="89" t="n"/>
      <c r="D144" s="84" t="n"/>
      <c r="E144" s="84" t="n"/>
      <c r="F144" s="86" t="n"/>
      <c r="G144" s="86" t="n"/>
      <c r="H144" s="86" t="n"/>
      <c r="I144" s="84" t="n"/>
      <c r="J144" s="86" t="n"/>
      <c r="K144" s="86" t="n"/>
      <c r="L144" s="84" t="n"/>
      <c r="P144" s="53" t="inlineStr">
        <is>
          <t>unmapped / to verify</t>
        </is>
      </c>
      <c r="Q144" s="53" t="inlineStr">
        <is>
          <t>unspecified</t>
        </is>
      </c>
      <c r="R144" s="53" t="inlineStr">
        <is>
          <t>https://github.com/bootstrapprx/kodoo/tree/main/modules</t>
        </is>
      </c>
      <c r="S144" s="53" t="inlineStr">
        <is>
          <t>Proposed classification; validate against code</t>
        </is>
      </c>
    </row>
    <row r="145" ht="15" customHeight="1" s="50">
      <c r="A145" s="86" t="n"/>
      <c r="B145" s="84" t="n"/>
      <c r="C145" s="89" t="n"/>
      <c r="D145" s="84" t="n"/>
      <c r="E145" s="84" t="n"/>
      <c r="F145" s="86" t="n"/>
      <c r="G145" s="86" t="n"/>
      <c r="H145" s="86" t="n"/>
      <c r="I145" s="84" t="n"/>
      <c r="J145" s="86" t="n"/>
      <c r="K145" s="86" t="n"/>
      <c r="L145" s="84" t="n"/>
      <c r="P145" s="53" t="inlineStr">
        <is>
          <t>unmapped / to verify</t>
        </is>
      </c>
      <c r="Q145" s="53" t="inlineStr">
        <is>
          <t>unspecified</t>
        </is>
      </c>
      <c r="R145" s="53" t="inlineStr">
        <is>
          <t>https://github.com/bootstrapprx/kodoo/tree/main/modules</t>
        </is>
      </c>
      <c r="S145" s="53" t="inlineStr">
        <is>
          <t>Proposed classification; validate against code</t>
        </is>
      </c>
    </row>
    <row r="146" ht="15" customHeight="1" s="50">
      <c r="A146" s="86" t="n"/>
      <c r="B146" s="84" t="n"/>
      <c r="C146" s="89" t="n"/>
      <c r="D146" s="84" t="n"/>
      <c r="E146" s="84" t="n"/>
      <c r="F146" s="86" t="n"/>
      <c r="G146" s="86" t="n"/>
      <c r="H146" s="86" t="n"/>
      <c r="I146" s="84" t="n"/>
      <c r="J146" s="86" t="n"/>
      <c r="K146" s="86" t="n"/>
      <c r="L146" s="84" t="n"/>
      <c r="P146" s="53" t="inlineStr">
        <is>
          <t>unmapped / to verify</t>
        </is>
      </c>
      <c r="Q146" s="53" t="inlineStr">
        <is>
          <t>unspecified</t>
        </is>
      </c>
      <c r="R146" s="53" t="inlineStr">
        <is>
          <t>https://github.com/bootstrapprx/kodoo/tree/main/modules</t>
        </is>
      </c>
      <c r="S146" s="53" t="inlineStr">
        <is>
          <t>Proposed classification; validate against code</t>
        </is>
      </c>
    </row>
    <row r="147" ht="15" customHeight="1" s="50">
      <c r="A147" s="86" t="n"/>
      <c r="B147" s="84" t="n"/>
      <c r="C147" s="89" t="n"/>
      <c r="D147" s="84" t="n"/>
      <c r="E147" s="84" t="n"/>
      <c r="F147" s="86" t="n"/>
      <c r="G147" s="86" t="n"/>
      <c r="H147" s="86" t="n"/>
      <c r="I147" s="84" t="n"/>
      <c r="J147" s="86" t="n"/>
      <c r="K147" s="86" t="n"/>
      <c r="L147" s="84" t="n"/>
      <c r="P147" s="53" t="inlineStr">
        <is>
          <t>unmapped / to verify</t>
        </is>
      </c>
      <c r="Q147" s="53" t="inlineStr">
        <is>
          <t>unspecified</t>
        </is>
      </c>
      <c r="R147" s="53" t="inlineStr">
        <is>
          <t>https://github.com/bootstrapprx/kodoo/tree/main/modules</t>
        </is>
      </c>
      <c r="S147" s="53" t="inlineStr">
        <is>
          <t>Proposed classification; validate against code</t>
        </is>
      </c>
    </row>
    <row r="148" ht="15" customHeight="1" s="50">
      <c r="A148" s="86" t="n"/>
      <c r="B148" s="84" t="n"/>
      <c r="C148" s="89" t="n"/>
      <c r="D148" s="84" t="n"/>
      <c r="E148" s="84" t="n"/>
      <c r="F148" s="86" t="n"/>
      <c r="G148" s="86" t="n"/>
      <c r="H148" s="86" t="n"/>
      <c r="I148" s="84" t="n"/>
      <c r="J148" s="86" t="n"/>
      <c r="K148" s="86" t="n"/>
      <c r="L148" s="84" t="n"/>
      <c r="P148" s="53" t="inlineStr">
        <is>
          <t>unmapped / to verify</t>
        </is>
      </c>
      <c r="Q148" s="53" t="inlineStr">
        <is>
          <t>unspecified</t>
        </is>
      </c>
      <c r="R148" s="53" t="inlineStr">
        <is>
          <t>https://github.com/bootstrapprx/kodoo/tree/main/modules</t>
        </is>
      </c>
      <c r="S148" s="53" t="inlineStr">
        <is>
          <t>Proposed classification; validate against code</t>
        </is>
      </c>
    </row>
    <row r="149" ht="15" customHeight="1" s="50">
      <c r="A149" s="86" t="n"/>
      <c r="B149" s="84" t="n"/>
      <c r="C149" s="89" t="n"/>
      <c r="D149" s="84" t="n"/>
      <c r="E149" s="84" t="n"/>
      <c r="F149" s="86" t="n"/>
      <c r="G149" s="86" t="n"/>
      <c r="H149" s="86" t="n"/>
      <c r="I149" s="84" t="n"/>
      <c r="J149" s="86" t="n"/>
      <c r="K149" s="86" t="n"/>
      <c r="L149" s="84" t="n"/>
      <c r="P149" s="53" t="inlineStr">
        <is>
          <t>unmapped / to verify</t>
        </is>
      </c>
      <c r="Q149" s="53" t="inlineStr">
        <is>
          <t>unspecified</t>
        </is>
      </c>
      <c r="R149" s="53" t="inlineStr">
        <is>
          <t>https://github.com/bootstrapprx/kodoo/tree/main/modules</t>
        </is>
      </c>
      <c r="S149" s="53" t="inlineStr">
        <is>
          <t>Proposed classification; validate against code</t>
        </is>
      </c>
    </row>
    <row r="150" ht="15" customHeight="1" s="50">
      <c r="A150" s="86" t="n"/>
      <c r="B150" s="84" t="n"/>
      <c r="C150" s="89" t="n"/>
      <c r="D150" s="84" t="n"/>
      <c r="E150" s="84" t="n"/>
      <c r="F150" s="86" t="n"/>
      <c r="G150" s="86" t="n"/>
      <c r="H150" s="86" t="n"/>
      <c r="I150" s="84" t="n"/>
      <c r="J150" s="86" t="n"/>
      <c r="K150" s="86" t="n"/>
      <c r="L150" s="84" t="n"/>
      <c r="P150" s="53" t="inlineStr">
        <is>
          <t>unmapped / to verify</t>
        </is>
      </c>
      <c r="Q150" s="53" t="inlineStr">
        <is>
          <t>unspecified</t>
        </is>
      </c>
      <c r="R150" s="53" t="inlineStr">
        <is>
          <t>https://github.com/bootstrapprx/kodoo/tree/main/modules</t>
        </is>
      </c>
      <c r="S150" s="53" t="inlineStr">
        <is>
          <t>Proposed classification; validate against code</t>
        </is>
      </c>
    </row>
    <row r="151" ht="15" customHeight="1" s="50">
      <c r="A151" s="86" t="n"/>
      <c r="B151" s="84" t="n"/>
      <c r="C151" s="89" t="n"/>
      <c r="D151" s="84" t="n"/>
      <c r="E151" s="84" t="n"/>
      <c r="F151" s="86" t="n"/>
      <c r="G151" s="86" t="n"/>
      <c r="H151" s="86" t="n"/>
      <c r="I151" s="84" t="n"/>
      <c r="J151" s="86" t="n"/>
      <c r="K151" s="86" t="n"/>
      <c r="L151" s="84" t="n"/>
      <c r="P151" s="53" t="inlineStr">
        <is>
          <t>unmapped / to verify</t>
        </is>
      </c>
      <c r="Q151" s="53" t="inlineStr">
        <is>
          <t>unspecified</t>
        </is>
      </c>
      <c r="R151" s="53" t="inlineStr">
        <is>
          <t>https://github.com/bootstrapprx/kodoo/tree/main/modules</t>
        </is>
      </c>
      <c r="S151" s="53" t="inlineStr">
        <is>
          <t>Proposed classification; validate against code</t>
        </is>
      </c>
    </row>
    <row r="152" ht="15" customHeight="1" s="50">
      <c r="A152" s="86" t="n"/>
      <c r="B152" s="84" t="n"/>
      <c r="C152" s="89" t="n"/>
      <c r="D152" s="84" t="n"/>
      <c r="E152" s="84" t="n"/>
      <c r="F152" s="86" t="n"/>
      <c r="G152" s="86" t="n"/>
      <c r="H152" s="86" t="n"/>
      <c r="I152" s="84" t="n"/>
      <c r="J152" s="86" t="n"/>
      <c r="K152" s="86" t="n"/>
      <c r="L152" s="84" t="n"/>
      <c r="P152" s="53" t="inlineStr">
        <is>
          <t>unmapped / to verify</t>
        </is>
      </c>
      <c r="Q152" s="53" t="inlineStr">
        <is>
          <t>unspecified</t>
        </is>
      </c>
      <c r="R152" s="53" t="inlineStr">
        <is>
          <t>https://github.com/bootstrapprx/kodoo/tree/main/modules</t>
        </is>
      </c>
      <c r="S152" s="53" t="inlineStr">
        <is>
          <t>Proposed classification; validate against code</t>
        </is>
      </c>
    </row>
    <row r="153" ht="15" customHeight="1" s="50">
      <c r="A153" s="86" t="n"/>
      <c r="B153" s="84" t="n"/>
      <c r="C153" s="89" t="n"/>
      <c r="D153" s="84" t="n"/>
      <c r="E153" s="84" t="n"/>
      <c r="F153" s="86" t="n"/>
      <c r="G153" s="86" t="n"/>
      <c r="H153" s="86" t="n"/>
      <c r="I153" s="84" t="n"/>
      <c r="J153" s="86" t="n"/>
      <c r="K153" s="86" t="n"/>
      <c r="L153" s="84" t="n"/>
      <c r="P153" s="53" t="inlineStr">
        <is>
          <t>unmapped / to verify</t>
        </is>
      </c>
      <c r="Q153" s="53" t="inlineStr">
        <is>
          <t>unspecified</t>
        </is>
      </c>
      <c r="R153" s="53" t="inlineStr">
        <is>
          <t>https://github.com/bootstrapprx/kodoo/tree/main/modules</t>
        </is>
      </c>
      <c r="S153" s="53" t="inlineStr">
        <is>
          <t>Proposed classification; validate against code</t>
        </is>
      </c>
    </row>
    <row r="154" ht="15" customHeight="1" s="50">
      <c r="A154" s="86" t="n"/>
      <c r="B154" s="84" t="n"/>
      <c r="C154" s="89" t="n"/>
      <c r="D154" s="84" t="n"/>
      <c r="E154" s="84" t="n"/>
      <c r="F154" s="86" t="n"/>
      <c r="G154" s="86" t="n"/>
      <c r="H154" s="86" t="n"/>
      <c r="I154" s="84" t="n"/>
      <c r="J154" s="86" t="n"/>
      <c r="K154" s="86" t="n"/>
      <c r="L154" s="84" t="n"/>
      <c r="P154" s="53" t="inlineStr">
        <is>
          <t>unmapped / to verify</t>
        </is>
      </c>
      <c r="Q154" s="53" t="inlineStr">
        <is>
          <t>unspecified</t>
        </is>
      </c>
      <c r="R154" s="53" t="inlineStr">
        <is>
          <t>https://github.com/bootstrapprx/kodoo/tree/main/modules</t>
        </is>
      </c>
      <c r="S154" s="53" t="inlineStr">
        <is>
          <t>Proposed classification; validate against code</t>
        </is>
      </c>
    </row>
    <row r="155" ht="15" customHeight="1" s="50">
      <c r="A155" s="86" t="n"/>
      <c r="B155" s="84" t="n"/>
      <c r="C155" s="89" t="n"/>
      <c r="D155" s="84" t="n"/>
      <c r="E155" s="84" t="n"/>
      <c r="F155" s="86" t="n"/>
      <c r="G155" s="86" t="n"/>
      <c r="H155" s="86" t="n"/>
      <c r="I155" s="84" t="n"/>
      <c r="J155" s="86" t="n"/>
      <c r="K155" s="86" t="n"/>
      <c r="L155" s="84" t="n"/>
      <c r="P155" s="53" t="inlineStr">
        <is>
          <t>unmapped / to verify</t>
        </is>
      </c>
      <c r="Q155" s="53" t="inlineStr">
        <is>
          <t>unspecified</t>
        </is>
      </c>
      <c r="R155" s="53" t="inlineStr">
        <is>
          <t>https://github.com/bootstrapprx/kodoo/tree/main/modules</t>
        </is>
      </c>
      <c r="S155" s="53" t="inlineStr">
        <is>
          <t>Proposed classification; validate against code</t>
        </is>
      </c>
    </row>
    <row r="156" ht="15" customHeight="1" s="50">
      <c r="A156" s="86" t="n"/>
      <c r="B156" s="84" t="n"/>
      <c r="C156" s="89" t="n"/>
      <c r="D156" s="84" t="n"/>
      <c r="E156" s="84" t="n"/>
      <c r="F156" s="86" t="n"/>
      <c r="G156" s="86" t="n"/>
      <c r="H156" s="86" t="n"/>
      <c r="I156" s="84" t="n"/>
      <c r="J156" s="86" t="n"/>
      <c r="K156" s="86" t="n"/>
      <c r="L156" s="84" t="n"/>
      <c r="P156" s="53" t="inlineStr">
        <is>
          <t>unmapped / to verify</t>
        </is>
      </c>
      <c r="Q156" s="53" t="inlineStr">
        <is>
          <t>unspecified</t>
        </is>
      </c>
      <c r="R156" s="53" t="inlineStr">
        <is>
          <t>https://github.com/bootstrapprx/kodoo/tree/main/modules</t>
        </is>
      </c>
      <c r="S156" s="53" t="inlineStr">
        <is>
          <t>Proposed classification; validate against code</t>
        </is>
      </c>
    </row>
    <row r="157" ht="15" customHeight="1" s="50">
      <c r="A157" s="86" t="n"/>
      <c r="B157" s="84" t="n"/>
      <c r="C157" s="89" t="n"/>
      <c r="D157" s="84" t="n"/>
      <c r="E157" s="84" t="n"/>
      <c r="F157" s="86" t="n"/>
      <c r="G157" s="86" t="n"/>
      <c r="H157" s="86" t="n"/>
      <c r="I157" s="84" t="n"/>
      <c r="J157" s="86" t="n"/>
      <c r="K157" s="86" t="n"/>
      <c r="L157" s="84" t="n"/>
      <c r="P157" s="53" t="inlineStr">
        <is>
          <t>unmapped / to verify</t>
        </is>
      </c>
      <c r="Q157" s="53" t="inlineStr">
        <is>
          <t>unspecified</t>
        </is>
      </c>
      <c r="R157" s="53" t="inlineStr">
        <is>
          <t>https://github.com/bootstrapprx/kodoo/tree/main/modules</t>
        </is>
      </c>
      <c r="S157" s="53" t="inlineStr">
        <is>
          <t>Proposed classification; validate against code</t>
        </is>
      </c>
    </row>
    <row r="158" ht="15" customHeight="1" s="50">
      <c r="A158" s="86" t="n"/>
      <c r="B158" s="84" t="n"/>
      <c r="C158" s="89" t="n"/>
      <c r="D158" s="84" t="n"/>
      <c r="E158" s="84" t="n"/>
      <c r="F158" s="86" t="n"/>
      <c r="G158" s="86" t="n"/>
      <c r="H158" s="86" t="n"/>
      <c r="I158" s="84" t="n"/>
      <c r="J158" s="86" t="n"/>
      <c r="K158" s="86" t="n"/>
      <c r="L158" s="84" t="n"/>
      <c r="P158" s="53" t="inlineStr">
        <is>
          <t>unmapped / to verify</t>
        </is>
      </c>
      <c r="Q158" s="53" t="inlineStr">
        <is>
          <t>unspecified</t>
        </is>
      </c>
      <c r="R158" s="53" t="inlineStr">
        <is>
          <t>https://github.com/bootstrapprx/kodoo/tree/main/modules</t>
        </is>
      </c>
      <c r="S158" s="53" t="inlineStr">
        <is>
          <t>Proposed classification; validate against code</t>
        </is>
      </c>
    </row>
    <row r="159" ht="15" customHeight="1" s="50">
      <c r="A159" s="86" t="n"/>
      <c r="B159" s="84" t="n"/>
      <c r="C159" s="89" t="n"/>
      <c r="D159" s="84" t="n"/>
      <c r="E159" s="84" t="n"/>
      <c r="F159" s="86" t="n"/>
      <c r="G159" s="86" t="n"/>
      <c r="H159" s="86" t="n"/>
      <c r="I159" s="84" t="n"/>
      <c r="J159" s="86" t="n"/>
      <c r="K159" s="86" t="n"/>
      <c r="L159" s="84" t="n"/>
      <c r="P159" s="53" t="inlineStr">
        <is>
          <t>unmapped / to verify</t>
        </is>
      </c>
      <c r="Q159" s="53" t="inlineStr">
        <is>
          <t>unspecified</t>
        </is>
      </c>
      <c r="R159" s="53" t="inlineStr">
        <is>
          <t>https://github.com/bootstrapprx/kodoo/tree/main/modules</t>
        </is>
      </c>
      <c r="S159" s="53" t="inlineStr">
        <is>
          <t>Proposed classification; validate against code</t>
        </is>
      </c>
    </row>
    <row r="160" ht="15" customHeight="1" s="50">
      <c r="A160" s="86" t="n"/>
      <c r="B160" s="84" t="n"/>
      <c r="C160" s="89" t="n"/>
      <c r="D160" s="84" t="n"/>
      <c r="E160" s="84" t="n"/>
      <c r="F160" s="86" t="n"/>
      <c r="G160" s="86" t="n"/>
      <c r="H160" s="86" t="n"/>
      <c r="I160" s="84" t="n"/>
      <c r="J160" s="86" t="n"/>
      <c r="K160" s="86" t="n"/>
      <c r="L160" s="84" t="n"/>
      <c r="P160" s="53" t="inlineStr">
        <is>
          <t>unmapped / to verify</t>
        </is>
      </c>
      <c r="Q160" s="53" t="inlineStr">
        <is>
          <t>unspecified</t>
        </is>
      </c>
      <c r="R160" s="53" t="inlineStr">
        <is>
          <t>https://github.com/bootstrapprx/kodoo/tree/main/modules</t>
        </is>
      </c>
      <c r="S160" s="53" t="inlineStr">
        <is>
          <t>Proposed classification; validate against code</t>
        </is>
      </c>
    </row>
    <row r="161" ht="15" customHeight="1" s="50">
      <c r="A161" s="86" t="n"/>
      <c r="B161" s="84" t="n"/>
      <c r="C161" s="89" t="n"/>
      <c r="D161" s="84" t="n"/>
      <c r="E161" s="84" t="n"/>
      <c r="F161" s="86" t="n"/>
      <c r="G161" s="86" t="n"/>
      <c r="H161" s="86" t="n"/>
      <c r="I161" s="84" t="n"/>
      <c r="J161" s="86" t="n"/>
      <c r="K161" s="86" t="n"/>
      <c r="L161" s="84" t="n"/>
      <c r="P161" s="53" t="inlineStr">
        <is>
          <t>unmapped / to verify</t>
        </is>
      </c>
      <c r="Q161" s="53" t="inlineStr">
        <is>
          <t>unspecified</t>
        </is>
      </c>
      <c r="R161" s="53" t="inlineStr">
        <is>
          <t>https://github.com/bootstrapprx/kodoo/tree/main/modules</t>
        </is>
      </c>
      <c r="S161" s="53" t="inlineStr">
        <is>
          <t>Proposed classification; validate against code</t>
        </is>
      </c>
    </row>
    <row r="162" ht="15" customHeight="1" s="50">
      <c r="A162" s="86" t="n"/>
      <c r="B162" s="84" t="n"/>
      <c r="C162" s="89" t="n"/>
      <c r="D162" s="84" t="n"/>
      <c r="E162" s="84" t="n"/>
      <c r="F162" s="86" t="n"/>
      <c r="G162" s="86" t="n"/>
      <c r="H162" s="86" t="n"/>
      <c r="I162" s="84" t="n"/>
      <c r="J162" s="86" t="n"/>
      <c r="K162" s="86" t="n"/>
      <c r="L162" s="84" t="n"/>
      <c r="P162" s="53" t="inlineStr">
        <is>
          <t>unmapped / to verify</t>
        </is>
      </c>
      <c r="Q162" s="53" t="inlineStr">
        <is>
          <t>unspecified</t>
        </is>
      </c>
      <c r="R162" s="53" t="inlineStr">
        <is>
          <t>https://github.com/bootstrapprx/kodoo/tree/main/modules</t>
        </is>
      </c>
      <c r="S162" s="53" t="inlineStr">
        <is>
          <t>Proposed classification; validate against code</t>
        </is>
      </c>
    </row>
    <row r="163" ht="15" customHeight="1" s="50">
      <c r="A163" s="86" t="n"/>
      <c r="B163" s="84" t="n"/>
      <c r="C163" s="89" t="n"/>
      <c r="D163" s="84" t="n"/>
      <c r="E163" s="84" t="n"/>
      <c r="F163" s="86" t="n"/>
      <c r="G163" s="86" t="n"/>
      <c r="H163" s="86" t="n"/>
      <c r="I163" s="84" t="n"/>
      <c r="J163" s="86" t="n"/>
      <c r="K163" s="86" t="n"/>
      <c r="L163" s="84" t="n"/>
      <c r="P163" s="53" t="inlineStr">
        <is>
          <t>unmapped / to verify</t>
        </is>
      </c>
      <c r="Q163" s="53" t="inlineStr">
        <is>
          <t>unspecified</t>
        </is>
      </c>
      <c r="R163" s="53" t="inlineStr">
        <is>
          <t>https://github.com/bootstrapprx/kodoo/tree/main/modules</t>
        </is>
      </c>
      <c r="S163" s="53" t="inlineStr">
        <is>
          <t>Proposed classification; validate against code</t>
        </is>
      </c>
    </row>
    <row r="164" ht="15" customHeight="1" s="50">
      <c r="A164" s="86" t="n"/>
      <c r="B164" s="84" t="n"/>
      <c r="C164" s="89" t="n"/>
      <c r="D164" s="84" t="n"/>
      <c r="E164" s="84" t="n"/>
      <c r="F164" s="86" t="n"/>
      <c r="G164" s="86" t="n"/>
      <c r="H164" s="86" t="n"/>
      <c r="I164" s="84" t="n"/>
      <c r="J164" s="86" t="n"/>
      <c r="K164" s="86" t="n"/>
      <c r="L164" s="84" t="n"/>
      <c r="P164" s="53" t="inlineStr">
        <is>
          <t>unmapped / to verify</t>
        </is>
      </c>
      <c r="Q164" s="53" t="inlineStr">
        <is>
          <t>unspecified</t>
        </is>
      </c>
      <c r="R164" s="53" t="inlineStr">
        <is>
          <t>https://github.com/bootstrapprx/kodoo/tree/main/modules</t>
        </is>
      </c>
      <c r="S164" s="53" t="inlineStr">
        <is>
          <t>Proposed classification; validate against code</t>
        </is>
      </c>
    </row>
    <row r="165" ht="15" customHeight="1" s="50">
      <c r="A165" s="86" t="n"/>
      <c r="B165" s="84" t="n"/>
      <c r="C165" s="89" t="n"/>
      <c r="D165" s="84" t="n"/>
      <c r="E165" s="84" t="n"/>
      <c r="F165" s="86" t="n"/>
      <c r="G165" s="86" t="n"/>
      <c r="H165" s="86" t="n"/>
      <c r="I165" s="84" t="n"/>
      <c r="J165" s="86" t="n"/>
      <c r="K165" s="86" t="n"/>
      <c r="L165" s="84" t="n"/>
      <c r="P165" s="53" t="inlineStr">
        <is>
          <t>unmapped / to verify</t>
        </is>
      </c>
      <c r="Q165" s="53" t="inlineStr">
        <is>
          <t>unspecified</t>
        </is>
      </c>
      <c r="R165" s="53" t="inlineStr">
        <is>
          <t>https://github.com/bootstrapprx/kodoo/tree/main/modules</t>
        </is>
      </c>
      <c r="S165" s="53" t="inlineStr">
        <is>
          <t>Proposed classification; validate against code</t>
        </is>
      </c>
    </row>
    <row r="166" ht="15" customHeight="1" s="50">
      <c r="A166" s="86" t="n"/>
      <c r="B166" s="84" t="n"/>
      <c r="C166" s="89" t="n"/>
      <c r="D166" s="84" t="n"/>
      <c r="E166" s="84" t="n"/>
      <c r="F166" s="86" t="n"/>
      <c r="G166" s="86" t="n"/>
      <c r="H166" s="86" t="n"/>
      <c r="I166" s="84" t="n"/>
      <c r="J166" s="86" t="n"/>
      <c r="K166" s="86" t="n"/>
      <c r="L166" s="84" t="n"/>
      <c r="P166" s="53" t="inlineStr">
        <is>
          <t>unmapped / to verify</t>
        </is>
      </c>
      <c r="Q166" s="53" t="inlineStr">
        <is>
          <t>unspecified</t>
        </is>
      </c>
      <c r="R166" s="53" t="inlineStr">
        <is>
          <t>https://github.com/bootstrapprx/kodoo/tree/main/modules</t>
        </is>
      </c>
      <c r="S166" s="53" t="inlineStr">
        <is>
          <t>Proposed classification; validate against code</t>
        </is>
      </c>
    </row>
    <row r="167" ht="15" customHeight="1" s="50">
      <c r="A167" s="86" t="n"/>
      <c r="B167" s="84" t="n"/>
      <c r="C167" s="89" t="n"/>
      <c r="D167" s="84" t="n"/>
      <c r="E167" s="84" t="n"/>
      <c r="F167" s="86" t="n"/>
      <c r="G167" s="86" t="n"/>
      <c r="H167" s="86" t="n"/>
      <c r="I167" s="84" t="n"/>
      <c r="J167" s="86" t="n"/>
      <c r="K167" s="86" t="n"/>
      <c r="L167" s="84" t="n"/>
      <c r="P167" s="53" t="inlineStr">
        <is>
          <t>unmapped / to verify</t>
        </is>
      </c>
      <c r="Q167" s="53" t="inlineStr">
        <is>
          <t>unspecified</t>
        </is>
      </c>
      <c r="R167" s="53" t="inlineStr">
        <is>
          <t>https://github.com/bootstrapprx/kodoo/tree/main/modules</t>
        </is>
      </c>
      <c r="S167" s="53" t="inlineStr">
        <is>
          <t>Proposed classification; validate against code</t>
        </is>
      </c>
    </row>
    <row r="168" ht="15" customHeight="1" s="50">
      <c r="A168" s="86" t="n"/>
      <c r="B168" s="84" t="n"/>
      <c r="C168" s="89" t="n"/>
      <c r="D168" s="84" t="n"/>
      <c r="E168" s="84" t="n"/>
      <c r="F168" s="86" t="n"/>
      <c r="G168" s="86" t="n"/>
      <c r="H168" s="86" t="n"/>
      <c r="I168" s="84" t="n"/>
      <c r="J168" s="86" t="n"/>
      <c r="K168" s="86" t="n"/>
      <c r="L168" s="84" t="n"/>
      <c r="P168" s="53" t="inlineStr">
        <is>
          <t>unmapped / to verify</t>
        </is>
      </c>
      <c r="Q168" s="53" t="inlineStr">
        <is>
          <t>unspecified</t>
        </is>
      </c>
      <c r="R168" s="53" t="inlineStr">
        <is>
          <t>https://github.com/bootstrapprx/kodoo/tree/main/modules</t>
        </is>
      </c>
      <c r="S168" s="53" t="inlineStr">
        <is>
          <t>Proposed classification; validate against code</t>
        </is>
      </c>
    </row>
    <row r="169" ht="15" customHeight="1" s="50">
      <c r="A169" s="86" t="n"/>
      <c r="B169" s="84" t="n"/>
      <c r="C169" s="89" t="n"/>
      <c r="D169" s="84" t="n"/>
      <c r="E169" s="84" t="n"/>
      <c r="F169" s="86" t="n"/>
      <c r="G169" s="86" t="n"/>
      <c r="H169" s="86" t="n"/>
      <c r="I169" s="84" t="n"/>
      <c r="J169" s="86" t="n"/>
      <c r="K169" s="86" t="n"/>
      <c r="L169" s="84" t="n"/>
      <c r="P169" s="53" t="inlineStr">
        <is>
          <t>unmapped / to verify</t>
        </is>
      </c>
      <c r="Q169" s="53" t="inlineStr">
        <is>
          <t>unspecified</t>
        </is>
      </c>
      <c r="R169" s="53" t="inlineStr">
        <is>
          <t>https://github.com/bootstrapprx/kodoo/tree/main/modules</t>
        </is>
      </c>
      <c r="S169" s="53" t="inlineStr">
        <is>
          <t>Proposed classification; validate against code</t>
        </is>
      </c>
    </row>
    <row r="170" ht="15" customHeight="1" s="50">
      <c r="A170" s="86" t="n"/>
      <c r="B170" s="84" t="n"/>
      <c r="C170" s="89" t="n"/>
      <c r="D170" s="84" t="n"/>
      <c r="E170" s="84" t="n"/>
      <c r="F170" s="86" t="n"/>
      <c r="G170" s="86" t="n"/>
      <c r="H170" s="86" t="n"/>
      <c r="I170" s="84" t="n"/>
      <c r="J170" s="86" t="n"/>
      <c r="K170" s="86" t="n"/>
      <c r="L170" s="84" t="n"/>
      <c r="P170" s="53" t="inlineStr">
        <is>
          <t>unmapped / to verify</t>
        </is>
      </c>
      <c r="Q170" s="53" t="inlineStr">
        <is>
          <t>unspecified</t>
        </is>
      </c>
      <c r="R170" s="53" t="inlineStr">
        <is>
          <t>https://github.com/bootstrapprx/kodoo/tree/main/modules</t>
        </is>
      </c>
      <c r="S170" s="53" t="inlineStr">
        <is>
          <t>Proposed classification; validate against code</t>
        </is>
      </c>
    </row>
    <row r="171" ht="15" customHeight="1" s="50">
      <c r="A171" s="86" t="n"/>
      <c r="B171" s="84" t="n"/>
      <c r="C171" s="89" t="n"/>
      <c r="D171" s="84" t="n"/>
      <c r="E171" s="84" t="n"/>
      <c r="F171" s="86" t="n"/>
      <c r="G171" s="86" t="n"/>
      <c r="H171" s="86" t="n"/>
      <c r="I171" s="84" t="n"/>
      <c r="J171" s="86" t="n"/>
      <c r="K171" s="86" t="n"/>
      <c r="L171" s="84" t="n"/>
      <c r="P171" s="53" t="inlineStr">
        <is>
          <t>unmapped / to verify</t>
        </is>
      </c>
      <c r="Q171" s="53" t="inlineStr">
        <is>
          <t>unspecified</t>
        </is>
      </c>
      <c r="R171" s="53" t="inlineStr">
        <is>
          <t>https://github.com/bootstrapprx/kodoo/tree/main/modules</t>
        </is>
      </c>
      <c r="S171" s="53" t="inlineStr">
        <is>
          <t>Proposed classification; validate against code</t>
        </is>
      </c>
    </row>
    <row r="172" ht="15" customHeight="1" s="50">
      <c r="A172" s="86" t="n"/>
      <c r="B172" s="84" t="n"/>
      <c r="C172" s="89" t="n"/>
      <c r="D172" s="84" t="n"/>
      <c r="E172" s="84" t="n"/>
      <c r="F172" s="86" t="n"/>
      <c r="G172" s="86" t="n"/>
      <c r="H172" s="86" t="n"/>
      <c r="I172" s="84" t="n"/>
      <c r="J172" s="86" t="n"/>
      <c r="K172" s="86" t="n"/>
      <c r="L172" s="84" t="n"/>
      <c r="P172" s="53" t="inlineStr">
        <is>
          <t>unmapped / to verify</t>
        </is>
      </c>
      <c r="Q172" s="53" t="inlineStr">
        <is>
          <t>unspecified</t>
        </is>
      </c>
      <c r="R172" s="53" t="inlineStr">
        <is>
          <t>https://github.com/bootstrapprx/kodoo/tree/main/modules</t>
        </is>
      </c>
      <c r="S172" s="53" t="inlineStr">
        <is>
          <t>Proposed classification; validate against code</t>
        </is>
      </c>
    </row>
    <row r="173" ht="15" customHeight="1" s="50">
      <c r="A173" s="86" t="n"/>
      <c r="B173" s="84" t="n"/>
      <c r="C173" s="89" t="n"/>
      <c r="D173" s="84" t="n"/>
      <c r="E173" s="84" t="n"/>
      <c r="F173" s="86" t="n"/>
      <c r="G173" s="86" t="n"/>
      <c r="H173" s="86" t="n"/>
      <c r="I173" s="84" t="n"/>
      <c r="J173" s="86" t="n"/>
      <c r="K173" s="86" t="n"/>
      <c r="L173" s="84" t="n"/>
      <c r="P173" s="53" t="inlineStr">
        <is>
          <t>unmapped / to verify</t>
        </is>
      </c>
      <c r="Q173" s="53" t="inlineStr">
        <is>
          <t>unspecified</t>
        </is>
      </c>
      <c r="R173" s="53" t="inlineStr">
        <is>
          <t>https://github.com/bootstrapprx/kodoo/tree/main/modules</t>
        </is>
      </c>
      <c r="S173" s="53" t="inlineStr">
        <is>
          <t>Proposed classification; validate against code</t>
        </is>
      </c>
    </row>
    <row r="174" ht="15" customHeight="1" s="50">
      <c r="A174" s="86" t="n"/>
      <c r="B174" s="84" t="n"/>
      <c r="C174" s="89" t="n"/>
      <c r="D174" s="84" t="n"/>
      <c r="E174" s="84" t="n"/>
      <c r="F174" s="86" t="n"/>
      <c r="G174" s="86" t="n"/>
      <c r="H174" s="86" t="n"/>
      <c r="I174" s="84" t="n"/>
      <c r="J174" s="86" t="n"/>
      <c r="K174" s="86" t="n"/>
      <c r="L174" s="84" t="n"/>
      <c r="P174" s="53" t="inlineStr">
        <is>
          <t>unmapped / to verify</t>
        </is>
      </c>
      <c r="Q174" s="53" t="inlineStr">
        <is>
          <t>unspecified</t>
        </is>
      </c>
      <c r="R174" s="53" t="inlineStr">
        <is>
          <t>https://github.com/bootstrapprx/kodoo/tree/main/modules</t>
        </is>
      </c>
      <c r="S174" s="53" t="inlineStr">
        <is>
          <t>Proposed classification; validate against code</t>
        </is>
      </c>
    </row>
    <row r="175" ht="15" customHeight="1" s="50">
      <c r="A175" s="86" t="n"/>
      <c r="B175" s="84" t="n"/>
      <c r="C175" s="89" t="n"/>
      <c r="D175" s="84" t="n"/>
      <c r="E175" s="84" t="n"/>
      <c r="F175" s="86" t="n"/>
      <c r="G175" s="86" t="n"/>
      <c r="H175" s="86" t="n"/>
      <c r="I175" s="84" t="n"/>
      <c r="J175" s="86" t="n"/>
      <c r="K175" s="86" t="n"/>
      <c r="L175" s="84" t="n"/>
      <c r="P175" s="53" t="inlineStr">
        <is>
          <t>unmapped / to verify</t>
        </is>
      </c>
      <c r="Q175" s="53" t="inlineStr">
        <is>
          <t>unspecified</t>
        </is>
      </c>
      <c r="R175" s="53" t="inlineStr">
        <is>
          <t>https://github.com/bootstrapprx/kodoo/tree/main/modules</t>
        </is>
      </c>
      <c r="S175" s="53" t="inlineStr">
        <is>
          <t>Proposed classification; validate against code</t>
        </is>
      </c>
    </row>
    <row r="176" ht="15" customHeight="1" s="50">
      <c r="A176" s="86" t="n"/>
      <c r="B176" s="84" t="n"/>
      <c r="C176" s="89" t="n"/>
      <c r="D176" s="84" t="n"/>
      <c r="E176" s="84" t="n"/>
      <c r="F176" s="86" t="n"/>
      <c r="G176" s="86" t="n"/>
      <c r="H176" s="86" t="n"/>
      <c r="I176" s="84" t="n"/>
      <c r="J176" s="86" t="n"/>
      <c r="K176" s="86" t="n"/>
      <c r="L176" s="84" t="n"/>
      <c r="P176" s="53" t="inlineStr">
        <is>
          <t>unmapped / to verify</t>
        </is>
      </c>
      <c r="Q176" s="53" t="inlineStr">
        <is>
          <t>unspecified</t>
        </is>
      </c>
      <c r="R176" s="53" t="inlineStr">
        <is>
          <t>https://github.com/bootstrapprx/kodoo/tree/main/modules</t>
        </is>
      </c>
      <c r="S176" s="53" t="inlineStr">
        <is>
          <t>Proposed classification; validate against code</t>
        </is>
      </c>
    </row>
    <row r="177" ht="15" customHeight="1" s="50">
      <c r="A177" s="86" t="n"/>
      <c r="B177" s="84" t="n"/>
      <c r="C177" s="89" t="n"/>
      <c r="D177" s="84" t="n"/>
      <c r="E177" s="84" t="n"/>
      <c r="F177" s="86" t="n"/>
      <c r="G177" s="86" t="n"/>
      <c r="H177" s="86" t="n"/>
      <c r="I177" s="84" t="n"/>
      <c r="J177" s="86" t="n"/>
      <c r="K177" s="86" t="n"/>
      <c r="L177" s="84" t="n"/>
      <c r="P177" s="53" t="inlineStr">
        <is>
          <t>unmapped / to verify</t>
        </is>
      </c>
      <c r="Q177" s="53" t="inlineStr">
        <is>
          <t>unspecified</t>
        </is>
      </c>
      <c r="R177" s="53" t="inlineStr">
        <is>
          <t>https://github.com/bootstrapprx/kodoo/tree/main/modules</t>
        </is>
      </c>
      <c r="S177" s="53" t="inlineStr">
        <is>
          <t>Proposed classification; validate against code</t>
        </is>
      </c>
    </row>
    <row r="178" ht="15" customHeight="1" s="50">
      <c r="A178" s="86" t="n"/>
      <c r="B178" s="84" t="n"/>
      <c r="C178" s="89" t="n"/>
      <c r="D178" s="84" t="n"/>
      <c r="E178" s="84" t="n"/>
      <c r="F178" s="86" t="n"/>
      <c r="G178" s="86" t="n"/>
      <c r="H178" s="86" t="n"/>
      <c r="I178" s="84" t="n"/>
      <c r="J178" s="86" t="n"/>
      <c r="K178" s="86" t="n"/>
      <c r="L178" s="84" t="n"/>
      <c r="P178" s="53" t="inlineStr">
        <is>
          <t>unmapped / to verify</t>
        </is>
      </c>
      <c r="Q178" s="53" t="inlineStr">
        <is>
          <t>unspecified</t>
        </is>
      </c>
      <c r="R178" s="53" t="inlineStr">
        <is>
          <t>https://github.com/bootstrapprx/kodoo/tree/main/modules</t>
        </is>
      </c>
      <c r="S178" s="53" t="inlineStr">
        <is>
          <t>Proposed classification; validate against code</t>
        </is>
      </c>
    </row>
    <row r="179" ht="15" customHeight="1" s="50">
      <c r="A179" s="86" t="n"/>
      <c r="B179" s="84" t="n"/>
      <c r="C179" s="89" t="n"/>
      <c r="D179" s="84" t="n"/>
      <c r="E179" s="84" t="n"/>
      <c r="F179" s="86" t="n"/>
      <c r="G179" s="86" t="n"/>
      <c r="H179" s="86" t="n"/>
      <c r="I179" s="84" t="n"/>
      <c r="J179" s="86" t="n"/>
      <c r="K179" s="86" t="n"/>
      <c r="L179" s="84" t="n"/>
      <c r="P179" s="53" t="inlineStr">
        <is>
          <t>unmapped / to verify</t>
        </is>
      </c>
      <c r="Q179" s="53" t="inlineStr">
        <is>
          <t>unspecified</t>
        </is>
      </c>
      <c r="R179" s="53" t="inlineStr">
        <is>
          <t>https://github.com/bootstrapprx/kodoo/tree/main/modules</t>
        </is>
      </c>
      <c r="S179" s="53" t="inlineStr">
        <is>
          <t>Proposed classification; validate against code</t>
        </is>
      </c>
    </row>
    <row r="180" ht="15" customHeight="1" s="50">
      <c r="A180" s="86" t="n"/>
      <c r="B180" s="84" t="n"/>
      <c r="C180" s="89" t="n"/>
      <c r="D180" s="84" t="n"/>
      <c r="E180" s="84" t="n"/>
      <c r="F180" s="86" t="n"/>
      <c r="G180" s="86" t="n"/>
      <c r="H180" s="86" t="n"/>
      <c r="I180" s="84" t="n"/>
      <c r="J180" s="86" t="n"/>
      <c r="K180" s="86" t="n"/>
      <c r="L180" s="84" t="n"/>
      <c r="P180" s="53" t="inlineStr">
        <is>
          <t>unmapped / to verify</t>
        </is>
      </c>
      <c r="Q180" s="53" t="inlineStr">
        <is>
          <t>unspecified</t>
        </is>
      </c>
      <c r="R180" s="53" t="inlineStr">
        <is>
          <t>https://github.com/bootstrapprx/kodoo/tree/main/modules</t>
        </is>
      </c>
      <c r="S180" s="53" t="inlineStr">
        <is>
          <t>Proposed classification; validate against code</t>
        </is>
      </c>
    </row>
    <row r="181" ht="15" customHeight="1" s="50">
      <c r="A181" s="86" t="n"/>
      <c r="B181" s="84" t="n"/>
      <c r="C181" s="89" t="n"/>
      <c r="D181" s="84" t="n"/>
      <c r="E181" s="84" t="n"/>
      <c r="F181" s="86" t="n"/>
      <c r="G181" s="86" t="n"/>
      <c r="H181" s="86" t="n"/>
      <c r="I181" s="84" t="n"/>
      <c r="J181" s="86" t="n"/>
      <c r="K181" s="86" t="n"/>
      <c r="L181" s="84" t="n"/>
      <c r="P181" s="53" t="inlineStr">
        <is>
          <t>unmapped / to verify</t>
        </is>
      </c>
      <c r="Q181" s="53" t="inlineStr">
        <is>
          <t>unspecified</t>
        </is>
      </c>
      <c r="R181" s="53" t="inlineStr">
        <is>
          <t>https://github.com/bootstrapprx/kodoo/tree/main/modules</t>
        </is>
      </c>
      <c r="S181" s="53" t="inlineStr">
        <is>
          <t>Proposed classification; validate against code</t>
        </is>
      </c>
    </row>
    <row r="182" ht="15" customHeight="1" s="50">
      <c r="A182" s="86" t="n"/>
      <c r="B182" s="84" t="n"/>
      <c r="C182" s="89" t="n"/>
      <c r="D182" s="84" t="n"/>
      <c r="E182" s="84" t="n"/>
      <c r="F182" s="86" t="n"/>
      <c r="G182" s="86" t="n"/>
      <c r="H182" s="86" t="n"/>
      <c r="I182" s="84" t="n"/>
      <c r="J182" s="86" t="n"/>
      <c r="K182" s="86" t="n"/>
      <c r="L182" s="84" t="n"/>
      <c r="P182" s="53" t="inlineStr">
        <is>
          <t>unmapped / to verify</t>
        </is>
      </c>
      <c r="Q182" s="53" t="inlineStr">
        <is>
          <t>unspecified</t>
        </is>
      </c>
      <c r="R182" s="53" t="inlineStr">
        <is>
          <t>https://github.com/bootstrapprx/kodoo/tree/main/modules</t>
        </is>
      </c>
      <c r="S182" s="53" t="inlineStr">
        <is>
          <t>Proposed classification; validate against code</t>
        </is>
      </c>
    </row>
    <row r="183" ht="15" customHeight="1" s="50">
      <c r="A183" s="86" t="n"/>
      <c r="B183" s="84" t="n"/>
      <c r="C183" s="89" t="n"/>
      <c r="D183" s="84" t="n"/>
      <c r="E183" s="84" t="n"/>
      <c r="F183" s="86" t="n"/>
      <c r="G183" s="86" t="n"/>
      <c r="H183" s="86" t="n"/>
      <c r="I183" s="84" t="n"/>
      <c r="J183" s="86" t="n"/>
      <c r="K183" s="86" t="n"/>
      <c r="L183" s="84" t="n"/>
      <c r="P183" s="53" t="inlineStr">
        <is>
          <t>unmapped / to verify</t>
        </is>
      </c>
      <c r="Q183" s="53" t="inlineStr">
        <is>
          <t>unspecified</t>
        </is>
      </c>
      <c r="R183" s="53" t="inlineStr">
        <is>
          <t>https://github.com/bootstrapprx/kodoo/tree/main/modules</t>
        </is>
      </c>
      <c r="S183" s="53" t="inlineStr">
        <is>
          <t>Proposed classification; validate against code</t>
        </is>
      </c>
    </row>
    <row r="184" ht="15" customHeight="1" s="50">
      <c r="A184" s="86" t="n"/>
      <c r="B184" s="84" t="n"/>
      <c r="C184" s="89" t="n"/>
      <c r="D184" s="84" t="n"/>
      <c r="E184" s="84" t="n"/>
      <c r="F184" s="86" t="n"/>
      <c r="G184" s="86" t="n"/>
      <c r="H184" s="86" t="n"/>
      <c r="I184" s="84" t="n"/>
      <c r="J184" s="86" t="n"/>
      <c r="K184" s="86" t="n"/>
      <c r="L184" s="84" t="n"/>
      <c r="P184" s="53" t="inlineStr">
        <is>
          <t>unmapped / to verify</t>
        </is>
      </c>
      <c r="Q184" s="53" t="inlineStr">
        <is>
          <t>unspecified</t>
        </is>
      </c>
      <c r="R184" s="53" t="inlineStr">
        <is>
          <t>https://github.com/bootstrapprx/kodoo/tree/main/modules</t>
        </is>
      </c>
      <c r="S184" s="53" t="inlineStr">
        <is>
          <t>Proposed classification; validate against code</t>
        </is>
      </c>
    </row>
    <row r="185" ht="15" customHeight="1" s="50">
      <c r="A185" s="86" t="n"/>
      <c r="B185" s="84" t="n"/>
      <c r="C185" s="89" t="n"/>
      <c r="D185" s="84" t="n"/>
      <c r="E185" s="84" t="n"/>
      <c r="F185" s="86" t="n"/>
      <c r="G185" s="86" t="n"/>
      <c r="H185" s="86" t="n"/>
      <c r="I185" s="84" t="n"/>
      <c r="J185" s="86" t="n"/>
      <c r="K185" s="86" t="n"/>
      <c r="L185" s="84" t="n"/>
      <c r="P185" s="53" t="inlineStr">
        <is>
          <t>unmapped / to verify</t>
        </is>
      </c>
      <c r="Q185" s="53" t="inlineStr">
        <is>
          <t>unspecified</t>
        </is>
      </c>
      <c r="R185" s="53" t="inlineStr">
        <is>
          <t>https://github.com/bootstrapprx/kodoo/tree/main/modules</t>
        </is>
      </c>
      <c r="S185" s="53" t="inlineStr">
        <is>
          <t>Proposed classification; validate against code</t>
        </is>
      </c>
    </row>
    <row r="186" ht="15" customHeight="1" s="50">
      <c r="A186" s="86" t="n"/>
      <c r="B186" s="84" t="n"/>
      <c r="C186" s="89" t="n"/>
      <c r="D186" s="84" t="n"/>
      <c r="E186" s="84" t="n"/>
      <c r="F186" s="86" t="n"/>
      <c r="G186" s="86" t="n"/>
      <c r="H186" s="86" t="n"/>
      <c r="I186" s="84" t="n"/>
      <c r="J186" s="86" t="n"/>
      <c r="K186" s="86" t="n"/>
      <c r="L186" s="84" t="n"/>
      <c r="P186" s="53" t="inlineStr">
        <is>
          <t>unmapped / to verify</t>
        </is>
      </c>
      <c r="Q186" s="53" t="inlineStr">
        <is>
          <t>unspecified</t>
        </is>
      </c>
      <c r="R186" s="53" t="inlineStr">
        <is>
          <t>https://github.com/bootstrapprx/kodoo/tree/main/modules</t>
        </is>
      </c>
      <c r="S186" s="53" t="inlineStr">
        <is>
          <t>Proposed classification; validate against code</t>
        </is>
      </c>
    </row>
    <row r="187" ht="15" customHeight="1" s="50">
      <c r="A187" s="86" t="n"/>
      <c r="B187" s="84" t="n"/>
      <c r="C187" s="89" t="n"/>
      <c r="D187" s="84" t="n"/>
      <c r="E187" s="84" t="n"/>
      <c r="F187" s="86" t="n"/>
      <c r="G187" s="86" t="n"/>
      <c r="H187" s="86" t="n"/>
      <c r="I187" s="84" t="n"/>
      <c r="J187" s="86" t="n"/>
      <c r="K187" s="86" t="n"/>
      <c r="L187" s="84" t="n"/>
      <c r="P187" s="53" t="inlineStr">
        <is>
          <t>unmapped / to verify</t>
        </is>
      </c>
      <c r="Q187" s="53" t="inlineStr">
        <is>
          <t>unspecified</t>
        </is>
      </c>
      <c r="R187" s="53" t="inlineStr">
        <is>
          <t>https://github.com/bootstrapprx/kodoo/tree/main/modules</t>
        </is>
      </c>
      <c r="S187" s="53" t="inlineStr">
        <is>
          <t>Proposed classification; validate against code</t>
        </is>
      </c>
    </row>
    <row r="188" ht="15" customHeight="1" s="50">
      <c r="A188" s="86" t="n"/>
      <c r="B188" s="84" t="n"/>
      <c r="C188" s="89" t="n"/>
      <c r="D188" s="84" t="n"/>
      <c r="E188" s="84" t="n"/>
      <c r="F188" s="86" t="n"/>
      <c r="G188" s="86" t="n"/>
      <c r="H188" s="86" t="n"/>
      <c r="I188" s="84" t="n"/>
      <c r="J188" s="86" t="n"/>
      <c r="K188" s="86" t="n"/>
      <c r="L188" s="84" t="n"/>
      <c r="P188" s="53" t="inlineStr">
        <is>
          <t>unmapped / to verify</t>
        </is>
      </c>
      <c r="Q188" s="53" t="inlineStr">
        <is>
          <t>unspecified</t>
        </is>
      </c>
      <c r="R188" s="53" t="inlineStr">
        <is>
          <t>https://github.com/bootstrapprx/kodoo/tree/main/modules</t>
        </is>
      </c>
      <c r="S188" s="53" t="inlineStr">
        <is>
          <t>Proposed classification; validate against code</t>
        </is>
      </c>
    </row>
    <row r="189" ht="15" customHeight="1" s="50">
      <c r="A189" s="86" t="n"/>
      <c r="B189" s="84" t="n"/>
      <c r="C189" s="89" t="n"/>
      <c r="D189" s="84" t="n"/>
      <c r="E189" s="84" t="n"/>
      <c r="F189" s="86" t="n"/>
      <c r="G189" s="86" t="n"/>
      <c r="H189" s="86" t="n"/>
      <c r="I189" s="84" t="n"/>
      <c r="J189" s="86" t="n"/>
      <c r="K189" s="86" t="n"/>
      <c r="L189" s="84" t="n"/>
      <c r="P189" s="53" t="inlineStr">
        <is>
          <t>unmapped / to verify</t>
        </is>
      </c>
      <c r="Q189" s="53" t="inlineStr">
        <is>
          <t>unspecified</t>
        </is>
      </c>
      <c r="R189" s="53" t="inlineStr">
        <is>
          <t>https://github.com/bootstrapprx/kodoo/tree/main/modules</t>
        </is>
      </c>
      <c r="S189" s="53" t="inlineStr">
        <is>
          <t>Proposed classification; validate against code</t>
        </is>
      </c>
    </row>
    <row r="190" ht="15" customHeight="1" s="50">
      <c r="A190" s="86" t="n"/>
      <c r="B190" s="84" t="n"/>
      <c r="C190" s="89" t="n"/>
      <c r="D190" s="84" t="n"/>
      <c r="E190" s="84" t="n"/>
      <c r="F190" s="86" t="n"/>
      <c r="G190" s="86" t="n"/>
      <c r="H190" s="86" t="n"/>
      <c r="I190" s="84" t="n"/>
      <c r="J190" s="86" t="n"/>
      <c r="K190" s="86" t="n"/>
      <c r="L190" s="84" t="n"/>
      <c r="P190" s="53" t="inlineStr">
        <is>
          <t>unmapped / to verify</t>
        </is>
      </c>
      <c r="Q190" s="53" t="inlineStr">
        <is>
          <t>unspecified</t>
        </is>
      </c>
      <c r="R190" s="53" t="inlineStr">
        <is>
          <t>https://github.com/bootstrapprx/kodoo/tree/main/modules</t>
        </is>
      </c>
      <c r="S190" s="53" t="inlineStr">
        <is>
          <t>Proposed classification; validate against code</t>
        </is>
      </c>
    </row>
    <row r="191" ht="15" customHeight="1" s="50">
      <c r="A191" s="86" t="n"/>
      <c r="B191" s="84" t="n"/>
      <c r="C191" s="89" t="n"/>
      <c r="D191" s="84" t="n"/>
      <c r="E191" s="84" t="n"/>
      <c r="F191" s="86" t="n"/>
      <c r="G191" s="86" t="n"/>
      <c r="H191" s="86" t="n"/>
      <c r="I191" s="84" t="n"/>
      <c r="J191" s="86" t="n"/>
      <c r="K191" s="86" t="n"/>
      <c r="L191" s="84" t="n"/>
      <c r="P191" s="53" t="inlineStr">
        <is>
          <t>unmapped / to verify</t>
        </is>
      </c>
      <c r="Q191" s="53" t="inlineStr">
        <is>
          <t>unspecified</t>
        </is>
      </c>
      <c r="R191" s="53" t="inlineStr">
        <is>
          <t>https://github.com/bootstrapprx/kodoo/tree/main/modules</t>
        </is>
      </c>
      <c r="S191" s="53" t="inlineStr">
        <is>
          <t>Proposed classification; validate against code</t>
        </is>
      </c>
    </row>
    <row r="192" ht="15" customHeight="1" s="50">
      <c r="A192" s="86" t="n"/>
      <c r="B192" s="84" t="n"/>
      <c r="C192" s="89" t="n"/>
      <c r="D192" s="84" t="n"/>
      <c r="E192" s="84" t="n"/>
      <c r="F192" s="86" t="n"/>
      <c r="G192" s="86" t="n"/>
      <c r="H192" s="86" t="n"/>
      <c r="I192" s="84" t="n"/>
      <c r="J192" s="86" t="n"/>
      <c r="K192" s="86" t="n"/>
      <c r="L192" s="84" t="n"/>
      <c r="P192" s="53" t="inlineStr">
        <is>
          <t>unmapped / to verify</t>
        </is>
      </c>
      <c r="Q192" s="53" t="inlineStr">
        <is>
          <t>unspecified</t>
        </is>
      </c>
      <c r="R192" s="53" t="inlineStr">
        <is>
          <t>https://github.com/bootstrapprx/kodoo/tree/main/modules</t>
        </is>
      </c>
      <c r="S192" s="53" t="inlineStr">
        <is>
          <t>Proposed classification; validate against code</t>
        </is>
      </c>
    </row>
    <row r="193" ht="15" customHeight="1" s="50">
      <c r="A193" s="86" t="n"/>
      <c r="B193" s="84" t="n"/>
      <c r="C193" s="89" t="n"/>
      <c r="D193" s="84" t="n"/>
      <c r="E193" s="84" t="n"/>
      <c r="F193" s="86" t="n"/>
      <c r="G193" s="86" t="n"/>
      <c r="H193" s="86" t="n"/>
      <c r="I193" s="84" t="n"/>
      <c r="J193" s="86" t="n"/>
      <c r="K193" s="86" t="n"/>
      <c r="L193" s="84" t="n"/>
      <c r="P193" s="53" t="inlineStr">
        <is>
          <t>unmapped / to verify</t>
        </is>
      </c>
      <c r="Q193" s="53" t="inlineStr">
        <is>
          <t>unspecified</t>
        </is>
      </c>
      <c r="R193" s="53" t="inlineStr">
        <is>
          <t>https://github.com/bootstrapprx/kodoo/tree/main/modules</t>
        </is>
      </c>
      <c r="S193" s="53" t="inlineStr">
        <is>
          <t>Proposed classification; validate against code</t>
        </is>
      </c>
    </row>
    <row r="194" ht="15" customHeight="1" s="50">
      <c r="A194" s="86" t="n"/>
      <c r="B194" s="84" t="n"/>
      <c r="C194" s="89" t="n"/>
      <c r="D194" s="84" t="n"/>
      <c r="E194" s="84" t="n"/>
      <c r="F194" s="86" t="n"/>
      <c r="G194" s="86" t="n"/>
      <c r="H194" s="86" t="n"/>
      <c r="I194" s="84" t="n"/>
      <c r="J194" s="86" t="n"/>
      <c r="K194" s="86" t="n"/>
      <c r="L194" s="84" t="n"/>
      <c r="P194" s="53" t="inlineStr">
        <is>
          <t>unmapped / to verify</t>
        </is>
      </c>
      <c r="Q194" s="53" t="inlineStr">
        <is>
          <t>unspecified</t>
        </is>
      </c>
      <c r="R194" s="53" t="inlineStr">
        <is>
          <t>https://github.com/bootstrapprx/kodoo/tree/main/modules</t>
        </is>
      </c>
      <c r="S194" s="53" t="inlineStr">
        <is>
          <t>Proposed classification; validate against code</t>
        </is>
      </c>
    </row>
    <row r="195" ht="15" customHeight="1" s="50">
      <c r="A195" s="86" t="n"/>
      <c r="B195" s="84" t="n"/>
      <c r="C195" s="89" t="n"/>
      <c r="D195" s="84" t="n"/>
      <c r="E195" s="84" t="n"/>
      <c r="F195" s="86" t="n"/>
      <c r="G195" s="86" t="n"/>
      <c r="H195" s="86" t="n"/>
      <c r="I195" s="84" t="n"/>
      <c r="J195" s="86" t="n"/>
      <c r="K195" s="86" t="n"/>
      <c r="L195" s="84" t="n"/>
      <c r="P195" s="53" t="inlineStr">
        <is>
          <t>unmapped / to verify</t>
        </is>
      </c>
      <c r="Q195" s="53" t="inlineStr">
        <is>
          <t>unspecified</t>
        </is>
      </c>
      <c r="R195" s="53" t="inlineStr">
        <is>
          <t>https://github.com/bootstrapprx/kodoo/tree/main/modules</t>
        </is>
      </c>
      <c r="S195" s="53" t="inlineStr">
        <is>
          <t>Proposed classification; validate against code</t>
        </is>
      </c>
    </row>
    <row r="196" ht="15" customHeight="1" s="50">
      <c r="A196" s="86" t="n"/>
      <c r="B196" s="84" t="n"/>
      <c r="C196" s="89" t="n"/>
      <c r="D196" s="84" t="n"/>
      <c r="E196" s="84" t="n"/>
      <c r="F196" s="86" t="n"/>
      <c r="G196" s="86" t="n"/>
      <c r="H196" s="86" t="n"/>
      <c r="I196" s="84" t="n"/>
      <c r="J196" s="86" t="n"/>
      <c r="K196" s="86" t="n"/>
      <c r="L196" s="84" t="n"/>
      <c r="P196" s="53" t="inlineStr">
        <is>
          <t>unmapped / to verify</t>
        </is>
      </c>
      <c r="Q196" s="53" t="inlineStr">
        <is>
          <t>unspecified</t>
        </is>
      </c>
      <c r="R196" s="53" t="inlineStr">
        <is>
          <t>https://github.com/bootstrapprx/kodoo/tree/main/modules</t>
        </is>
      </c>
      <c r="S196" s="53" t="inlineStr">
        <is>
          <t>Proposed classification; validate against code</t>
        </is>
      </c>
    </row>
    <row r="197" ht="15" customHeight="1" s="50">
      <c r="A197" s="86" t="n"/>
      <c r="B197" s="84" t="n"/>
      <c r="C197" s="89" t="n"/>
      <c r="D197" s="84" t="n"/>
      <c r="E197" s="84" t="n"/>
      <c r="F197" s="86" t="n"/>
      <c r="G197" s="86" t="n"/>
      <c r="H197" s="86" t="n"/>
      <c r="I197" s="84" t="n"/>
      <c r="J197" s="86" t="n"/>
      <c r="K197" s="86" t="n"/>
      <c r="L197" s="84" t="n"/>
      <c r="P197" s="53" t="inlineStr">
        <is>
          <t>unmapped / to verify</t>
        </is>
      </c>
      <c r="Q197" s="53" t="inlineStr">
        <is>
          <t>unspecified</t>
        </is>
      </c>
      <c r="R197" s="53" t="inlineStr">
        <is>
          <t>https://github.com/bootstrapprx/kodoo/tree/main/modules</t>
        </is>
      </c>
      <c r="S197" s="53" t="inlineStr">
        <is>
          <t>Proposed classification; validate against code</t>
        </is>
      </c>
    </row>
    <row r="198" ht="15" customHeight="1" s="50">
      <c r="A198" s="86" t="n"/>
      <c r="B198" s="84" t="n"/>
      <c r="C198" s="89" t="n"/>
      <c r="D198" s="84" t="n"/>
      <c r="E198" s="84" t="n"/>
      <c r="F198" s="86" t="n"/>
      <c r="G198" s="86" t="n"/>
      <c r="H198" s="86" t="n"/>
      <c r="I198" s="84" t="n"/>
      <c r="J198" s="86" t="n"/>
      <c r="K198" s="86" t="n"/>
      <c r="L198" s="84" t="n"/>
      <c r="P198" s="53" t="inlineStr">
        <is>
          <t>unmapped / to verify</t>
        </is>
      </c>
      <c r="Q198" s="53" t="inlineStr">
        <is>
          <t>unspecified</t>
        </is>
      </c>
      <c r="R198" s="53" t="inlineStr">
        <is>
          <t>https://github.com/bootstrapprx/kodoo/tree/main/modules</t>
        </is>
      </c>
      <c r="S198" s="53" t="inlineStr">
        <is>
          <t>Proposed classification; validate against code</t>
        </is>
      </c>
    </row>
    <row r="199" ht="15" customHeight="1" s="50">
      <c r="A199" s="86" t="n"/>
      <c r="B199" s="84" t="n"/>
      <c r="C199" s="89" t="n"/>
      <c r="D199" s="84" t="n"/>
      <c r="E199" s="84" t="n"/>
      <c r="F199" s="86" t="n"/>
      <c r="G199" s="86" t="n"/>
      <c r="H199" s="86" t="n"/>
      <c r="I199" s="84" t="n"/>
      <c r="J199" s="86" t="n"/>
      <c r="K199" s="86" t="n"/>
      <c r="L199" s="84" t="n"/>
      <c r="P199" s="53" t="inlineStr">
        <is>
          <t>unmapped / to verify</t>
        </is>
      </c>
      <c r="Q199" s="53" t="inlineStr">
        <is>
          <t>unspecified</t>
        </is>
      </c>
      <c r="R199" s="53" t="inlineStr">
        <is>
          <t>https://github.com/bootstrapprx/kodoo/tree/main/modules</t>
        </is>
      </c>
      <c r="S199" s="53" t="inlineStr">
        <is>
          <t>Proposed classification; validate against code</t>
        </is>
      </c>
    </row>
    <row r="200" ht="15" customHeight="1" s="50">
      <c r="A200" s="86" t="n"/>
      <c r="B200" s="84" t="n"/>
      <c r="C200" s="89" t="n"/>
      <c r="D200" s="84" t="n"/>
      <c r="E200" s="84" t="n"/>
      <c r="F200" s="86" t="n"/>
      <c r="G200" s="86" t="n"/>
      <c r="H200" s="86" t="n"/>
      <c r="I200" s="84" t="n"/>
      <c r="J200" s="86" t="n"/>
      <c r="K200" s="86" t="n"/>
      <c r="L200" s="84" t="n"/>
      <c r="P200" s="53" t="inlineStr">
        <is>
          <t>unmapped / to verify</t>
        </is>
      </c>
      <c r="Q200" s="53" t="inlineStr">
        <is>
          <t>unspecified</t>
        </is>
      </c>
      <c r="R200" s="53" t="inlineStr">
        <is>
          <t>https://github.com/bootstrapprx/kodoo/tree/main/modules</t>
        </is>
      </c>
      <c r="S200" s="53" t="inlineStr">
        <is>
          <t>Proposed classification; validate against code</t>
        </is>
      </c>
    </row>
    <row r="201" ht="15" customHeight="1" s="50">
      <c r="A201" s="86" t="n"/>
      <c r="B201" s="84" t="n"/>
      <c r="C201" s="89" t="n"/>
      <c r="D201" s="84" t="n"/>
      <c r="E201" s="84" t="n"/>
      <c r="F201" s="86" t="n"/>
      <c r="G201" s="86" t="n"/>
      <c r="H201" s="86" t="n"/>
      <c r="I201" s="84" t="n"/>
      <c r="J201" s="86" t="n"/>
      <c r="K201" s="86" t="n"/>
      <c r="L201" s="84" t="n"/>
      <c r="P201" s="53" t="inlineStr">
        <is>
          <t>unmapped / to verify</t>
        </is>
      </c>
      <c r="Q201" s="53" t="inlineStr">
        <is>
          <t>unspecified</t>
        </is>
      </c>
      <c r="R201" s="53" t="inlineStr">
        <is>
          <t>https://github.com/bootstrapprx/kodoo/tree/main/modules</t>
        </is>
      </c>
      <c r="S201" s="53" t="inlineStr">
        <is>
          <t>Proposed classification; validate against code</t>
        </is>
      </c>
    </row>
    <row r="202" ht="15" customHeight="1" s="50">
      <c r="A202" s="86" t="n"/>
      <c r="B202" s="84" t="n"/>
      <c r="C202" s="89" t="n"/>
      <c r="D202" s="84" t="n"/>
      <c r="E202" s="84" t="n"/>
      <c r="F202" s="86" t="n"/>
      <c r="G202" s="86" t="n"/>
      <c r="H202" s="86" t="n"/>
      <c r="I202" s="84" t="n"/>
      <c r="J202" s="86" t="n"/>
      <c r="K202" s="86" t="n"/>
      <c r="L202" s="84" t="n"/>
      <c r="P202" s="53" t="inlineStr">
        <is>
          <t>unmapped / to verify</t>
        </is>
      </c>
      <c r="Q202" s="53" t="inlineStr">
        <is>
          <t>unspecified</t>
        </is>
      </c>
      <c r="R202" s="53" t="inlineStr">
        <is>
          <t>https://github.com/bootstrapprx/kodoo/tree/main/modules</t>
        </is>
      </c>
      <c r="S202" s="53" t="inlineStr">
        <is>
          <t>Proposed classification; validate against code</t>
        </is>
      </c>
    </row>
    <row r="203" ht="15" customHeight="1" s="50">
      <c r="A203" s="86" t="n"/>
      <c r="B203" s="84" t="n"/>
      <c r="C203" s="89" t="n"/>
      <c r="D203" s="84" t="n"/>
      <c r="E203" s="84" t="n"/>
      <c r="F203" s="86" t="n"/>
      <c r="G203" s="86" t="n"/>
      <c r="H203" s="86" t="n"/>
      <c r="I203" s="84" t="n"/>
      <c r="J203" s="86" t="n"/>
      <c r="K203" s="86" t="n"/>
      <c r="L203" s="84" t="n"/>
      <c r="P203" s="53" t="inlineStr">
        <is>
          <t>unmapped / to verify</t>
        </is>
      </c>
      <c r="Q203" s="53" t="inlineStr">
        <is>
          <t>unspecified</t>
        </is>
      </c>
      <c r="R203" s="53" t="inlineStr">
        <is>
          <t>https://github.com/bootstrapprx/kodoo/tree/main/modules</t>
        </is>
      </c>
      <c r="S203" s="53" t="inlineStr">
        <is>
          <t>Proposed classification; validate against code</t>
        </is>
      </c>
    </row>
    <row r="204" ht="15" customHeight="1" s="50">
      <c r="A204" s="86" t="n"/>
      <c r="B204" s="84" t="n"/>
      <c r="C204" s="89" t="n"/>
      <c r="D204" s="84" t="n"/>
      <c r="E204" s="84" t="n"/>
      <c r="F204" s="86" t="n"/>
      <c r="G204" s="86" t="n"/>
      <c r="H204" s="86" t="n"/>
      <c r="I204" s="84" t="n"/>
      <c r="J204" s="86" t="n"/>
      <c r="K204" s="86" t="n"/>
      <c r="L204" s="84" t="n"/>
      <c r="P204" s="53" t="inlineStr">
        <is>
          <t>unmapped / to verify</t>
        </is>
      </c>
      <c r="Q204" s="53" t="inlineStr">
        <is>
          <t>unspecified</t>
        </is>
      </c>
      <c r="R204" s="53" t="inlineStr">
        <is>
          <t>https://github.com/bootstrapprx/kodoo/tree/main/modules</t>
        </is>
      </c>
      <c r="S204" s="53" t="inlineStr">
        <is>
          <t>Proposed classification; validate against code</t>
        </is>
      </c>
    </row>
    <row r="205" ht="15" customHeight="1" s="50">
      <c r="A205" s="86" t="n"/>
      <c r="B205" s="84" t="n"/>
      <c r="C205" s="89" t="n"/>
      <c r="D205" s="84" t="n"/>
      <c r="E205" s="84" t="n"/>
      <c r="F205" s="86" t="n"/>
      <c r="G205" s="86" t="n"/>
      <c r="H205" s="86" t="n"/>
      <c r="I205" s="84" t="n"/>
      <c r="J205" s="86" t="n"/>
      <c r="K205" s="86" t="n"/>
      <c r="L205" s="84" t="n"/>
      <c r="P205" s="53" t="inlineStr">
        <is>
          <t>unmapped / to verify</t>
        </is>
      </c>
      <c r="Q205" s="53" t="inlineStr">
        <is>
          <t>unspecified</t>
        </is>
      </c>
      <c r="R205" s="53" t="inlineStr">
        <is>
          <t>https://github.com/bootstrapprx/kodoo/tree/main/modules</t>
        </is>
      </c>
      <c r="S205" s="53" t="inlineStr">
        <is>
          <t>Proposed classification; validate against code</t>
        </is>
      </c>
    </row>
    <row r="206" ht="15" customHeight="1" s="50">
      <c r="A206" s="86" t="n"/>
      <c r="B206" s="84" t="n"/>
      <c r="C206" s="89" t="n"/>
      <c r="D206" s="84" t="n"/>
      <c r="E206" s="84" t="n"/>
      <c r="F206" s="86" t="n"/>
      <c r="G206" s="86" t="n"/>
      <c r="H206" s="86" t="n"/>
      <c r="I206" s="84" t="n"/>
      <c r="J206" s="86" t="n"/>
      <c r="K206" s="86" t="n"/>
      <c r="L206" s="84" t="n"/>
      <c r="P206" s="53" t="inlineStr">
        <is>
          <t>unmapped / to verify</t>
        </is>
      </c>
      <c r="Q206" s="53" t="inlineStr">
        <is>
          <t>unspecified</t>
        </is>
      </c>
      <c r="R206" s="53" t="inlineStr">
        <is>
          <t>https://github.com/bootstrapprx/kodoo/tree/main/modules</t>
        </is>
      </c>
      <c r="S206" s="53" t="inlineStr">
        <is>
          <t>Proposed classification; validate against code</t>
        </is>
      </c>
    </row>
    <row r="207" ht="15" customHeight="1" s="50">
      <c r="A207" s="86" t="n"/>
      <c r="B207" s="84" t="n"/>
      <c r="C207" s="89" t="n"/>
      <c r="D207" s="84" t="n"/>
      <c r="E207" s="84" t="n"/>
      <c r="F207" s="86" t="n"/>
      <c r="G207" s="86" t="n"/>
      <c r="H207" s="86" t="n"/>
      <c r="I207" s="84" t="n"/>
      <c r="J207" s="86" t="n"/>
      <c r="K207" s="86" t="n"/>
      <c r="L207" s="84" t="n"/>
      <c r="P207" s="53" t="inlineStr">
        <is>
          <t>unmapped / to verify</t>
        </is>
      </c>
      <c r="Q207" s="53" t="inlineStr">
        <is>
          <t>unspecified</t>
        </is>
      </c>
      <c r="R207" s="53" t="inlineStr">
        <is>
          <t>https://github.com/bootstrapprx/kodoo/tree/main/modules</t>
        </is>
      </c>
      <c r="S207" s="53" t="inlineStr">
        <is>
          <t>Proposed classification; validate against code</t>
        </is>
      </c>
    </row>
    <row r="208" ht="15" customHeight="1" s="50">
      <c r="A208" s="86" t="n"/>
      <c r="B208" s="84" t="n"/>
      <c r="C208" s="89" t="n"/>
      <c r="D208" s="84" t="n"/>
      <c r="E208" s="84" t="n"/>
      <c r="F208" s="86" t="n"/>
      <c r="G208" s="86" t="n"/>
      <c r="H208" s="86" t="n"/>
      <c r="I208" s="84" t="n"/>
      <c r="J208" s="86" t="n"/>
      <c r="K208" s="86" t="n"/>
      <c r="L208" s="84" t="n"/>
      <c r="P208" s="53" t="inlineStr">
        <is>
          <t>unmapped / to verify</t>
        </is>
      </c>
      <c r="Q208" s="53" t="inlineStr">
        <is>
          <t>unspecified</t>
        </is>
      </c>
      <c r="R208" s="53" t="inlineStr">
        <is>
          <t>https://github.com/bootstrapprx/kodoo/tree/main/modules</t>
        </is>
      </c>
      <c r="S208" s="53" t="inlineStr">
        <is>
          <t>Proposed classification; validate against code</t>
        </is>
      </c>
    </row>
    <row r="209" ht="15" customHeight="1" s="50">
      <c r="A209" s="86" t="n"/>
      <c r="B209" s="84" t="n"/>
      <c r="C209" s="89" t="n"/>
      <c r="D209" s="84" t="n"/>
      <c r="E209" s="84" t="n"/>
      <c r="F209" s="86" t="n"/>
      <c r="G209" s="86" t="n"/>
      <c r="H209" s="86" t="n"/>
      <c r="I209" s="84" t="n"/>
      <c r="J209" s="86" t="n"/>
      <c r="K209" s="86" t="n"/>
      <c r="L209" s="84" t="n"/>
      <c r="P209" s="53" t="inlineStr">
        <is>
          <t>unmapped / to verify</t>
        </is>
      </c>
      <c r="Q209" s="53" t="inlineStr">
        <is>
          <t>unspecified</t>
        </is>
      </c>
      <c r="R209" s="53" t="inlineStr">
        <is>
          <t>https://github.com/bootstrapprx/kodoo/tree/main/modules</t>
        </is>
      </c>
      <c r="S209" s="53" t="inlineStr">
        <is>
          <t>Proposed classification; validate against code</t>
        </is>
      </c>
    </row>
    <row r="210" ht="15" customHeight="1" s="50">
      <c r="A210" s="86" t="n"/>
      <c r="B210" s="84" t="n"/>
      <c r="C210" s="89" t="n"/>
      <c r="D210" s="84" t="n"/>
      <c r="E210" s="84" t="n"/>
      <c r="F210" s="86" t="n"/>
      <c r="G210" s="86" t="n"/>
      <c r="H210" s="86" t="n"/>
      <c r="I210" s="84" t="n"/>
      <c r="J210" s="86" t="n"/>
      <c r="K210" s="86" t="n"/>
      <c r="L210" s="84" t="n"/>
      <c r="P210" s="53" t="inlineStr">
        <is>
          <t>unmapped / to verify</t>
        </is>
      </c>
      <c r="Q210" s="53" t="inlineStr">
        <is>
          <t>unspecified</t>
        </is>
      </c>
      <c r="R210" s="53" t="inlineStr">
        <is>
          <t>https://github.com/bootstrapprx/kodoo/tree/main/modules</t>
        </is>
      </c>
      <c r="S210" s="53" t="inlineStr">
        <is>
          <t>Proposed classification; validate against code</t>
        </is>
      </c>
    </row>
    <row r="211" ht="15" customHeight="1" s="50">
      <c r="A211" s="86" t="n"/>
      <c r="B211" s="84" t="n"/>
      <c r="C211" s="89" t="n"/>
      <c r="D211" s="84" t="n"/>
      <c r="E211" s="84" t="n"/>
      <c r="F211" s="86" t="n"/>
      <c r="G211" s="86" t="n"/>
      <c r="H211" s="86" t="n"/>
      <c r="I211" s="84" t="n"/>
      <c r="J211" s="86" t="n"/>
      <c r="K211" s="86" t="n"/>
      <c r="L211" s="84" t="n"/>
      <c r="P211" s="53" t="inlineStr">
        <is>
          <t>unmapped / to verify</t>
        </is>
      </c>
      <c r="Q211" s="53" t="inlineStr">
        <is>
          <t>unspecified</t>
        </is>
      </c>
      <c r="R211" s="53" t="inlineStr">
        <is>
          <t>https://github.com/bootstrapprx/kodoo/tree/main/modules</t>
        </is>
      </c>
      <c r="S211" s="53" t="inlineStr">
        <is>
          <t>Proposed classification; validate against code</t>
        </is>
      </c>
    </row>
    <row r="212" ht="15" customHeight="1" s="50">
      <c r="A212" s="86" t="n"/>
      <c r="B212" s="84" t="n"/>
      <c r="C212" s="89" t="n"/>
      <c r="D212" s="84" t="n"/>
      <c r="E212" s="84" t="n"/>
      <c r="F212" s="86" t="n"/>
      <c r="G212" s="86" t="n"/>
      <c r="H212" s="86" t="n"/>
      <c r="I212" s="84" t="n"/>
      <c r="J212" s="86" t="n"/>
      <c r="K212" s="86" t="n"/>
      <c r="L212" s="84" t="n"/>
      <c r="P212" s="53" t="inlineStr">
        <is>
          <t>unmapped / to verify</t>
        </is>
      </c>
      <c r="Q212" s="53" t="inlineStr">
        <is>
          <t>unspecified</t>
        </is>
      </c>
      <c r="R212" s="53" t="inlineStr">
        <is>
          <t>https://github.com/bootstrapprx/kodoo/tree/main/modules</t>
        </is>
      </c>
      <c r="S212" s="53" t="inlineStr">
        <is>
          <t>Proposed classification; validate against code</t>
        </is>
      </c>
    </row>
    <row r="213" ht="15" customHeight="1" s="50">
      <c r="A213" s="86" t="n"/>
      <c r="B213" s="84" t="n"/>
      <c r="C213" s="89" t="n"/>
      <c r="D213" s="84" t="n"/>
      <c r="E213" s="84" t="n"/>
      <c r="F213" s="86" t="n"/>
      <c r="G213" s="86" t="n"/>
      <c r="H213" s="86" t="n"/>
      <c r="I213" s="84" t="n"/>
      <c r="J213" s="86" t="n"/>
      <c r="K213" s="86" t="n"/>
      <c r="L213" s="84" t="n"/>
      <c r="P213" s="53" t="inlineStr">
        <is>
          <t>unmapped / to verify</t>
        </is>
      </c>
      <c r="Q213" s="53" t="inlineStr">
        <is>
          <t>unspecified</t>
        </is>
      </c>
      <c r="R213" s="53" t="inlineStr">
        <is>
          <t>https://github.com/bootstrapprx/kodoo/tree/main/modules</t>
        </is>
      </c>
      <c r="S213" s="53" t="inlineStr">
        <is>
          <t>Proposed classification; validate against code</t>
        </is>
      </c>
    </row>
    <row r="214" ht="15" customHeight="1" s="50">
      <c r="A214" s="86" t="n"/>
      <c r="B214" s="84" t="n"/>
      <c r="C214" s="89" t="n"/>
      <c r="D214" s="84" t="n"/>
      <c r="E214" s="84" t="n"/>
      <c r="F214" s="86" t="n"/>
      <c r="G214" s="86" t="n"/>
      <c r="H214" s="86" t="n"/>
      <c r="I214" s="84" t="n"/>
      <c r="J214" s="86" t="n"/>
      <c r="K214" s="86" t="n"/>
      <c r="L214" s="84" t="n"/>
      <c r="P214" s="53" t="inlineStr">
        <is>
          <t>unmapped / to verify</t>
        </is>
      </c>
      <c r="Q214" s="53" t="inlineStr">
        <is>
          <t>unspecified</t>
        </is>
      </c>
      <c r="R214" s="53" t="inlineStr">
        <is>
          <t>https://github.com/bootstrapprx/kodoo/tree/main/modules</t>
        </is>
      </c>
      <c r="S214" s="53" t="inlineStr">
        <is>
          <t>Proposed classification; validate against code</t>
        </is>
      </c>
    </row>
    <row r="215" ht="15" customHeight="1" s="50">
      <c r="A215" s="86" t="n"/>
      <c r="B215" s="84" t="n"/>
      <c r="C215" s="89" t="n"/>
      <c r="D215" s="84" t="n"/>
      <c r="E215" s="84" t="n"/>
      <c r="F215" s="86" t="n"/>
      <c r="G215" s="86" t="n"/>
      <c r="H215" s="86" t="n"/>
      <c r="I215" s="84" t="n"/>
      <c r="J215" s="86" t="n"/>
      <c r="K215" s="86" t="n"/>
      <c r="L215" s="84" t="n"/>
      <c r="P215" s="53" t="inlineStr">
        <is>
          <t>unmapped / to verify</t>
        </is>
      </c>
      <c r="Q215" s="53" t="inlineStr">
        <is>
          <t>unspecified</t>
        </is>
      </c>
      <c r="R215" s="53" t="inlineStr">
        <is>
          <t>https://github.com/bootstrapprx/kodoo/tree/main/modules</t>
        </is>
      </c>
      <c r="S215" s="53" t="inlineStr">
        <is>
          <t>Proposed classification; validate against code</t>
        </is>
      </c>
    </row>
    <row r="216" ht="15" customHeight="1" s="50">
      <c r="A216" s="86" t="n"/>
      <c r="B216" s="84" t="n"/>
      <c r="C216" s="89" t="n"/>
      <c r="D216" s="84" t="n"/>
      <c r="E216" s="84" t="n"/>
      <c r="F216" s="86" t="n"/>
      <c r="G216" s="86" t="n"/>
      <c r="H216" s="86" t="n"/>
      <c r="I216" s="84" t="n"/>
      <c r="J216" s="86" t="n"/>
      <c r="K216" s="86" t="n"/>
      <c r="L216" s="84" t="n"/>
      <c r="P216" s="53" t="inlineStr">
        <is>
          <t>unmapped / to verify</t>
        </is>
      </c>
      <c r="Q216" s="53" t="inlineStr">
        <is>
          <t>unspecified</t>
        </is>
      </c>
      <c r="R216" s="53" t="inlineStr">
        <is>
          <t>https://github.com/bootstrapprx/kodoo/tree/main/modules</t>
        </is>
      </c>
      <c r="S216" s="53" t="inlineStr">
        <is>
          <t>Proposed classification; validate against code</t>
        </is>
      </c>
    </row>
    <row r="217" ht="15" customHeight="1" s="50">
      <c r="A217" s="86" t="n"/>
      <c r="B217" s="84" t="n"/>
      <c r="C217" s="89" t="n"/>
      <c r="D217" s="84" t="n"/>
      <c r="E217" s="84" t="n"/>
      <c r="F217" s="86" t="n"/>
      <c r="G217" s="86" t="n"/>
      <c r="H217" s="86" t="n"/>
      <c r="I217" s="84" t="n"/>
      <c r="J217" s="86" t="n"/>
      <c r="K217" s="86" t="n"/>
      <c r="L217" s="84" t="n"/>
      <c r="P217" s="53" t="inlineStr">
        <is>
          <t>unmapped / to verify</t>
        </is>
      </c>
      <c r="Q217" s="53" t="inlineStr">
        <is>
          <t>unspecified</t>
        </is>
      </c>
      <c r="R217" s="53" t="inlineStr">
        <is>
          <t>https://github.com/bootstrapprx/kodoo/tree/main/modules</t>
        </is>
      </c>
      <c r="S217" s="53" t="inlineStr">
        <is>
          <t>Proposed classification; validate against code</t>
        </is>
      </c>
    </row>
    <row r="218" ht="15" customHeight="1" s="50">
      <c r="A218" s="86" t="n"/>
      <c r="B218" s="84" t="n"/>
      <c r="C218" s="89" t="n"/>
      <c r="D218" s="84" t="n"/>
      <c r="E218" s="84" t="n"/>
      <c r="F218" s="86" t="n"/>
      <c r="G218" s="86" t="n"/>
      <c r="H218" s="86" t="n"/>
      <c r="I218" s="84" t="n"/>
      <c r="J218" s="86" t="n"/>
      <c r="K218" s="86" t="n"/>
      <c r="L218" s="84" t="n"/>
      <c r="P218" s="53" t="inlineStr">
        <is>
          <t>unmapped / to verify</t>
        </is>
      </c>
      <c r="Q218" s="53" t="inlineStr">
        <is>
          <t>unspecified</t>
        </is>
      </c>
      <c r="R218" s="53" t="inlineStr">
        <is>
          <t>https://github.com/bootstrapprx/kodoo/tree/main/modules</t>
        </is>
      </c>
      <c r="S218" s="53" t="inlineStr">
        <is>
          <t>Proposed classification; validate against code</t>
        </is>
      </c>
    </row>
    <row r="219" ht="15" customHeight="1" s="50">
      <c r="A219" s="86" t="n"/>
      <c r="B219" s="84" t="n"/>
      <c r="C219" s="89" t="n"/>
      <c r="D219" s="84" t="n"/>
      <c r="E219" s="84" t="n"/>
      <c r="F219" s="86" t="n"/>
      <c r="G219" s="86" t="n"/>
      <c r="H219" s="86" t="n"/>
      <c r="I219" s="84" t="n"/>
      <c r="J219" s="86" t="n"/>
      <c r="K219" s="86" t="n"/>
      <c r="L219" s="84" t="n"/>
      <c r="P219" s="53" t="inlineStr">
        <is>
          <t>unmapped / to verify</t>
        </is>
      </c>
      <c r="Q219" s="53" t="inlineStr">
        <is>
          <t>unspecified</t>
        </is>
      </c>
      <c r="R219" s="53" t="inlineStr">
        <is>
          <t>https://github.com/bootstrapprx/kodoo/tree/main/modules</t>
        </is>
      </c>
      <c r="S219" s="53" t="inlineStr">
        <is>
          <t>Proposed classification; validate against code</t>
        </is>
      </c>
    </row>
    <row r="220" ht="15" customHeight="1" s="50">
      <c r="A220" s="86" t="n"/>
      <c r="B220" s="84" t="n"/>
      <c r="C220" s="89" t="n"/>
      <c r="D220" s="84" t="n"/>
      <c r="E220" s="84" t="n"/>
      <c r="F220" s="86" t="n"/>
      <c r="G220" s="86" t="n"/>
      <c r="H220" s="86" t="n"/>
      <c r="I220" s="84" t="n"/>
      <c r="J220" s="86" t="n"/>
      <c r="K220" s="86" t="n"/>
      <c r="L220" s="84" t="n"/>
      <c r="P220" s="53" t="inlineStr">
        <is>
          <t>unmapped / to verify</t>
        </is>
      </c>
      <c r="Q220" s="53" t="inlineStr">
        <is>
          <t>unspecified</t>
        </is>
      </c>
      <c r="R220" s="53" t="inlineStr">
        <is>
          <t>https://github.com/bootstrapprx/kodoo/tree/main/modules</t>
        </is>
      </c>
      <c r="S220" s="53" t="inlineStr">
        <is>
          <t>Proposed classification; validate against code</t>
        </is>
      </c>
    </row>
    <row r="221" ht="15" customHeight="1" s="50">
      <c r="A221" s="86" t="n"/>
      <c r="B221" s="84" t="n"/>
      <c r="C221" s="89" t="n"/>
      <c r="D221" s="84" t="n"/>
      <c r="E221" s="84" t="n"/>
      <c r="F221" s="86" t="n"/>
      <c r="G221" s="86" t="n"/>
      <c r="H221" s="86" t="n"/>
      <c r="I221" s="84" t="n"/>
      <c r="J221" s="86" t="n"/>
      <c r="K221" s="86" t="n"/>
      <c r="L221" s="84" t="n"/>
      <c r="P221" s="53" t="inlineStr">
        <is>
          <t>unmapped / to verify</t>
        </is>
      </c>
      <c r="Q221" s="53" t="inlineStr">
        <is>
          <t>unspecified</t>
        </is>
      </c>
      <c r="R221" s="53" t="inlineStr">
        <is>
          <t>https://github.com/bootstrapprx/kodoo/tree/main/modules</t>
        </is>
      </c>
      <c r="S221" s="53" t="inlineStr">
        <is>
          <t>Proposed classification; validate against code</t>
        </is>
      </c>
    </row>
    <row r="222" ht="15" customHeight="1" s="50">
      <c r="A222" s="86" t="n"/>
      <c r="B222" s="84" t="n"/>
      <c r="C222" s="89" t="n"/>
      <c r="D222" s="84" t="n"/>
      <c r="E222" s="84" t="n"/>
      <c r="F222" s="86" t="n"/>
      <c r="G222" s="86" t="n"/>
      <c r="H222" s="86" t="n"/>
      <c r="I222" s="84" t="n"/>
      <c r="J222" s="86" t="n"/>
      <c r="K222" s="86" t="n"/>
      <c r="L222" s="84" t="n"/>
      <c r="P222" s="53" t="inlineStr">
        <is>
          <t>unmapped / to verify</t>
        </is>
      </c>
      <c r="Q222" s="53" t="inlineStr">
        <is>
          <t>unspecified</t>
        </is>
      </c>
      <c r="R222" s="53" t="inlineStr">
        <is>
          <t>https://github.com/bootstrapprx/kodoo/tree/main/modules</t>
        </is>
      </c>
      <c r="S222" s="53" t="inlineStr">
        <is>
          <t>Proposed classification; validate against code</t>
        </is>
      </c>
    </row>
    <row r="223" ht="15" customHeight="1" s="50">
      <c r="A223" s="86" t="n"/>
      <c r="B223" s="84" t="n"/>
      <c r="C223" s="89" t="n"/>
      <c r="D223" s="84" t="n"/>
      <c r="E223" s="84" t="n"/>
      <c r="F223" s="86" t="n"/>
      <c r="G223" s="86" t="n"/>
      <c r="H223" s="86" t="n"/>
      <c r="I223" s="84" t="n"/>
      <c r="J223" s="86" t="n"/>
      <c r="K223" s="86" t="n"/>
      <c r="L223" s="84" t="n"/>
      <c r="P223" s="53" t="inlineStr">
        <is>
          <t>unmapped / to verify</t>
        </is>
      </c>
      <c r="Q223" s="53" t="inlineStr">
        <is>
          <t>unspecified</t>
        </is>
      </c>
      <c r="R223" s="53" t="inlineStr">
        <is>
          <t>https://github.com/bootstrapprx/kodoo/tree/main/modules</t>
        </is>
      </c>
      <c r="S223" s="53" t="inlineStr">
        <is>
          <t>Proposed classification; validate against code</t>
        </is>
      </c>
    </row>
    <row r="224" ht="15" customHeight="1" s="50">
      <c r="A224" s="86" t="n"/>
      <c r="B224" s="84" t="n"/>
      <c r="C224" s="89" t="n"/>
      <c r="D224" s="84" t="n"/>
      <c r="E224" s="84" t="n"/>
      <c r="F224" s="86" t="n"/>
      <c r="G224" s="86" t="n"/>
      <c r="H224" s="86" t="n"/>
      <c r="I224" s="84" t="n"/>
      <c r="J224" s="86" t="n"/>
      <c r="K224" s="86" t="n"/>
      <c r="L224" s="84" t="n"/>
      <c r="P224" s="53" t="inlineStr">
        <is>
          <t>unmapped / to verify</t>
        </is>
      </c>
      <c r="Q224" s="53" t="inlineStr">
        <is>
          <t>unspecified</t>
        </is>
      </c>
      <c r="R224" s="53" t="inlineStr">
        <is>
          <t>https://github.com/bootstrapprx/kodoo/tree/main/modules</t>
        </is>
      </c>
      <c r="S224" s="53" t="inlineStr">
        <is>
          <t>Proposed classification; validate against code</t>
        </is>
      </c>
    </row>
    <row r="225" ht="15" customHeight="1" s="50">
      <c r="A225" s="86" t="n"/>
      <c r="B225" s="84" t="n"/>
      <c r="C225" s="89" t="n"/>
      <c r="D225" s="84" t="n"/>
      <c r="E225" s="84" t="n"/>
      <c r="F225" s="86" t="n"/>
      <c r="G225" s="86" t="n"/>
      <c r="H225" s="86" t="n"/>
      <c r="I225" s="84" t="n"/>
      <c r="J225" s="86" t="n"/>
      <c r="K225" s="86" t="n"/>
      <c r="L225" s="84" t="n"/>
      <c r="P225" s="53" t="inlineStr">
        <is>
          <t>unmapped / to verify</t>
        </is>
      </c>
      <c r="Q225" s="53" t="inlineStr">
        <is>
          <t>unspecified</t>
        </is>
      </c>
      <c r="R225" s="53" t="inlineStr">
        <is>
          <t>https://github.com/bootstrapprx/kodoo/tree/main/modules</t>
        </is>
      </c>
      <c r="S225" s="53" t="inlineStr">
        <is>
          <t>Proposed classification; validate against code</t>
        </is>
      </c>
    </row>
    <row r="226" ht="15" customHeight="1" s="50">
      <c r="A226" s="86" t="n"/>
      <c r="B226" s="84" t="n"/>
      <c r="C226" s="89" t="n"/>
      <c r="D226" s="84" t="n"/>
      <c r="E226" s="84" t="n"/>
      <c r="F226" s="86" t="n"/>
      <c r="G226" s="86" t="n"/>
      <c r="H226" s="86" t="n"/>
      <c r="I226" s="84" t="n"/>
      <c r="J226" s="86" t="n"/>
      <c r="K226" s="86" t="n"/>
      <c r="L226" s="84" t="n"/>
      <c r="P226" s="53" t="inlineStr">
        <is>
          <t>unmapped / to verify</t>
        </is>
      </c>
      <c r="Q226" s="53" t="inlineStr">
        <is>
          <t>unspecified</t>
        </is>
      </c>
      <c r="R226" s="53" t="inlineStr">
        <is>
          <t>https://github.com/bootstrapprx/kodoo/tree/main/modules</t>
        </is>
      </c>
      <c r="S226" s="53" t="inlineStr">
        <is>
          <t>Proposed classification; validate against code</t>
        </is>
      </c>
    </row>
    <row r="227" ht="15" customHeight="1" s="50">
      <c r="A227" s="86" t="n"/>
      <c r="B227" s="84" t="n"/>
      <c r="C227" s="89" t="n"/>
      <c r="D227" s="84" t="n"/>
      <c r="E227" s="84" t="n"/>
      <c r="F227" s="86" t="n"/>
      <c r="G227" s="86" t="n"/>
      <c r="H227" s="86" t="n"/>
      <c r="I227" s="84" t="n"/>
      <c r="J227" s="86" t="n"/>
      <c r="K227" s="86" t="n"/>
      <c r="L227" s="84" t="n"/>
      <c r="P227" s="53" t="inlineStr">
        <is>
          <t>unmapped / to verify</t>
        </is>
      </c>
      <c r="Q227" s="53" t="inlineStr">
        <is>
          <t>unspecified</t>
        </is>
      </c>
      <c r="R227" s="53" t="inlineStr">
        <is>
          <t>https://github.com/bootstrapprx/kodoo/tree/main/modules</t>
        </is>
      </c>
      <c r="S227" s="53" t="inlineStr">
        <is>
          <t>Proposed classification; validate against code</t>
        </is>
      </c>
    </row>
    <row r="228" ht="15" customHeight="1" s="50">
      <c r="A228" s="86" t="n"/>
      <c r="B228" s="84" t="n"/>
      <c r="C228" s="89" t="n"/>
      <c r="D228" s="84" t="n"/>
      <c r="E228" s="84" t="n"/>
      <c r="F228" s="86" t="n"/>
      <c r="G228" s="86" t="n"/>
      <c r="H228" s="86" t="n"/>
      <c r="I228" s="84" t="n"/>
      <c r="J228" s="86" t="n"/>
      <c r="K228" s="86" t="n"/>
      <c r="L228" s="84" t="n"/>
      <c r="P228" s="53" t="inlineStr">
        <is>
          <t>unmapped / to verify</t>
        </is>
      </c>
      <c r="Q228" s="53" t="inlineStr">
        <is>
          <t>unspecified</t>
        </is>
      </c>
      <c r="R228" s="53" t="inlineStr">
        <is>
          <t>https://github.com/bootstrapprx/kodoo/tree/main/modules</t>
        </is>
      </c>
      <c r="S228" s="53" t="inlineStr">
        <is>
          <t>Proposed classification; validate against code</t>
        </is>
      </c>
    </row>
    <row r="229" ht="15" customHeight="1" s="50">
      <c r="A229" s="86" t="n"/>
      <c r="B229" s="84" t="n"/>
      <c r="C229" s="89" t="n"/>
      <c r="D229" s="84" t="n"/>
      <c r="E229" s="84" t="n"/>
      <c r="F229" s="86" t="n"/>
      <c r="G229" s="86" t="n"/>
      <c r="H229" s="86" t="n"/>
      <c r="I229" s="84" t="n"/>
      <c r="J229" s="86" t="n"/>
      <c r="K229" s="86" t="n"/>
      <c r="L229" s="84" t="n"/>
      <c r="P229" s="53" t="inlineStr">
        <is>
          <t>unmapped / to verify</t>
        </is>
      </c>
      <c r="Q229" s="53" t="inlineStr">
        <is>
          <t>unspecified</t>
        </is>
      </c>
      <c r="R229" s="53" t="inlineStr">
        <is>
          <t>https://github.com/bootstrapprx/kodoo/tree/main/modules</t>
        </is>
      </c>
      <c r="S229" s="53" t="inlineStr">
        <is>
          <t>Proposed classification; validate against code</t>
        </is>
      </c>
    </row>
    <row r="230" ht="15" customHeight="1" s="50">
      <c r="A230" s="86" t="n"/>
      <c r="B230" s="84" t="n"/>
      <c r="C230" s="89" t="n"/>
      <c r="D230" s="84" t="n"/>
      <c r="E230" s="84" t="n"/>
      <c r="F230" s="86" t="n"/>
      <c r="G230" s="86" t="n"/>
      <c r="H230" s="86" t="n"/>
      <c r="I230" s="84" t="n"/>
      <c r="J230" s="86" t="n"/>
      <c r="K230" s="86" t="n"/>
      <c r="L230" s="84" t="n"/>
      <c r="P230" s="53" t="inlineStr">
        <is>
          <t>unmapped / to verify</t>
        </is>
      </c>
      <c r="Q230" s="53" t="inlineStr">
        <is>
          <t>unspecified</t>
        </is>
      </c>
      <c r="R230" s="53" t="inlineStr">
        <is>
          <t>https://github.com/bootstrapprx/kodoo/tree/main/modules</t>
        </is>
      </c>
      <c r="S230" s="53" t="inlineStr">
        <is>
          <t>Proposed classification; validate against code</t>
        </is>
      </c>
    </row>
    <row r="231" ht="15" customHeight="1" s="50">
      <c r="A231" s="86" t="n"/>
      <c r="B231" s="84" t="n"/>
      <c r="C231" s="89" t="n"/>
      <c r="D231" s="84" t="n"/>
      <c r="E231" s="84" t="n"/>
      <c r="F231" s="86" t="n"/>
      <c r="G231" s="86" t="n"/>
      <c r="H231" s="86" t="n"/>
      <c r="I231" s="84" t="n"/>
      <c r="J231" s="86" t="n"/>
      <c r="K231" s="86" t="n"/>
      <c r="L231" s="84" t="n"/>
      <c r="P231" s="53" t="inlineStr">
        <is>
          <t>unmapped / to verify</t>
        </is>
      </c>
      <c r="Q231" s="53" t="inlineStr">
        <is>
          <t>unspecified</t>
        </is>
      </c>
      <c r="R231" s="53" t="inlineStr">
        <is>
          <t>https://github.com/bootstrapprx/kodoo/tree/main/modules</t>
        </is>
      </c>
      <c r="S231" s="53" t="inlineStr">
        <is>
          <t>Proposed classification; validate against code</t>
        </is>
      </c>
    </row>
    <row r="232" ht="15" customHeight="1" s="50">
      <c r="A232" s="86" t="n"/>
      <c r="B232" s="84" t="n"/>
      <c r="C232" s="89" t="n"/>
      <c r="D232" s="84" t="n"/>
      <c r="E232" s="84" t="n"/>
      <c r="F232" s="86" t="n"/>
      <c r="G232" s="86" t="n"/>
      <c r="H232" s="86" t="n"/>
      <c r="I232" s="84" t="n"/>
      <c r="J232" s="86" t="n"/>
      <c r="K232" s="86" t="n"/>
      <c r="L232" s="84" t="n"/>
      <c r="P232" s="53" t="inlineStr">
        <is>
          <t>unmapped / to verify</t>
        </is>
      </c>
      <c r="Q232" s="53" t="inlineStr">
        <is>
          <t>unspecified</t>
        </is>
      </c>
      <c r="R232" s="53" t="inlineStr">
        <is>
          <t>https://github.com/bootstrapprx/kodoo/tree/main/modules</t>
        </is>
      </c>
      <c r="S232" s="53" t="inlineStr">
        <is>
          <t>Proposed classification; validate against code</t>
        </is>
      </c>
    </row>
    <row r="233" ht="15" customHeight="1" s="50">
      <c r="A233" s="86" t="n"/>
      <c r="B233" s="84" t="n"/>
      <c r="C233" s="89" t="n"/>
      <c r="D233" s="84" t="n"/>
      <c r="E233" s="84" t="n"/>
      <c r="F233" s="86" t="n"/>
      <c r="G233" s="86" t="n"/>
      <c r="H233" s="86" t="n"/>
      <c r="I233" s="84" t="n"/>
      <c r="J233" s="86" t="n"/>
      <c r="K233" s="86" t="n"/>
      <c r="L233" s="84" t="n"/>
      <c r="P233" s="53" t="inlineStr">
        <is>
          <t>unmapped / to verify</t>
        </is>
      </c>
      <c r="Q233" s="53" t="inlineStr">
        <is>
          <t>unspecified</t>
        </is>
      </c>
      <c r="R233" s="53" t="inlineStr">
        <is>
          <t>https://github.com/bootstrapprx/kodoo/tree/main/modules</t>
        </is>
      </c>
      <c r="S233" s="53" t="inlineStr">
        <is>
          <t>Proposed classification; validate against code</t>
        </is>
      </c>
    </row>
    <row r="234" ht="15" customHeight="1" s="50">
      <c r="A234" s="86" t="n"/>
      <c r="B234" s="84" t="n"/>
      <c r="C234" s="89" t="n"/>
      <c r="D234" s="84" t="n"/>
      <c r="E234" s="84" t="n"/>
      <c r="F234" s="86" t="n"/>
      <c r="G234" s="86" t="n"/>
      <c r="H234" s="86" t="n"/>
      <c r="I234" s="84" t="n"/>
      <c r="J234" s="86" t="n"/>
      <c r="K234" s="86" t="n"/>
      <c r="L234" s="84" t="n"/>
      <c r="P234" s="53" t="inlineStr">
        <is>
          <t>unmapped / to verify</t>
        </is>
      </c>
      <c r="Q234" s="53" t="inlineStr">
        <is>
          <t>unspecified</t>
        </is>
      </c>
      <c r="R234" s="53" t="inlineStr">
        <is>
          <t>https://github.com/bootstrapprx/kodoo/tree/main/modules</t>
        </is>
      </c>
      <c r="S234" s="53" t="inlineStr">
        <is>
          <t>Proposed classification; validate against code</t>
        </is>
      </c>
    </row>
    <row r="235" ht="15" customHeight="1" s="50">
      <c r="A235" s="86" t="n"/>
      <c r="B235" s="84" t="n"/>
      <c r="C235" s="89" t="n"/>
      <c r="D235" s="84" t="n"/>
      <c r="E235" s="84" t="n"/>
      <c r="F235" s="86" t="n"/>
      <c r="G235" s="86" t="n"/>
      <c r="H235" s="86" t="n"/>
      <c r="I235" s="84" t="n"/>
      <c r="J235" s="86" t="n"/>
      <c r="K235" s="86" t="n"/>
      <c r="L235" s="84" t="n"/>
      <c r="P235" s="53" t="inlineStr">
        <is>
          <t>unmapped / to verify</t>
        </is>
      </c>
      <c r="Q235" s="53" t="inlineStr">
        <is>
          <t>unspecified</t>
        </is>
      </c>
      <c r="R235" s="53" t="inlineStr">
        <is>
          <t>https://github.com/bootstrapprx/kodoo/tree/main/modules</t>
        </is>
      </c>
      <c r="S235" s="53" t="inlineStr">
        <is>
          <t>Proposed classification; validate against code</t>
        </is>
      </c>
    </row>
    <row r="236" ht="15" customHeight="1" s="50">
      <c r="A236" s="86" t="n"/>
      <c r="B236" s="84" t="n"/>
      <c r="C236" s="89" t="n"/>
      <c r="D236" s="84" t="n"/>
      <c r="E236" s="84" t="n"/>
      <c r="F236" s="86" t="n"/>
      <c r="G236" s="86" t="n"/>
      <c r="H236" s="86" t="n"/>
      <c r="I236" s="84" t="n"/>
      <c r="J236" s="86" t="n"/>
      <c r="K236" s="86" t="n"/>
      <c r="L236" s="84" t="n"/>
      <c r="P236" s="53" t="inlineStr">
        <is>
          <t>unmapped / to verify</t>
        </is>
      </c>
      <c r="Q236" s="53" t="inlineStr">
        <is>
          <t>unspecified</t>
        </is>
      </c>
      <c r="R236" s="53" t="inlineStr">
        <is>
          <t>https://github.com/bootstrapprx/kodoo/tree/main/modules</t>
        </is>
      </c>
      <c r="S236" s="53" t="inlineStr">
        <is>
          <t>Proposed classification; validate against code</t>
        </is>
      </c>
    </row>
    <row r="237" ht="15" customHeight="1" s="50">
      <c r="A237" s="86" t="n"/>
      <c r="B237" s="84" t="n"/>
      <c r="C237" s="89" t="n"/>
      <c r="D237" s="84" t="n"/>
      <c r="E237" s="84" t="n"/>
      <c r="F237" s="86" t="n"/>
      <c r="G237" s="86" t="n"/>
      <c r="H237" s="86" t="n"/>
      <c r="I237" s="84" t="n"/>
      <c r="J237" s="86" t="n"/>
      <c r="K237" s="86" t="n"/>
      <c r="L237" s="84" t="n"/>
      <c r="P237" s="53" t="inlineStr">
        <is>
          <t>unmapped / to verify</t>
        </is>
      </c>
      <c r="Q237" s="53" t="inlineStr">
        <is>
          <t>unspecified</t>
        </is>
      </c>
      <c r="R237" s="53" t="inlineStr">
        <is>
          <t>https://github.com/bootstrapprx/kodoo/tree/main/modules</t>
        </is>
      </c>
      <c r="S237" s="53" t="inlineStr">
        <is>
          <t>Proposed classification; validate against code</t>
        </is>
      </c>
    </row>
    <row r="238" ht="15" customHeight="1" s="50">
      <c r="A238" s="86" t="n"/>
      <c r="B238" s="84" t="n"/>
      <c r="C238" s="89" t="n"/>
      <c r="D238" s="84" t="n"/>
      <c r="E238" s="84" t="n"/>
      <c r="F238" s="86" t="n"/>
      <c r="G238" s="86" t="n"/>
      <c r="H238" s="86" t="n"/>
      <c r="I238" s="84" t="n"/>
      <c r="J238" s="86" t="n"/>
      <c r="K238" s="86" t="n"/>
      <c r="L238" s="84" t="n"/>
      <c r="P238" s="53" t="inlineStr">
        <is>
          <t>unmapped / to verify</t>
        </is>
      </c>
      <c r="Q238" s="53" t="inlineStr">
        <is>
          <t>unspecified</t>
        </is>
      </c>
      <c r="R238" s="53" t="inlineStr">
        <is>
          <t>https://github.com/bootstrapprx/kodoo/tree/main/modules</t>
        </is>
      </c>
      <c r="S238" s="53" t="inlineStr">
        <is>
          <t>Proposed classification; validate against code</t>
        </is>
      </c>
    </row>
    <row r="239" ht="15" customHeight="1" s="50">
      <c r="A239" s="86" t="n"/>
      <c r="B239" s="84" t="n"/>
      <c r="C239" s="89" t="n"/>
      <c r="D239" s="84" t="n"/>
      <c r="E239" s="84" t="n"/>
      <c r="F239" s="86" t="n"/>
      <c r="G239" s="86" t="n"/>
      <c r="H239" s="86" t="n"/>
      <c r="I239" s="84" t="n"/>
      <c r="J239" s="86" t="n"/>
      <c r="K239" s="86" t="n"/>
      <c r="L239" s="84" t="n"/>
      <c r="P239" s="53" t="inlineStr">
        <is>
          <t>unmapped / to verify</t>
        </is>
      </c>
      <c r="Q239" s="53" t="inlineStr">
        <is>
          <t>unspecified</t>
        </is>
      </c>
      <c r="R239" s="53" t="inlineStr">
        <is>
          <t>https://github.com/bootstrapprx/kodoo/tree/main/modules</t>
        </is>
      </c>
      <c r="S239" s="53" t="inlineStr">
        <is>
          <t>Proposed classification; validate against code</t>
        </is>
      </c>
    </row>
    <row r="240" ht="15" customHeight="1" s="50">
      <c r="A240" s="86" t="n"/>
      <c r="B240" s="84" t="n"/>
      <c r="C240" s="89" t="n"/>
      <c r="D240" s="84" t="n"/>
      <c r="E240" s="84" t="n"/>
      <c r="F240" s="86" t="n"/>
      <c r="G240" s="86" t="n"/>
      <c r="H240" s="86" t="n"/>
      <c r="I240" s="84" t="n"/>
      <c r="J240" s="86" t="n"/>
      <c r="K240" s="86" t="n"/>
      <c r="L240" s="84" t="n"/>
      <c r="P240" s="53" t="inlineStr">
        <is>
          <t>unmapped / to verify</t>
        </is>
      </c>
      <c r="Q240" s="53" t="inlineStr">
        <is>
          <t>unspecified</t>
        </is>
      </c>
      <c r="R240" s="53" t="inlineStr">
        <is>
          <t>https://github.com/bootstrapprx/kodoo/tree/main/modules</t>
        </is>
      </c>
      <c r="S240" s="53" t="inlineStr">
        <is>
          <t>Proposed classification; validate against code</t>
        </is>
      </c>
    </row>
    <row r="241" ht="15" customHeight="1" s="50">
      <c r="A241" s="86" t="n"/>
      <c r="B241" s="84" t="n"/>
      <c r="C241" s="89" t="n"/>
      <c r="D241" s="84" t="n"/>
      <c r="E241" s="84" t="n"/>
      <c r="F241" s="86" t="n"/>
      <c r="G241" s="86" t="n"/>
      <c r="H241" s="86" t="n"/>
      <c r="I241" s="84" t="n"/>
      <c r="J241" s="86" t="n"/>
      <c r="K241" s="86" t="n"/>
      <c r="L241" s="84" t="n"/>
      <c r="P241" s="53" t="inlineStr">
        <is>
          <t>unmapped / to verify</t>
        </is>
      </c>
      <c r="Q241" s="53" t="inlineStr">
        <is>
          <t>unspecified</t>
        </is>
      </c>
      <c r="R241" s="53" t="inlineStr">
        <is>
          <t>https://github.com/bootstrapprx/kodoo/tree/main/modules</t>
        </is>
      </c>
      <c r="S241" s="53" t="inlineStr">
        <is>
          <t>Proposed classification; validate against code</t>
        </is>
      </c>
    </row>
    <row r="242" ht="15" customHeight="1" s="50">
      <c r="A242" s="86" t="n"/>
      <c r="B242" s="84" t="n"/>
      <c r="C242" s="89" t="n"/>
      <c r="D242" s="84" t="n"/>
      <c r="E242" s="84" t="n"/>
      <c r="F242" s="86" t="n"/>
      <c r="G242" s="86" t="n"/>
      <c r="H242" s="86" t="n"/>
      <c r="I242" s="84" t="n"/>
      <c r="J242" s="86" t="n"/>
      <c r="K242" s="86" t="n"/>
      <c r="L242" s="84" t="n"/>
      <c r="P242" s="53" t="inlineStr">
        <is>
          <t>unmapped / to verify</t>
        </is>
      </c>
      <c r="Q242" s="53" t="inlineStr">
        <is>
          <t>unspecified</t>
        </is>
      </c>
      <c r="R242" s="53" t="inlineStr">
        <is>
          <t>https://github.com/bootstrapprx/kodoo/tree/main/modules</t>
        </is>
      </c>
      <c r="S242" s="53" t="inlineStr">
        <is>
          <t>Proposed classification; validate against code</t>
        </is>
      </c>
    </row>
    <row r="243" ht="15" customHeight="1" s="50">
      <c r="A243" s="86" t="n"/>
      <c r="B243" s="84" t="n"/>
      <c r="C243" s="89" t="n"/>
      <c r="D243" s="84" t="n"/>
      <c r="E243" s="84" t="n"/>
      <c r="F243" s="86" t="n"/>
      <c r="G243" s="86" t="n"/>
      <c r="H243" s="86" t="n"/>
      <c r="I243" s="84" t="n"/>
      <c r="J243" s="86" t="n"/>
      <c r="K243" s="86" t="n"/>
      <c r="L243" s="84" t="n"/>
      <c r="P243" s="53" t="inlineStr">
        <is>
          <t>unmapped / to verify</t>
        </is>
      </c>
      <c r="Q243" s="53" t="inlineStr">
        <is>
          <t>unspecified</t>
        </is>
      </c>
      <c r="R243" s="53" t="inlineStr">
        <is>
          <t>https://github.com/bootstrapprx/kodoo/tree/main/modules</t>
        </is>
      </c>
      <c r="S243" s="53" t="inlineStr">
        <is>
          <t>Proposed classification; validate against code</t>
        </is>
      </c>
    </row>
    <row r="244" ht="15" customHeight="1" s="50">
      <c r="A244" s="86" t="n"/>
      <c r="B244" s="84" t="n"/>
      <c r="C244" s="89" t="n"/>
      <c r="D244" s="84" t="n"/>
      <c r="E244" s="84" t="n"/>
      <c r="F244" s="86" t="n"/>
      <c r="G244" s="86" t="n"/>
      <c r="H244" s="86" t="n"/>
      <c r="I244" s="84" t="n"/>
      <c r="J244" s="86" t="n"/>
      <c r="K244" s="86" t="n"/>
      <c r="L244" s="84" t="n"/>
      <c r="P244" s="53" t="inlineStr">
        <is>
          <t>unmapped / to verify</t>
        </is>
      </c>
      <c r="Q244" s="53" t="inlineStr">
        <is>
          <t>unspecified</t>
        </is>
      </c>
      <c r="R244" s="53" t="inlineStr">
        <is>
          <t>https://github.com/bootstrapprx/kodoo/tree/main/modules</t>
        </is>
      </c>
      <c r="S244" s="53" t="inlineStr">
        <is>
          <t>Proposed classification; validate against code</t>
        </is>
      </c>
    </row>
    <row r="245" ht="15" customHeight="1" s="50">
      <c r="A245" s="86" t="n"/>
      <c r="B245" s="84" t="n"/>
      <c r="C245" s="89" t="n"/>
      <c r="D245" s="84" t="n"/>
      <c r="E245" s="84" t="n"/>
      <c r="F245" s="86" t="n"/>
      <c r="G245" s="86" t="n"/>
      <c r="H245" s="86" t="n"/>
      <c r="I245" s="84" t="n"/>
      <c r="J245" s="86" t="n"/>
      <c r="K245" s="86" t="n"/>
      <c r="L245" s="84" t="n"/>
      <c r="P245" s="53" t="inlineStr">
        <is>
          <t>unmapped / to verify</t>
        </is>
      </c>
      <c r="Q245" s="53" t="inlineStr">
        <is>
          <t>unspecified</t>
        </is>
      </c>
      <c r="R245" s="53" t="inlineStr">
        <is>
          <t>https://github.com/bootstrapprx/kodoo/tree/main/modules</t>
        </is>
      </c>
      <c r="S245" s="53" t="inlineStr">
        <is>
          <t>Proposed classification; validate against code</t>
        </is>
      </c>
    </row>
    <row r="246" ht="15" customHeight="1" s="50">
      <c r="A246" s="86" t="n"/>
      <c r="B246" s="84" t="n"/>
      <c r="C246" s="89" t="n"/>
      <c r="D246" s="84" t="n"/>
      <c r="E246" s="84" t="n"/>
      <c r="F246" s="86" t="n"/>
      <c r="G246" s="86" t="n"/>
      <c r="H246" s="86" t="n"/>
      <c r="I246" s="84" t="n"/>
      <c r="J246" s="86" t="n"/>
      <c r="K246" s="86" t="n"/>
      <c r="L246" s="84" t="n"/>
      <c r="P246" s="53" t="inlineStr">
        <is>
          <t>unmapped / to verify</t>
        </is>
      </c>
      <c r="Q246" s="53" t="inlineStr">
        <is>
          <t>unspecified</t>
        </is>
      </c>
      <c r="R246" s="53" t="inlineStr">
        <is>
          <t>https://github.com/bootstrapprx/kodoo/tree/main/modules</t>
        </is>
      </c>
      <c r="S246" s="53" t="inlineStr">
        <is>
          <t>Proposed classification; validate against code</t>
        </is>
      </c>
    </row>
    <row r="247" ht="15" customHeight="1" s="50">
      <c r="A247" s="86" t="n"/>
      <c r="B247" s="84" t="n"/>
      <c r="C247" s="89" t="n"/>
      <c r="D247" s="84" t="n"/>
      <c r="E247" s="84" t="n"/>
      <c r="F247" s="86" t="n"/>
      <c r="G247" s="86" t="n"/>
      <c r="H247" s="86" t="n"/>
      <c r="I247" s="84" t="n"/>
      <c r="J247" s="86" t="n"/>
      <c r="K247" s="86" t="n"/>
      <c r="L247" s="84" t="n"/>
      <c r="P247" s="53" t="inlineStr">
        <is>
          <t>unmapped / to verify</t>
        </is>
      </c>
      <c r="Q247" s="53" t="inlineStr">
        <is>
          <t>unspecified</t>
        </is>
      </c>
      <c r="R247" s="53" t="inlineStr">
        <is>
          <t>https://github.com/bootstrapprx/kodoo/tree/main/modules</t>
        </is>
      </c>
      <c r="S247" s="53" t="inlineStr">
        <is>
          <t>Proposed classification; validate against code</t>
        </is>
      </c>
    </row>
    <row r="248" ht="15" customHeight="1" s="50">
      <c r="A248" s="86" t="n"/>
      <c r="B248" s="84" t="n"/>
      <c r="C248" s="89" t="n"/>
      <c r="D248" s="84" t="n"/>
      <c r="E248" s="84" t="n"/>
      <c r="F248" s="86" t="n"/>
      <c r="G248" s="86" t="n"/>
      <c r="H248" s="86" t="n"/>
      <c r="I248" s="84" t="n"/>
      <c r="J248" s="86" t="n"/>
      <c r="K248" s="86" t="n"/>
      <c r="L248" s="84" t="n"/>
      <c r="P248" s="53" t="inlineStr">
        <is>
          <t>unmapped / to verify</t>
        </is>
      </c>
      <c r="Q248" s="53" t="inlineStr">
        <is>
          <t>unspecified</t>
        </is>
      </c>
      <c r="R248" s="53" t="inlineStr">
        <is>
          <t>https://github.com/bootstrapprx/kodoo/tree/main/modules</t>
        </is>
      </c>
      <c r="S248" s="53" t="inlineStr">
        <is>
          <t>Proposed classification; validate against code</t>
        </is>
      </c>
    </row>
    <row r="249" ht="15" customHeight="1" s="50">
      <c r="A249" s="86" t="n"/>
      <c r="B249" s="84" t="n"/>
      <c r="C249" s="89" t="n"/>
      <c r="D249" s="84" t="n"/>
      <c r="E249" s="84" t="n"/>
      <c r="F249" s="86" t="n"/>
      <c r="G249" s="86" t="n"/>
      <c r="H249" s="86" t="n"/>
      <c r="I249" s="84" t="n"/>
      <c r="J249" s="86" t="n"/>
      <c r="K249" s="86" t="n"/>
      <c r="L249" s="84" t="n"/>
      <c r="P249" s="53" t="inlineStr">
        <is>
          <t>unmapped / to verify</t>
        </is>
      </c>
      <c r="Q249" s="53" t="inlineStr">
        <is>
          <t>unspecified</t>
        </is>
      </c>
      <c r="R249" s="53" t="inlineStr">
        <is>
          <t>https://github.com/bootstrapprx/kodoo/tree/main/modules</t>
        </is>
      </c>
      <c r="S249" s="53" t="inlineStr">
        <is>
          <t>Proposed classification; validate against code</t>
        </is>
      </c>
    </row>
    <row r="250" ht="15" customHeight="1" s="50">
      <c r="A250" s="86" t="n"/>
      <c r="B250" s="84" t="n"/>
      <c r="C250" s="89" t="n"/>
      <c r="D250" s="84" t="n"/>
      <c r="E250" s="84" t="n"/>
      <c r="F250" s="86" t="n"/>
      <c r="G250" s="86" t="n"/>
      <c r="H250" s="86" t="n"/>
      <c r="I250" s="84" t="n"/>
      <c r="J250" s="86" t="n"/>
      <c r="K250" s="86" t="n"/>
      <c r="L250" s="84" t="n"/>
      <c r="P250" s="53" t="inlineStr">
        <is>
          <t>unmapped / to verify</t>
        </is>
      </c>
      <c r="Q250" s="53" t="inlineStr">
        <is>
          <t>unspecified</t>
        </is>
      </c>
      <c r="R250" s="53" t="inlineStr">
        <is>
          <t>https://github.com/bootstrapprx/kodoo/tree/main/modules</t>
        </is>
      </c>
      <c r="S250" s="53" t="inlineStr">
        <is>
          <t>Proposed classification; validate against code</t>
        </is>
      </c>
    </row>
    <row r="251" ht="15" customHeight="1" s="50">
      <c r="A251" s="86" t="n"/>
      <c r="B251" s="84" t="n"/>
      <c r="C251" s="89" t="n"/>
      <c r="D251" s="84" t="n"/>
      <c r="E251" s="84" t="n"/>
      <c r="F251" s="86" t="n"/>
      <c r="G251" s="86" t="n"/>
      <c r="H251" s="86" t="n"/>
      <c r="I251" s="84" t="n"/>
      <c r="J251" s="86" t="n"/>
      <c r="K251" s="86" t="n"/>
      <c r="L251" s="84" t="n"/>
      <c r="P251" s="53" t="inlineStr">
        <is>
          <t>unmapped / to verify</t>
        </is>
      </c>
      <c r="Q251" s="53" t="inlineStr">
        <is>
          <t>unspecified</t>
        </is>
      </c>
      <c r="R251" s="53" t="inlineStr">
        <is>
          <t>https://github.com/bootstrapprx/kodoo/tree/main/modules</t>
        </is>
      </c>
      <c r="S251" s="53" t="inlineStr">
        <is>
          <t>Proposed classification; validate against code</t>
        </is>
      </c>
    </row>
    <row r="252" ht="15" customHeight="1" s="50">
      <c r="A252" s="86" t="n"/>
      <c r="B252" s="84" t="n"/>
      <c r="C252" s="89" t="n"/>
      <c r="D252" s="84" t="n"/>
      <c r="E252" s="84" t="n"/>
      <c r="F252" s="86" t="n"/>
      <c r="G252" s="86" t="n"/>
      <c r="H252" s="86" t="n"/>
      <c r="I252" s="84" t="n"/>
      <c r="J252" s="86" t="n"/>
      <c r="K252" s="86" t="n"/>
      <c r="L252" s="84" t="n"/>
      <c r="P252" s="53" t="inlineStr">
        <is>
          <t>unmapped / to verify</t>
        </is>
      </c>
      <c r="Q252" s="53" t="inlineStr">
        <is>
          <t>unspecified</t>
        </is>
      </c>
      <c r="R252" s="53" t="inlineStr">
        <is>
          <t>https://github.com/bootstrapprx/kodoo/tree/main/modules</t>
        </is>
      </c>
      <c r="S252" s="53" t="inlineStr">
        <is>
          <t>Proposed classification; validate against code</t>
        </is>
      </c>
    </row>
    <row r="253" ht="15" customHeight="1" s="50">
      <c r="A253" s="86" t="n"/>
      <c r="B253" s="84" t="n"/>
      <c r="C253" s="89" t="n"/>
      <c r="D253" s="84" t="n"/>
      <c r="E253" s="84" t="n"/>
      <c r="F253" s="86" t="n"/>
      <c r="G253" s="86" t="n"/>
      <c r="H253" s="86" t="n"/>
      <c r="I253" s="84" t="n"/>
      <c r="J253" s="86" t="n"/>
      <c r="K253" s="86" t="n"/>
      <c r="L253" s="84" t="n"/>
      <c r="P253" s="53" t="inlineStr">
        <is>
          <t>unmapped / to verify</t>
        </is>
      </c>
      <c r="Q253" s="53" t="inlineStr">
        <is>
          <t>unspecified</t>
        </is>
      </c>
      <c r="R253" s="53" t="inlineStr">
        <is>
          <t>https://github.com/bootstrapprx/kodoo/tree/main/modules</t>
        </is>
      </c>
      <c r="S253" s="53" t="inlineStr">
        <is>
          <t>Proposed classification; validate against code</t>
        </is>
      </c>
    </row>
    <row r="254" ht="15" customHeight="1" s="50">
      <c r="A254" s="86" t="n"/>
      <c r="B254" s="84" t="n"/>
      <c r="C254" s="89" t="n"/>
      <c r="D254" s="84" t="n"/>
      <c r="E254" s="84" t="n"/>
      <c r="F254" s="86" t="n"/>
      <c r="G254" s="86" t="n"/>
      <c r="H254" s="86" t="n"/>
      <c r="I254" s="84" t="n"/>
      <c r="J254" s="86" t="n"/>
      <c r="K254" s="86" t="n"/>
      <c r="L254" s="84" t="n"/>
      <c r="P254" s="53" t="inlineStr">
        <is>
          <t>unmapped / to verify</t>
        </is>
      </c>
      <c r="Q254" s="53" t="inlineStr">
        <is>
          <t>unspecified</t>
        </is>
      </c>
      <c r="R254" s="53" t="inlineStr">
        <is>
          <t>https://github.com/bootstrapprx/kodoo/tree/main/modules</t>
        </is>
      </c>
      <c r="S254" s="53" t="inlineStr">
        <is>
          <t>Proposed classification; validate against code</t>
        </is>
      </c>
    </row>
    <row r="255" ht="15" customHeight="1" s="50">
      <c r="A255" s="86" t="n"/>
      <c r="B255" s="84" t="n"/>
      <c r="C255" s="89" t="n"/>
      <c r="D255" s="84" t="n"/>
      <c r="E255" s="84" t="n"/>
      <c r="F255" s="86" t="n"/>
      <c r="G255" s="86" t="n"/>
      <c r="H255" s="86" t="n"/>
      <c r="I255" s="84" t="n"/>
      <c r="J255" s="86" t="n"/>
      <c r="K255" s="86" t="n"/>
      <c r="L255" s="84" t="n"/>
      <c r="P255" s="53" t="inlineStr">
        <is>
          <t>unmapped / to verify</t>
        </is>
      </c>
      <c r="Q255" s="53" t="inlineStr">
        <is>
          <t>unspecified</t>
        </is>
      </c>
      <c r="R255" s="53" t="inlineStr">
        <is>
          <t>https://github.com/bootstrapprx/kodoo/tree/main/modules</t>
        </is>
      </c>
      <c r="S255" s="53" t="inlineStr">
        <is>
          <t>Proposed classification; validate against code</t>
        </is>
      </c>
    </row>
    <row r="256" ht="15" customHeight="1" s="50">
      <c r="A256" s="86" t="n"/>
      <c r="B256" s="84" t="n"/>
      <c r="C256" s="89" t="n"/>
      <c r="D256" s="84" t="n"/>
      <c r="E256" s="84" t="n"/>
      <c r="F256" s="86" t="n"/>
      <c r="G256" s="86" t="n"/>
      <c r="H256" s="86" t="n"/>
      <c r="I256" s="84" t="n"/>
      <c r="J256" s="86" t="n"/>
      <c r="K256" s="86" t="n"/>
      <c r="L256" s="84" t="n"/>
      <c r="P256" s="53" t="inlineStr">
        <is>
          <t>unmapped / to verify</t>
        </is>
      </c>
      <c r="Q256" s="53" t="inlineStr">
        <is>
          <t>unspecified</t>
        </is>
      </c>
      <c r="R256" s="53" t="inlineStr">
        <is>
          <t>https://github.com/bootstrapprx/kodoo/tree/main/modules</t>
        </is>
      </c>
      <c r="S256" s="53" t="inlineStr">
        <is>
          <t>Proposed classification; validate against code</t>
        </is>
      </c>
    </row>
    <row r="257" ht="15" customHeight="1" s="50">
      <c r="A257" s="86" t="n"/>
      <c r="B257" s="84" t="n"/>
      <c r="C257" s="89" t="n"/>
      <c r="D257" s="84" t="n"/>
      <c r="E257" s="84" t="n"/>
      <c r="F257" s="86" t="n"/>
      <c r="G257" s="86" t="n"/>
      <c r="H257" s="86" t="n"/>
      <c r="I257" s="84" t="n"/>
      <c r="J257" s="86" t="n"/>
      <c r="K257" s="86" t="n"/>
      <c r="L257" s="84" t="n"/>
      <c r="P257" s="53" t="inlineStr">
        <is>
          <t>unmapped / to verify</t>
        </is>
      </c>
      <c r="Q257" s="53" t="inlineStr">
        <is>
          <t>unspecified</t>
        </is>
      </c>
      <c r="R257" s="53" t="inlineStr">
        <is>
          <t>https://github.com/bootstrapprx/kodoo/tree/main/modules</t>
        </is>
      </c>
      <c r="S257" s="53" t="inlineStr">
        <is>
          <t>Proposed classification; validate against code</t>
        </is>
      </c>
    </row>
    <row r="258" ht="15" customHeight="1" s="50">
      <c r="A258" s="86" t="n"/>
      <c r="B258" s="84" t="n"/>
      <c r="C258" s="89" t="n"/>
      <c r="D258" s="84" t="n"/>
      <c r="E258" s="84" t="n"/>
      <c r="F258" s="86" t="n"/>
      <c r="G258" s="86" t="n"/>
      <c r="H258" s="86" t="n"/>
      <c r="I258" s="84" t="n"/>
      <c r="J258" s="86" t="n"/>
      <c r="K258" s="86" t="n"/>
      <c r="L258" s="84" t="n"/>
      <c r="P258" s="53" t="inlineStr">
        <is>
          <t>unmapped / to verify</t>
        </is>
      </c>
      <c r="Q258" s="53" t="inlineStr">
        <is>
          <t>unspecified</t>
        </is>
      </c>
      <c r="R258" s="53" t="inlineStr">
        <is>
          <t>https://github.com/bootstrapprx/kodoo/tree/main/modules</t>
        </is>
      </c>
      <c r="S258" s="53" t="inlineStr">
        <is>
          <t>Proposed classification; validate against code</t>
        </is>
      </c>
    </row>
    <row r="259" ht="15" customHeight="1" s="50">
      <c r="A259" s="86" t="n"/>
      <c r="B259" s="84" t="n"/>
      <c r="C259" s="89" t="n"/>
      <c r="D259" s="84" t="n"/>
      <c r="E259" s="84" t="n"/>
      <c r="F259" s="86" t="n"/>
      <c r="G259" s="86" t="n"/>
      <c r="H259" s="86" t="n"/>
      <c r="I259" s="84" t="n"/>
      <c r="J259" s="86" t="n"/>
      <c r="K259" s="86" t="n"/>
      <c r="L259" s="84" t="n"/>
      <c r="P259" s="53" t="inlineStr">
        <is>
          <t>unmapped / to verify</t>
        </is>
      </c>
      <c r="Q259" s="53" t="inlineStr">
        <is>
          <t>unspecified</t>
        </is>
      </c>
      <c r="R259" s="53" t="inlineStr">
        <is>
          <t>https://github.com/bootstrapprx/kodoo/tree/main/modules</t>
        </is>
      </c>
      <c r="S259" s="53" t="inlineStr">
        <is>
          <t>Proposed classification; validate against code</t>
        </is>
      </c>
    </row>
    <row r="260" ht="15" customHeight="1" s="50">
      <c r="A260" s="86" t="n"/>
      <c r="B260" s="84" t="n"/>
      <c r="C260" s="89" t="n"/>
      <c r="D260" s="84" t="n"/>
      <c r="E260" s="84" t="n"/>
      <c r="F260" s="86" t="n"/>
      <c r="G260" s="86" t="n"/>
      <c r="H260" s="86" t="n"/>
      <c r="I260" s="84" t="n"/>
      <c r="J260" s="86" t="n"/>
      <c r="K260" s="86" t="n"/>
      <c r="L260" s="84" t="n"/>
      <c r="P260" s="53" t="inlineStr">
        <is>
          <t>unmapped / to verify</t>
        </is>
      </c>
      <c r="Q260" s="53" t="inlineStr">
        <is>
          <t>unspecified</t>
        </is>
      </c>
      <c r="R260" s="53" t="inlineStr">
        <is>
          <t>https://github.com/bootstrapprx/kodoo/tree/main/modules</t>
        </is>
      </c>
      <c r="S260" s="53" t="inlineStr">
        <is>
          <t>Proposed classification; validate against code</t>
        </is>
      </c>
    </row>
    <row r="261" ht="15" customHeight="1" s="50">
      <c r="A261" s="86" t="n"/>
      <c r="B261" s="84" t="n"/>
      <c r="C261" s="89" t="n"/>
      <c r="D261" s="84" t="n"/>
      <c r="E261" s="84" t="n"/>
      <c r="F261" s="86" t="n"/>
      <c r="G261" s="86" t="n"/>
      <c r="H261" s="86" t="n"/>
      <c r="I261" s="84" t="n"/>
      <c r="J261" s="86" t="n"/>
      <c r="K261" s="86" t="n"/>
      <c r="L261" s="84" t="n"/>
      <c r="P261" s="53" t="inlineStr">
        <is>
          <t>unmapped / to verify</t>
        </is>
      </c>
      <c r="Q261" s="53" t="inlineStr">
        <is>
          <t>unspecified</t>
        </is>
      </c>
      <c r="R261" s="53" t="inlineStr">
        <is>
          <t>https://github.com/bootstrapprx/kodoo/tree/main/modules</t>
        </is>
      </c>
      <c r="S261" s="53" t="inlineStr">
        <is>
          <t>Proposed classification; validate against code</t>
        </is>
      </c>
    </row>
    <row r="262" ht="15" customHeight="1" s="50">
      <c r="A262" s="86" t="n"/>
      <c r="B262" s="84" t="n"/>
      <c r="C262" s="89" t="n"/>
      <c r="D262" s="84" t="n"/>
      <c r="E262" s="84" t="n"/>
      <c r="F262" s="86" t="n"/>
      <c r="G262" s="86" t="n"/>
      <c r="H262" s="86" t="n"/>
      <c r="I262" s="84" t="n"/>
      <c r="J262" s="86" t="n"/>
      <c r="K262" s="86" t="n"/>
      <c r="L262" s="84" t="n"/>
      <c r="P262" s="53" t="inlineStr">
        <is>
          <t>unmapped / to verify</t>
        </is>
      </c>
      <c r="Q262" s="53" t="inlineStr">
        <is>
          <t>unspecified</t>
        </is>
      </c>
      <c r="R262" s="53" t="inlineStr">
        <is>
          <t>https://github.com/bootstrapprx/kodoo/tree/main/modules</t>
        </is>
      </c>
      <c r="S262" s="53" t="inlineStr">
        <is>
          <t>Proposed classification; validate against code</t>
        </is>
      </c>
    </row>
    <row r="263" ht="15" customHeight="1" s="50">
      <c r="A263" s="86" t="n"/>
      <c r="B263" s="84" t="n"/>
      <c r="C263" s="89" t="n"/>
      <c r="D263" s="84" t="n"/>
      <c r="E263" s="84" t="n"/>
      <c r="F263" s="86" t="n"/>
      <c r="G263" s="86" t="n"/>
      <c r="H263" s="86" t="n"/>
      <c r="I263" s="84" t="n"/>
      <c r="J263" s="86" t="n"/>
      <c r="K263" s="86" t="n"/>
      <c r="L263" s="84" t="n"/>
      <c r="P263" s="53" t="inlineStr">
        <is>
          <t>unmapped / to verify</t>
        </is>
      </c>
      <c r="Q263" s="53" t="inlineStr">
        <is>
          <t>unspecified</t>
        </is>
      </c>
      <c r="R263" s="53" t="inlineStr">
        <is>
          <t>https://github.com/bootstrapprx/kodoo/tree/main/modules</t>
        </is>
      </c>
      <c r="S263" s="53" t="inlineStr">
        <is>
          <t>Proposed classification; validate against code</t>
        </is>
      </c>
    </row>
    <row r="264" ht="15" customHeight="1" s="50">
      <c r="A264" s="86" t="n"/>
      <c r="B264" s="84" t="n"/>
      <c r="C264" s="89" t="n"/>
      <c r="D264" s="84" t="n"/>
      <c r="E264" s="84" t="n"/>
      <c r="F264" s="86" t="n"/>
      <c r="G264" s="86" t="n"/>
      <c r="H264" s="86" t="n"/>
      <c r="I264" s="84" t="n"/>
      <c r="J264" s="86" t="n"/>
      <c r="K264" s="86" t="n"/>
      <c r="L264" s="84" t="n"/>
      <c r="P264" s="53" t="inlineStr">
        <is>
          <t>unmapped / to verify</t>
        </is>
      </c>
      <c r="Q264" s="53" t="inlineStr">
        <is>
          <t>unspecified</t>
        </is>
      </c>
      <c r="R264" s="53" t="inlineStr">
        <is>
          <t>https://github.com/bootstrapprx/kodoo/tree/main/modules</t>
        </is>
      </c>
      <c r="S264" s="53" t="inlineStr">
        <is>
          <t>Proposed classification; validate against code</t>
        </is>
      </c>
    </row>
    <row r="265" ht="15" customHeight="1" s="50">
      <c r="A265" s="86" t="n"/>
      <c r="B265" s="84" t="n"/>
      <c r="C265" s="89" t="n"/>
      <c r="D265" s="84" t="n"/>
      <c r="E265" s="84" t="n"/>
      <c r="F265" s="86" t="n"/>
      <c r="G265" s="86" t="n"/>
      <c r="H265" s="86" t="n"/>
      <c r="I265" s="84" t="n"/>
      <c r="J265" s="86" t="n"/>
      <c r="K265" s="86" t="n"/>
      <c r="L265" s="84" t="n"/>
      <c r="P265" s="53" t="inlineStr">
        <is>
          <t>unmapped / to verify</t>
        </is>
      </c>
      <c r="Q265" s="53" t="inlineStr">
        <is>
          <t>unspecified</t>
        </is>
      </c>
      <c r="R265" s="53" t="inlineStr">
        <is>
          <t>https://github.com/bootstrapprx/kodoo/tree/main/modules</t>
        </is>
      </c>
      <c r="S265" s="53" t="inlineStr">
        <is>
          <t>Proposed classification; validate against code</t>
        </is>
      </c>
    </row>
    <row r="266" ht="15" customHeight="1" s="50">
      <c r="A266" s="86" t="n"/>
      <c r="B266" s="84" t="n"/>
      <c r="C266" s="89" t="n"/>
      <c r="D266" s="84" t="n"/>
      <c r="E266" s="84" t="n"/>
      <c r="F266" s="86" t="n"/>
      <c r="G266" s="86" t="n"/>
      <c r="H266" s="86" t="n"/>
      <c r="I266" s="84" t="n"/>
      <c r="J266" s="86" t="n"/>
      <c r="K266" s="86" t="n"/>
      <c r="L266" s="84" t="n"/>
      <c r="P266" s="53" t="inlineStr">
        <is>
          <t>unmapped / to verify</t>
        </is>
      </c>
      <c r="Q266" s="53" t="inlineStr">
        <is>
          <t>unspecified</t>
        </is>
      </c>
      <c r="R266" s="53" t="inlineStr">
        <is>
          <t>https://github.com/bootstrapprx/kodoo/tree/main/modules</t>
        </is>
      </c>
      <c r="S266" s="53" t="inlineStr">
        <is>
          <t>Proposed classification; validate against code</t>
        </is>
      </c>
    </row>
    <row r="267" ht="15" customHeight="1" s="50">
      <c r="A267" s="86" t="n"/>
      <c r="B267" s="84" t="n"/>
      <c r="C267" s="89" t="n"/>
      <c r="D267" s="84" t="n"/>
      <c r="E267" s="84" t="n"/>
      <c r="F267" s="86" t="n"/>
      <c r="G267" s="86" t="n"/>
      <c r="H267" s="86" t="n"/>
      <c r="I267" s="84" t="n"/>
      <c r="J267" s="86" t="n"/>
      <c r="K267" s="86" t="n"/>
      <c r="L267" s="84" t="n"/>
      <c r="P267" s="53" t="inlineStr">
        <is>
          <t>unmapped / to verify</t>
        </is>
      </c>
      <c r="Q267" s="53" t="inlineStr">
        <is>
          <t>unspecified</t>
        </is>
      </c>
      <c r="R267" s="53" t="inlineStr">
        <is>
          <t>https://github.com/bootstrapprx/kodoo/tree/main/modules</t>
        </is>
      </c>
      <c r="S267" s="53" t="inlineStr">
        <is>
          <t>Proposed classification; validate against code</t>
        </is>
      </c>
    </row>
    <row r="268" ht="15" customHeight="1" s="50">
      <c r="A268" s="86" t="n"/>
      <c r="B268" s="84" t="n"/>
      <c r="C268" s="89" t="n"/>
      <c r="D268" s="84" t="n"/>
      <c r="E268" s="84" t="n"/>
      <c r="F268" s="86" t="n"/>
      <c r="G268" s="86" t="n"/>
      <c r="H268" s="86" t="n"/>
      <c r="I268" s="84" t="n"/>
      <c r="J268" s="86" t="n"/>
      <c r="K268" s="86" t="n"/>
      <c r="L268" s="84" t="n"/>
      <c r="P268" s="53" t="inlineStr">
        <is>
          <t>unmapped / to verify</t>
        </is>
      </c>
      <c r="Q268" s="53" t="inlineStr">
        <is>
          <t>unspecified</t>
        </is>
      </c>
      <c r="R268" s="53" t="inlineStr">
        <is>
          <t>https://github.com/bootstrapprx/kodoo/tree/main/modules</t>
        </is>
      </c>
      <c r="S268" s="53" t="inlineStr">
        <is>
          <t>Proposed classification; validate against code</t>
        </is>
      </c>
    </row>
    <row r="269" ht="15" customHeight="1" s="50">
      <c r="A269" s="86" t="n"/>
      <c r="B269" s="84" t="n"/>
      <c r="C269" s="89" t="n"/>
      <c r="D269" s="84" t="n"/>
      <c r="E269" s="84" t="n"/>
      <c r="F269" s="86" t="n"/>
      <c r="G269" s="86" t="n"/>
      <c r="H269" s="86" t="n"/>
      <c r="I269" s="84" t="n"/>
      <c r="J269" s="86" t="n"/>
      <c r="K269" s="86" t="n"/>
      <c r="L269" s="84" t="n"/>
      <c r="P269" s="53" t="inlineStr">
        <is>
          <t>unmapped / to verify</t>
        </is>
      </c>
      <c r="Q269" s="53" t="inlineStr">
        <is>
          <t>unspecified</t>
        </is>
      </c>
      <c r="R269" s="53" t="inlineStr">
        <is>
          <t>https://github.com/bootstrapprx/kodoo/tree/main/modules</t>
        </is>
      </c>
      <c r="S269" s="53" t="inlineStr">
        <is>
          <t>Proposed classification; validate against code</t>
        </is>
      </c>
    </row>
    <row r="270" ht="15" customHeight="1" s="50">
      <c r="A270" s="86" t="n"/>
      <c r="B270" s="84" t="n"/>
      <c r="C270" s="89" t="n"/>
      <c r="D270" s="84" t="n"/>
      <c r="E270" s="84" t="n"/>
      <c r="F270" s="86" t="n"/>
      <c r="G270" s="86" t="n"/>
      <c r="H270" s="86" t="n"/>
      <c r="I270" s="84" t="n"/>
      <c r="J270" s="86" t="n"/>
      <c r="K270" s="86" t="n"/>
      <c r="L270" s="84" t="n"/>
      <c r="P270" s="53" t="inlineStr">
        <is>
          <t>unmapped / to verify</t>
        </is>
      </c>
      <c r="Q270" s="53" t="inlineStr">
        <is>
          <t>unspecified</t>
        </is>
      </c>
      <c r="R270" s="53" t="inlineStr">
        <is>
          <t>https://github.com/bootstrapprx/kodoo/tree/main/modules</t>
        </is>
      </c>
      <c r="S270" s="53" t="inlineStr">
        <is>
          <t>Proposed classification; validate against code</t>
        </is>
      </c>
    </row>
    <row r="271" ht="15" customHeight="1" s="50">
      <c r="A271" s="86" t="n"/>
      <c r="B271" s="84" t="n"/>
      <c r="C271" s="89" t="n"/>
      <c r="D271" s="84" t="n"/>
      <c r="E271" s="84" t="n"/>
      <c r="F271" s="86" t="n"/>
      <c r="G271" s="86" t="n"/>
      <c r="H271" s="86" t="n"/>
      <c r="I271" s="84" t="n"/>
      <c r="J271" s="86" t="n"/>
      <c r="K271" s="86" t="n"/>
      <c r="L271" s="84" t="n"/>
      <c r="P271" s="53" t="inlineStr">
        <is>
          <t>unmapped / to verify</t>
        </is>
      </c>
      <c r="Q271" s="53" t="inlineStr">
        <is>
          <t>unspecified</t>
        </is>
      </c>
      <c r="R271" s="53" t="inlineStr">
        <is>
          <t>https://github.com/bootstrapprx/kodoo/tree/main/modules</t>
        </is>
      </c>
      <c r="S271" s="53" t="inlineStr">
        <is>
          <t>Proposed classification; validate against code</t>
        </is>
      </c>
    </row>
    <row r="272" ht="15" customHeight="1" s="50">
      <c r="A272" s="86" t="n"/>
      <c r="B272" s="84" t="n"/>
      <c r="C272" s="89" t="n"/>
      <c r="D272" s="84" t="n"/>
      <c r="E272" s="84" t="n"/>
      <c r="F272" s="86" t="n"/>
      <c r="G272" s="86" t="n"/>
      <c r="H272" s="86" t="n"/>
      <c r="I272" s="84" t="n"/>
      <c r="J272" s="86" t="n"/>
      <c r="K272" s="86" t="n"/>
      <c r="L272" s="84" t="n"/>
      <c r="P272" s="53" t="inlineStr">
        <is>
          <t>unmapped / to verify</t>
        </is>
      </c>
      <c r="Q272" s="53" t="inlineStr">
        <is>
          <t>unspecified</t>
        </is>
      </c>
      <c r="R272" s="53" t="inlineStr">
        <is>
          <t>https://github.com/bootstrapprx/kodoo/tree/main/modules</t>
        </is>
      </c>
      <c r="S272" s="53" t="inlineStr">
        <is>
          <t>Proposed classification; validate against code</t>
        </is>
      </c>
    </row>
    <row r="273" ht="15" customHeight="1" s="50">
      <c r="A273" s="86" t="n"/>
      <c r="B273" s="84" t="n"/>
      <c r="C273" s="89" t="n"/>
      <c r="D273" s="84" t="n"/>
      <c r="E273" s="84" t="n"/>
      <c r="F273" s="86" t="n"/>
      <c r="G273" s="86" t="n"/>
      <c r="H273" s="86" t="n"/>
      <c r="I273" s="84" t="n"/>
      <c r="J273" s="86" t="n"/>
      <c r="K273" s="86" t="n"/>
      <c r="L273" s="84" t="n"/>
      <c r="P273" s="53" t="inlineStr">
        <is>
          <t>unmapped / to verify</t>
        </is>
      </c>
      <c r="Q273" s="53" t="inlineStr">
        <is>
          <t>unspecified</t>
        </is>
      </c>
      <c r="R273" s="53" t="inlineStr">
        <is>
          <t>https://github.com/bootstrapprx/kodoo/tree/main/modules</t>
        </is>
      </c>
      <c r="S273" s="53" t="inlineStr">
        <is>
          <t>Proposed classification; validate against code</t>
        </is>
      </c>
    </row>
    <row r="274" ht="15" customHeight="1" s="50">
      <c r="A274" s="86" t="n"/>
      <c r="B274" s="84" t="n"/>
      <c r="C274" s="89" t="n"/>
      <c r="D274" s="84" t="n"/>
      <c r="E274" s="84" t="n"/>
      <c r="F274" s="86" t="n"/>
      <c r="G274" s="86" t="n"/>
      <c r="H274" s="86" t="n"/>
      <c r="I274" s="84" t="n"/>
      <c r="J274" s="86" t="n"/>
      <c r="K274" s="86" t="n"/>
      <c r="L274" s="84" t="n"/>
      <c r="P274" s="53" t="inlineStr">
        <is>
          <t>unmapped / to verify</t>
        </is>
      </c>
      <c r="Q274" s="53" t="inlineStr">
        <is>
          <t>unspecified</t>
        </is>
      </c>
      <c r="R274" s="53" t="inlineStr">
        <is>
          <t>https://github.com/bootstrapprx/kodoo/tree/main/modules</t>
        </is>
      </c>
      <c r="S274" s="53" t="inlineStr">
        <is>
          <t>Proposed classification; validate against code</t>
        </is>
      </c>
    </row>
    <row r="275" ht="15" customHeight="1" s="50">
      <c r="A275" s="86" t="n"/>
      <c r="B275" s="84" t="n"/>
      <c r="C275" s="89" t="n"/>
      <c r="D275" s="84" t="n"/>
      <c r="E275" s="84" t="n"/>
      <c r="F275" s="86" t="n"/>
      <c r="G275" s="86" t="n"/>
      <c r="H275" s="86" t="n"/>
      <c r="I275" s="84" t="n"/>
      <c r="J275" s="86" t="n"/>
      <c r="K275" s="86" t="n"/>
      <c r="L275" s="84" t="n"/>
      <c r="P275" s="53" t="inlineStr">
        <is>
          <t>unmapped / to verify</t>
        </is>
      </c>
      <c r="Q275" s="53" t="inlineStr">
        <is>
          <t>unspecified</t>
        </is>
      </c>
      <c r="R275" s="53" t="inlineStr">
        <is>
          <t>https://github.com/bootstrapprx/kodoo/tree/main/modules</t>
        </is>
      </c>
      <c r="S275" s="53" t="inlineStr">
        <is>
          <t>Proposed classification; validate against code</t>
        </is>
      </c>
    </row>
    <row r="276" ht="15" customHeight="1" s="50">
      <c r="A276" s="86" t="n"/>
      <c r="B276" s="84" t="n"/>
      <c r="C276" s="89" t="n"/>
      <c r="D276" s="84" t="n"/>
      <c r="E276" s="84" t="n"/>
      <c r="F276" s="86" t="n"/>
      <c r="G276" s="86" t="n"/>
      <c r="H276" s="86" t="n"/>
      <c r="I276" s="84" t="n"/>
      <c r="J276" s="86" t="n"/>
      <c r="K276" s="86" t="n"/>
      <c r="L276" s="84" t="n"/>
      <c r="P276" s="53" t="inlineStr">
        <is>
          <t>unmapped / to verify</t>
        </is>
      </c>
      <c r="Q276" s="53" t="inlineStr">
        <is>
          <t>unspecified</t>
        </is>
      </c>
      <c r="R276" s="53" t="inlineStr">
        <is>
          <t>https://github.com/bootstrapprx/kodoo/tree/main/modules</t>
        </is>
      </c>
      <c r="S276" s="53" t="inlineStr">
        <is>
          <t>Proposed classification; validate against code</t>
        </is>
      </c>
    </row>
    <row r="277" ht="15" customHeight="1" s="50">
      <c r="A277" s="86" t="n"/>
      <c r="B277" s="84" t="n"/>
      <c r="C277" s="89" t="n"/>
      <c r="D277" s="84" t="n"/>
      <c r="E277" s="84" t="n"/>
      <c r="F277" s="86" t="n"/>
      <c r="G277" s="86" t="n"/>
      <c r="H277" s="86" t="n"/>
      <c r="I277" s="84" t="n"/>
      <c r="J277" s="86" t="n"/>
      <c r="K277" s="86" t="n"/>
      <c r="L277" s="84" t="n"/>
      <c r="P277" s="53" t="inlineStr">
        <is>
          <t>unmapped / to verify</t>
        </is>
      </c>
      <c r="Q277" s="53" t="inlineStr">
        <is>
          <t>unspecified</t>
        </is>
      </c>
      <c r="R277" s="53" t="inlineStr">
        <is>
          <t>https://github.com/bootstrapprx/kodoo/tree/main/modules</t>
        </is>
      </c>
      <c r="S277" s="53" t="inlineStr">
        <is>
          <t>Proposed classification; validate against code</t>
        </is>
      </c>
    </row>
    <row r="278" ht="15" customHeight="1" s="50">
      <c r="A278" s="86" t="n"/>
      <c r="B278" s="84" t="n"/>
      <c r="C278" s="89" t="n"/>
      <c r="D278" s="84" t="n"/>
      <c r="E278" s="84" t="n"/>
      <c r="F278" s="86" t="n"/>
      <c r="G278" s="86" t="n"/>
      <c r="H278" s="86" t="n"/>
      <c r="I278" s="84" t="n"/>
      <c r="J278" s="86" t="n"/>
      <c r="K278" s="86" t="n"/>
      <c r="L278" s="84" t="n"/>
      <c r="P278" s="53" t="inlineStr">
        <is>
          <t>unmapped / to verify</t>
        </is>
      </c>
      <c r="Q278" s="53" t="inlineStr">
        <is>
          <t>unspecified</t>
        </is>
      </c>
      <c r="R278" s="53" t="inlineStr">
        <is>
          <t>https://github.com/bootstrapprx/kodoo/tree/main/modules</t>
        </is>
      </c>
      <c r="S278" s="53" t="inlineStr">
        <is>
          <t>Proposed classification; validate against code</t>
        </is>
      </c>
    </row>
    <row r="279" ht="15" customHeight="1" s="50">
      <c r="A279" s="86" t="n"/>
      <c r="B279" s="84" t="n"/>
      <c r="C279" s="89" t="n"/>
      <c r="D279" s="84" t="n"/>
      <c r="E279" s="84" t="n"/>
      <c r="F279" s="86" t="n"/>
      <c r="G279" s="86" t="n"/>
      <c r="H279" s="86" t="n"/>
      <c r="I279" s="84" t="n"/>
      <c r="J279" s="86" t="n"/>
      <c r="K279" s="86" t="n"/>
      <c r="L279" s="84" t="n"/>
      <c r="P279" s="53" t="inlineStr">
        <is>
          <t>unmapped / to verify</t>
        </is>
      </c>
      <c r="Q279" s="53" t="inlineStr">
        <is>
          <t>unspecified</t>
        </is>
      </c>
      <c r="R279" s="53" t="inlineStr">
        <is>
          <t>https://github.com/bootstrapprx/kodoo/tree/main/modules</t>
        </is>
      </c>
      <c r="S279" s="53" t="inlineStr">
        <is>
          <t>Proposed classification; validate against code</t>
        </is>
      </c>
    </row>
    <row r="280" ht="15" customHeight="1" s="50">
      <c r="A280" s="86" t="n"/>
      <c r="B280" s="84" t="n"/>
      <c r="C280" s="89" t="n"/>
      <c r="D280" s="84" t="n"/>
      <c r="E280" s="84" t="n"/>
      <c r="F280" s="86" t="n"/>
      <c r="G280" s="86" t="n"/>
      <c r="H280" s="86" t="n"/>
      <c r="I280" s="84" t="n"/>
      <c r="J280" s="86" t="n"/>
      <c r="K280" s="86" t="n"/>
      <c r="L280" s="84" t="n"/>
      <c r="P280" s="53" t="inlineStr">
        <is>
          <t>unmapped / to verify</t>
        </is>
      </c>
      <c r="Q280" s="53" t="inlineStr">
        <is>
          <t>unspecified</t>
        </is>
      </c>
      <c r="R280" s="53" t="inlineStr">
        <is>
          <t>https://github.com/bootstrapprx/kodoo/tree/main/modules</t>
        </is>
      </c>
      <c r="S280" s="53" t="inlineStr">
        <is>
          <t>Proposed classification; validate against code</t>
        </is>
      </c>
    </row>
    <row r="281" ht="15" customHeight="1" s="50">
      <c r="A281" s="86" t="n"/>
      <c r="B281" s="84" t="n"/>
      <c r="C281" s="89" t="n"/>
      <c r="D281" s="84" t="n"/>
      <c r="E281" s="84" t="n"/>
      <c r="F281" s="86" t="n"/>
      <c r="G281" s="86" t="n"/>
      <c r="H281" s="86" t="n"/>
      <c r="I281" s="84" t="n"/>
      <c r="J281" s="86" t="n"/>
      <c r="K281" s="86" t="n"/>
      <c r="L281" s="84" t="n"/>
      <c r="P281" s="53" t="inlineStr">
        <is>
          <t>unmapped / to verify</t>
        </is>
      </c>
      <c r="Q281" s="53" t="inlineStr">
        <is>
          <t>unspecified</t>
        </is>
      </c>
      <c r="R281" s="53" t="inlineStr">
        <is>
          <t>https://github.com/bootstrapprx/kodoo/tree/main/modules</t>
        </is>
      </c>
      <c r="S281" s="53" t="inlineStr">
        <is>
          <t>Proposed classification; validate against code</t>
        </is>
      </c>
    </row>
    <row r="282" ht="15" customHeight="1" s="50">
      <c r="A282" s="86" t="n"/>
      <c r="B282" s="84" t="n"/>
      <c r="C282" s="89" t="n"/>
      <c r="D282" s="84" t="n"/>
      <c r="E282" s="84" t="n"/>
      <c r="F282" s="86" t="n"/>
      <c r="G282" s="86" t="n"/>
      <c r="H282" s="86" t="n"/>
      <c r="I282" s="84" t="n"/>
      <c r="J282" s="86" t="n"/>
      <c r="K282" s="86" t="n"/>
      <c r="L282" s="84" t="n"/>
      <c r="P282" s="53" t="inlineStr">
        <is>
          <t>unmapped / to verify</t>
        </is>
      </c>
      <c r="Q282" s="53" t="inlineStr">
        <is>
          <t>unspecified</t>
        </is>
      </c>
      <c r="R282" s="53" t="inlineStr">
        <is>
          <t>https://github.com/bootstrapprx/kodoo/tree/main/modules</t>
        </is>
      </c>
      <c r="S282" s="53" t="inlineStr">
        <is>
          <t>Proposed classification; validate against code</t>
        </is>
      </c>
    </row>
    <row r="283" ht="15" customHeight="1" s="50">
      <c r="A283" s="86" t="n"/>
      <c r="B283" s="84" t="n"/>
      <c r="C283" s="89" t="n"/>
      <c r="D283" s="84" t="n"/>
      <c r="E283" s="84" t="n"/>
      <c r="F283" s="86" t="n"/>
      <c r="G283" s="86" t="n"/>
      <c r="H283" s="86" t="n"/>
      <c r="I283" s="84" t="n"/>
      <c r="J283" s="86" t="n"/>
      <c r="K283" s="86" t="n"/>
      <c r="L283" s="84" t="n"/>
      <c r="P283" s="53" t="inlineStr">
        <is>
          <t>unmapped / to verify</t>
        </is>
      </c>
      <c r="Q283" s="53" t="inlineStr">
        <is>
          <t>unspecified</t>
        </is>
      </c>
      <c r="R283" s="53" t="inlineStr">
        <is>
          <t>https://github.com/bootstrapprx/kodoo/tree/main/modules</t>
        </is>
      </c>
      <c r="S283" s="53" t="inlineStr">
        <is>
          <t>Proposed classification; validate against code</t>
        </is>
      </c>
    </row>
    <row r="284" ht="15" customHeight="1" s="50">
      <c r="A284" s="86" t="n"/>
      <c r="B284" s="84" t="n"/>
      <c r="C284" s="89" t="n"/>
      <c r="D284" s="84" t="n"/>
      <c r="E284" s="84" t="n"/>
      <c r="F284" s="86" t="n"/>
      <c r="G284" s="86" t="n"/>
      <c r="H284" s="86" t="n"/>
      <c r="I284" s="84" t="n"/>
      <c r="J284" s="86" t="n"/>
      <c r="K284" s="86" t="n"/>
      <c r="L284" s="84" t="n"/>
      <c r="P284" s="53" t="inlineStr">
        <is>
          <t>unmapped / to verify</t>
        </is>
      </c>
      <c r="Q284" s="53" t="inlineStr">
        <is>
          <t>unspecified</t>
        </is>
      </c>
      <c r="R284" s="53" t="inlineStr">
        <is>
          <t>https://github.com/bootstrapprx/kodoo/tree/main/modules</t>
        </is>
      </c>
      <c r="S284" s="53" t="inlineStr">
        <is>
          <t>Proposed classification; validate against code</t>
        </is>
      </c>
    </row>
    <row r="285" ht="15" customHeight="1" s="50">
      <c r="A285" s="86" t="n"/>
      <c r="B285" s="84" t="n"/>
      <c r="C285" s="89" t="n"/>
      <c r="D285" s="84" t="n"/>
      <c r="E285" s="84" t="n"/>
      <c r="F285" s="86" t="n"/>
      <c r="G285" s="86" t="n"/>
      <c r="H285" s="86" t="n"/>
      <c r="I285" s="84" t="n"/>
      <c r="J285" s="86" t="n"/>
      <c r="K285" s="86" t="n"/>
      <c r="L285" s="84" t="n"/>
      <c r="P285" s="53" t="inlineStr">
        <is>
          <t>unmapped / to verify</t>
        </is>
      </c>
      <c r="Q285" s="53" t="inlineStr">
        <is>
          <t>unspecified</t>
        </is>
      </c>
      <c r="R285" s="53" t="inlineStr">
        <is>
          <t>https://github.com/bootstrapprx/kodoo/tree/main/modules</t>
        </is>
      </c>
      <c r="S285" s="53" t="inlineStr">
        <is>
          <t>Proposed classification; validate against code</t>
        </is>
      </c>
    </row>
    <row r="286" ht="15" customHeight="1" s="50">
      <c r="A286" s="86" t="n"/>
      <c r="B286" s="84" t="n"/>
      <c r="C286" s="89" t="n"/>
      <c r="D286" s="84" t="n"/>
      <c r="E286" s="84" t="n"/>
      <c r="F286" s="86" t="n"/>
      <c r="G286" s="86" t="n"/>
      <c r="H286" s="86" t="n"/>
      <c r="I286" s="84" t="n"/>
      <c r="J286" s="86" t="n"/>
      <c r="K286" s="86" t="n"/>
      <c r="L286" s="84" t="n"/>
      <c r="P286" s="53" t="inlineStr">
        <is>
          <t>unmapped / to verify</t>
        </is>
      </c>
      <c r="Q286" s="53" t="inlineStr">
        <is>
          <t>unspecified</t>
        </is>
      </c>
      <c r="R286" s="53" t="inlineStr">
        <is>
          <t>https://github.com/bootstrapprx/kodoo/tree/main/modules</t>
        </is>
      </c>
      <c r="S286" s="53" t="inlineStr">
        <is>
          <t>Proposed classification; validate against code</t>
        </is>
      </c>
    </row>
    <row r="287" ht="15" customHeight="1" s="50">
      <c r="A287" s="86" t="n"/>
      <c r="B287" s="84" t="n"/>
      <c r="C287" s="89" t="n"/>
      <c r="D287" s="84" t="n"/>
      <c r="E287" s="84" t="n"/>
      <c r="F287" s="86" t="n"/>
      <c r="G287" s="86" t="n"/>
      <c r="H287" s="86" t="n"/>
      <c r="I287" s="84" t="n"/>
      <c r="J287" s="86" t="n"/>
      <c r="K287" s="86" t="n"/>
      <c r="L287" s="84" t="n"/>
      <c r="P287" s="53" t="inlineStr">
        <is>
          <t>unmapped / to verify</t>
        </is>
      </c>
      <c r="Q287" s="53" t="inlineStr">
        <is>
          <t>unspecified</t>
        </is>
      </c>
      <c r="R287" s="53" t="inlineStr">
        <is>
          <t>https://github.com/bootstrapprx/kodoo/tree/main/modules</t>
        </is>
      </c>
      <c r="S287" s="53" t="inlineStr">
        <is>
          <t>Proposed classification; validate against code</t>
        </is>
      </c>
    </row>
    <row r="288" ht="15" customHeight="1" s="50">
      <c r="A288" s="86" t="n"/>
      <c r="B288" s="84" t="n"/>
      <c r="C288" s="89" t="n"/>
      <c r="D288" s="84" t="n"/>
      <c r="E288" s="84" t="n"/>
      <c r="F288" s="86" t="n"/>
      <c r="G288" s="86" t="n"/>
      <c r="H288" s="86" t="n"/>
      <c r="I288" s="84" t="n"/>
      <c r="J288" s="86" t="n"/>
      <c r="K288" s="86" t="n"/>
      <c r="L288" s="84" t="n"/>
      <c r="P288" s="53" t="inlineStr">
        <is>
          <t>unmapped / to verify</t>
        </is>
      </c>
      <c r="Q288" s="53" t="inlineStr">
        <is>
          <t>unspecified</t>
        </is>
      </c>
      <c r="R288" s="53" t="inlineStr">
        <is>
          <t>https://github.com/bootstrapprx/kodoo/tree/main/modules</t>
        </is>
      </c>
      <c r="S288" s="53" t="inlineStr">
        <is>
          <t>Proposed classification; validate against code</t>
        </is>
      </c>
    </row>
    <row r="289" ht="15" customHeight="1" s="50">
      <c r="A289" s="86" t="n"/>
      <c r="B289" s="84" t="n"/>
      <c r="C289" s="89" t="n"/>
      <c r="D289" s="84" t="n"/>
      <c r="E289" s="84" t="n"/>
      <c r="F289" s="86" t="n"/>
      <c r="G289" s="86" t="n"/>
      <c r="H289" s="86" t="n"/>
      <c r="I289" s="84" t="n"/>
      <c r="J289" s="86" t="n"/>
      <c r="K289" s="86" t="n"/>
      <c r="L289" s="84" t="n"/>
      <c r="P289" s="53" t="inlineStr">
        <is>
          <t>unmapped / to verify</t>
        </is>
      </c>
      <c r="Q289" s="53" t="inlineStr">
        <is>
          <t>unspecified</t>
        </is>
      </c>
      <c r="R289" s="53" t="inlineStr">
        <is>
          <t>https://github.com/bootstrapprx/kodoo/tree/main/modules</t>
        </is>
      </c>
      <c r="S289" s="53" t="inlineStr">
        <is>
          <t>Proposed classification; validate against code</t>
        </is>
      </c>
    </row>
    <row r="290" ht="15" customHeight="1" s="50">
      <c r="A290" s="86" t="n"/>
      <c r="B290" s="84" t="n"/>
      <c r="C290" s="89" t="n"/>
      <c r="D290" s="84" t="n"/>
      <c r="E290" s="84" t="n"/>
      <c r="F290" s="86" t="n"/>
      <c r="G290" s="86" t="n"/>
      <c r="H290" s="86" t="n"/>
      <c r="I290" s="84" t="n"/>
      <c r="J290" s="86" t="n"/>
      <c r="K290" s="86" t="n"/>
      <c r="L290" s="84" t="n"/>
      <c r="P290" s="53" t="inlineStr">
        <is>
          <t>unmapped / to verify</t>
        </is>
      </c>
      <c r="Q290" s="53" t="inlineStr">
        <is>
          <t>unspecified</t>
        </is>
      </c>
      <c r="R290" s="53" t="inlineStr">
        <is>
          <t>https://github.com/bootstrapprx/kodoo/tree/main/modules</t>
        </is>
      </c>
      <c r="S290" s="53" t="inlineStr">
        <is>
          <t>Proposed classification; validate against code</t>
        </is>
      </c>
    </row>
    <row r="291" ht="15" customHeight="1" s="50">
      <c r="A291" s="86" t="n"/>
      <c r="B291" s="84" t="n"/>
      <c r="C291" s="89" t="n"/>
      <c r="D291" s="84" t="n"/>
      <c r="E291" s="84" t="n"/>
      <c r="F291" s="86" t="n"/>
      <c r="G291" s="86" t="n"/>
      <c r="H291" s="86" t="n"/>
      <c r="I291" s="84" t="n"/>
      <c r="J291" s="86" t="n"/>
      <c r="K291" s="86" t="n"/>
      <c r="L291" s="84" t="n"/>
      <c r="P291" s="53" t="inlineStr">
        <is>
          <t>unmapped / to verify</t>
        </is>
      </c>
      <c r="Q291" s="53" t="inlineStr">
        <is>
          <t>unspecified</t>
        </is>
      </c>
      <c r="R291" s="53" t="inlineStr">
        <is>
          <t>https://github.com/bootstrapprx/kodoo/tree/main/modules</t>
        </is>
      </c>
      <c r="S291" s="53" t="inlineStr">
        <is>
          <t>Proposed classification; validate against code</t>
        </is>
      </c>
    </row>
    <row r="292" ht="15" customHeight="1" s="50">
      <c r="A292" s="86" t="n"/>
      <c r="B292" s="84" t="n"/>
      <c r="C292" s="89" t="n"/>
      <c r="D292" s="84" t="n"/>
      <c r="E292" s="84" t="n"/>
      <c r="F292" s="86" t="n"/>
      <c r="G292" s="86" t="n"/>
      <c r="H292" s="86" t="n"/>
      <c r="I292" s="84" t="n"/>
      <c r="J292" s="86" t="n"/>
      <c r="K292" s="86" t="n"/>
      <c r="L292" s="84" t="n"/>
      <c r="P292" s="53" t="inlineStr">
        <is>
          <t>unmapped / to verify</t>
        </is>
      </c>
      <c r="Q292" s="53" t="inlineStr">
        <is>
          <t>unspecified</t>
        </is>
      </c>
      <c r="R292" s="53" t="inlineStr">
        <is>
          <t>https://github.com/bootstrapprx/kodoo/tree/main/modules</t>
        </is>
      </c>
      <c r="S292" s="53" t="inlineStr">
        <is>
          <t>Proposed classification; validate against code</t>
        </is>
      </c>
    </row>
    <row r="293" ht="15" customHeight="1" s="50">
      <c r="A293" s="86" t="n"/>
      <c r="B293" s="84" t="n"/>
      <c r="C293" s="89" t="n"/>
      <c r="D293" s="84" t="n"/>
      <c r="E293" s="84" t="n"/>
      <c r="F293" s="86" t="n"/>
      <c r="G293" s="86" t="n"/>
      <c r="H293" s="86" t="n"/>
      <c r="I293" s="84" t="n"/>
      <c r="J293" s="86" t="n"/>
      <c r="K293" s="86" t="n"/>
      <c r="L293" s="84" t="n"/>
      <c r="P293" s="53" t="inlineStr">
        <is>
          <t>unmapped / to verify</t>
        </is>
      </c>
      <c r="Q293" s="53" t="inlineStr">
        <is>
          <t>unspecified</t>
        </is>
      </c>
      <c r="R293" s="53" t="inlineStr">
        <is>
          <t>https://github.com/bootstrapprx/kodoo/tree/main/modules</t>
        </is>
      </c>
      <c r="S293" s="53" t="inlineStr">
        <is>
          <t>Proposed classification; validate against code</t>
        </is>
      </c>
    </row>
    <row r="294" ht="15" customHeight="1" s="50">
      <c r="A294" s="86" t="n"/>
      <c r="B294" s="84" t="n"/>
      <c r="C294" s="89" t="n"/>
      <c r="D294" s="84" t="n"/>
      <c r="E294" s="84" t="n"/>
      <c r="F294" s="86" t="n"/>
      <c r="G294" s="86" t="n"/>
      <c r="H294" s="86" t="n"/>
      <c r="I294" s="84" t="n"/>
      <c r="J294" s="86" t="n"/>
      <c r="K294" s="86" t="n"/>
      <c r="L294" s="84" t="n"/>
      <c r="P294" s="53" t="inlineStr">
        <is>
          <t>unmapped / to verify</t>
        </is>
      </c>
      <c r="Q294" s="53" t="inlineStr">
        <is>
          <t>unspecified</t>
        </is>
      </c>
      <c r="R294" s="53" t="inlineStr">
        <is>
          <t>https://github.com/bootstrapprx/kodoo/tree/main/modules</t>
        </is>
      </c>
      <c r="S294" s="53" t="inlineStr">
        <is>
          <t>Proposed classification; validate against code</t>
        </is>
      </c>
    </row>
    <row r="295" ht="15" customHeight="1" s="50">
      <c r="A295" s="86" t="n"/>
      <c r="B295" s="84" t="n"/>
      <c r="C295" s="89" t="n"/>
      <c r="D295" s="84" t="n"/>
      <c r="E295" s="84" t="n"/>
      <c r="F295" s="86" t="n"/>
      <c r="G295" s="86" t="n"/>
      <c r="H295" s="86" t="n"/>
      <c r="I295" s="84" t="n"/>
      <c r="J295" s="86" t="n"/>
      <c r="K295" s="86" t="n"/>
      <c r="L295" s="84" t="n"/>
      <c r="P295" s="53" t="inlineStr">
        <is>
          <t>unmapped / to verify</t>
        </is>
      </c>
      <c r="Q295" s="53" t="inlineStr">
        <is>
          <t>unspecified</t>
        </is>
      </c>
      <c r="R295" s="53" t="inlineStr">
        <is>
          <t>https://github.com/bootstrapprx/kodoo/tree/main/modules</t>
        </is>
      </c>
      <c r="S295" s="53" t="inlineStr">
        <is>
          <t>Proposed classification; validate against code</t>
        </is>
      </c>
    </row>
    <row r="296" ht="15" customHeight="1" s="50">
      <c r="A296" s="86" t="n"/>
      <c r="B296" s="84" t="n"/>
      <c r="C296" s="89" t="n"/>
      <c r="D296" s="84" t="n"/>
      <c r="E296" s="84" t="n"/>
      <c r="F296" s="86" t="n"/>
      <c r="G296" s="86" t="n"/>
      <c r="H296" s="86" t="n"/>
      <c r="I296" s="84" t="n"/>
      <c r="J296" s="86" t="n"/>
      <c r="K296" s="86" t="n"/>
      <c r="L296" s="84" t="n"/>
      <c r="P296" s="53" t="inlineStr">
        <is>
          <t>unmapped / to verify</t>
        </is>
      </c>
      <c r="Q296" s="53" t="inlineStr">
        <is>
          <t>unspecified</t>
        </is>
      </c>
      <c r="R296" s="53" t="inlineStr">
        <is>
          <t>https://github.com/bootstrapprx/kodoo/tree/main/modules</t>
        </is>
      </c>
      <c r="S296" s="53" t="inlineStr">
        <is>
          <t>Proposed classification; validate against code</t>
        </is>
      </c>
    </row>
    <row r="297" ht="15" customHeight="1" s="50">
      <c r="A297" s="86" t="n"/>
      <c r="B297" s="84" t="n"/>
      <c r="C297" s="89" t="n"/>
      <c r="D297" s="84" t="n"/>
      <c r="E297" s="84" t="n"/>
      <c r="F297" s="86" t="n"/>
      <c r="G297" s="86" t="n"/>
      <c r="H297" s="86" t="n"/>
      <c r="I297" s="84" t="n"/>
      <c r="J297" s="86" t="n"/>
      <c r="K297" s="86" t="n"/>
      <c r="L297" s="84" t="n"/>
      <c r="P297" s="53" t="inlineStr">
        <is>
          <t>unmapped / to verify</t>
        </is>
      </c>
      <c r="Q297" s="53" t="inlineStr">
        <is>
          <t>unspecified</t>
        </is>
      </c>
      <c r="R297" s="53" t="inlineStr">
        <is>
          <t>https://github.com/bootstrapprx/kodoo/tree/main/modules</t>
        </is>
      </c>
      <c r="S297" s="53" t="inlineStr">
        <is>
          <t>Proposed classification; validate against code</t>
        </is>
      </c>
    </row>
    <row r="298" ht="15" customHeight="1" s="50">
      <c r="A298" s="86" t="n"/>
      <c r="B298" s="84" t="n"/>
      <c r="C298" s="89" t="n"/>
      <c r="D298" s="84" t="n"/>
      <c r="E298" s="84" t="n"/>
      <c r="F298" s="86" t="n"/>
      <c r="G298" s="86" t="n"/>
      <c r="H298" s="86" t="n"/>
      <c r="I298" s="84" t="n"/>
      <c r="J298" s="86" t="n"/>
      <c r="K298" s="86" t="n"/>
      <c r="L298" s="84" t="n"/>
      <c r="P298" s="53" t="inlineStr">
        <is>
          <t>unmapped / to verify</t>
        </is>
      </c>
      <c r="Q298" s="53" t="inlineStr">
        <is>
          <t>unspecified</t>
        </is>
      </c>
      <c r="R298" s="53" t="inlineStr">
        <is>
          <t>https://github.com/bootstrapprx/kodoo/tree/main/modules</t>
        </is>
      </c>
      <c r="S298" s="53" t="inlineStr">
        <is>
          <t>Proposed classification; validate against code</t>
        </is>
      </c>
    </row>
    <row r="299" ht="15" customHeight="1" s="50">
      <c r="A299" s="86" t="n"/>
      <c r="B299" s="84" t="n"/>
      <c r="C299" s="89" t="n"/>
      <c r="D299" s="84" t="n"/>
      <c r="E299" s="84" t="n"/>
      <c r="F299" s="86" t="n"/>
      <c r="G299" s="86" t="n"/>
      <c r="H299" s="86" t="n"/>
      <c r="I299" s="84" t="n"/>
      <c r="J299" s="86" t="n"/>
      <c r="K299" s="86" t="n"/>
      <c r="L299" s="84" t="n"/>
      <c r="P299" s="53" t="inlineStr">
        <is>
          <t>unmapped / to verify</t>
        </is>
      </c>
      <c r="Q299" s="53" t="inlineStr">
        <is>
          <t>unspecified</t>
        </is>
      </c>
      <c r="R299" s="53" t="inlineStr">
        <is>
          <t>https://github.com/bootstrapprx/kodoo/tree/main/modules</t>
        </is>
      </c>
      <c r="S299" s="53" t="inlineStr">
        <is>
          <t>Proposed classification; validate against code</t>
        </is>
      </c>
    </row>
    <row r="300" ht="15" customHeight="1" s="50">
      <c r="A300" s="86" t="n"/>
      <c r="B300" s="84" t="n"/>
      <c r="C300" s="89" t="n"/>
      <c r="D300" s="84" t="n"/>
      <c r="E300" s="84" t="n"/>
      <c r="F300" s="86" t="n"/>
      <c r="G300" s="86" t="n"/>
      <c r="H300" s="86" t="n"/>
      <c r="I300" s="84" t="n"/>
      <c r="J300" s="86" t="n"/>
      <c r="K300" s="86" t="n"/>
      <c r="L300" s="84" t="n"/>
      <c r="P300" s="53" t="inlineStr">
        <is>
          <t>unmapped / to verify</t>
        </is>
      </c>
      <c r="Q300" s="53" t="inlineStr">
        <is>
          <t>unspecified</t>
        </is>
      </c>
      <c r="R300" s="53" t="inlineStr">
        <is>
          <t>https://github.com/bootstrapprx/kodoo/tree/main/modules</t>
        </is>
      </c>
      <c r="S300" s="53" t="inlineStr">
        <is>
          <t>Proposed classification; validate against code</t>
        </is>
      </c>
    </row>
  </sheetData>
  <autoFilter ref="A4:S300"/>
  <conditionalFormatting sqref="H5:H300">
    <cfRule type="expression" rank="0" priority="2" equalAverage="0" aboveAverage="0" dxfId="22" text="" percent="0" bottom="0">
      <formula>$H5="Existe"</formula>
    </cfRule>
    <cfRule type="expression" rank="0" priority="3" equalAverage="0" aboveAverage="0" dxfId="23" text="" percent="0" bottom="0">
      <formula>$H5="Em andamento"</formula>
    </cfRule>
    <cfRule type="expression" rank="0" priority="4" equalAverage="0" aboveAverage="0" dxfId="24" text="" percent="0" bottom="0">
      <formula>$H5="Descartada"</formula>
    </cfRule>
  </conditionalFormatting>
  <dataValidations count="6">
    <dataValidation sqref="B5:B300" showDropDown="0" showInputMessage="0" showErrorMessage="0" allowBlank="1" type="list" errorStyle="warning" operator="between">
      <formula1>Listas!$A$5:$A$38</formula1>
      <formula2>0</formula2>
    </dataValidation>
    <dataValidation sqref="D5:D300" showDropDown="0" showInputMessage="0" showErrorMessage="0" allowBlank="1" type="list" errorStyle="stop" operator="between">
      <formula1>Listas!$D$5:$D$12</formula1>
      <formula2>0</formula2>
    </dataValidation>
    <dataValidation sqref="F5:F300" showDropDown="0" showInputMessage="0" showErrorMessage="0" allowBlank="1" type="list" errorStyle="stop" operator="between">
      <formula1>Fases!$A$5:$A$14</formula1>
      <formula2>0</formula2>
    </dataValidation>
    <dataValidation sqref="G5:G300" showDropDown="0" showInputMessage="0" showErrorMessage="0" allowBlank="1" type="list" errorStyle="stop" operator="between">
      <formula1>Listas!$C$5:$C$7</formula1>
      <formula2>0</formula2>
    </dataValidation>
    <dataValidation sqref="H5:H300" showDropDown="0" showInputMessage="0" showErrorMessage="0" allowBlank="1" type="list" errorStyle="stop" operator="between">
      <formula1>Listas!$B$5:$B$8</formula1>
      <formula2>0</formula2>
    </dataValidation>
    <dataValidation sqref="J5:K300" showDropDown="0" showInputMessage="0" showErrorMessage="0" allowBlank="1" type="list" errorStyle="stop" operator="between">
      <formula1>Listas!$E$5:$E$8</formula1>
      <formula2>0</formula2>
    </dataValidation>
  </dataValidations>
  <hyperlinks>
    <hyperlink xmlns:r="http://schemas.openxmlformats.org/officeDocument/2006/relationships" ref="R5" display="https://github.com/bootstrapprx/kodoo/tree/main/crates/kodoo-core" r:id="rId1"/>
    <hyperlink xmlns:r="http://schemas.openxmlformats.org/officeDocument/2006/relationships" ref="R6" display="https://github.com/bootstrapprx/kodoo/tree/main/crates/kodoo-core" r:id="rId2"/>
    <hyperlink xmlns:r="http://schemas.openxmlformats.org/officeDocument/2006/relationships" ref="R7" display="https://github.com/bootstrapprx/kodoo/tree/main/crates/kodoo-core" r:id="rId3"/>
    <hyperlink xmlns:r="http://schemas.openxmlformats.org/officeDocument/2006/relationships" ref="R8" display="https://github.com/bootstrapprx/kodoo/tree/main/crates/kodoo-core" r:id="rId4"/>
    <hyperlink xmlns:r="http://schemas.openxmlformats.org/officeDocument/2006/relationships" ref="R9" display="https://github.com/bootstrapprx/kodoo/tree/main/crates/kodoo-core" r:id="rId5"/>
    <hyperlink xmlns:r="http://schemas.openxmlformats.org/officeDocument/2006/relationships" ref="R10" display="https://github.com/bootstrapprx/kodoo/tree/main/crates/kodoo-core" r:id="rId6"/>
    <hyperlink xmlns:r="http://schemas.openxmlformats.org/officeDocument/2006/relationships" ref="R11" display="https://github.com/bootstrapprx/kodoo/tree/main/crates/kodoo-core" r:id="rId7"/>
    <hyperlink xmlns:r="http://schemas.openxmlformats.org/officeDocument/2006/relationships" ref="R12" display="https://github.com/bootstrapprx/kodoo/tree/main/crates/kodoo-core" r:id="rId8"/>
    <hyperlink xmlns:r="http://schemas.openxmlformats.org/officeDocument/2006/relationships" ref="R13" display="https://github.com/bootstrapprx/kodoo/tree/main/crates/kodoo-core" r:id="rId9"/>
    <hyperlink xmlns:r="http://schemas.openxmlformats.org/officeDocument/2006/relationships" ref="R14" display="https://github.com/bootstrapprx/kodoo/tree/main/crates/kodoo-core" r:id="rId10"/>
    <hyperlink xmlns:r="http://schemas.openxmlformats.org/officeDocument/2006/relationships" ref="R15" display="https://github.com/bootstrapprx/kodoo/tree/main/crates/kodoo-core" r:id="rId11"/>
    <hyperlink xmlns:r="http://schemas.openxmlformats.org/officeDocument/2006/relationships" ref="R16" display="https://github.com/bootstrapprx/kodoo/tree/main/crates/kodoo-core" r:id="rId12"/>
    <hyperlink xmlns:r="http://schemas.openxmlformats.org/officeDocument/2006/relationships" ref="R17" display="https://github.com/bootstrapprx/kodoo/tree/main/crates/kodoo-core" r:id="rId13"/>
    <hyperlink xmlns:r="http://schemas.openxmlformats.org/officeDocument/2006/relationships" ref="R18" display="https://github.com/bootstrapprx/kodoo/tree/main/crates/kodoo-core" r:id="rId14"/>
    <hyperlink xmlns:r="http://schemas.openxmlformats.org/officeDocument/2006/relationships" ref="R19" display="https://github.com/bootstrapprx/kodoo/tree/main/crates/kodoo-core" r:id="rId15"/>
    <hyperlink xmlns:r="http://schemas.openxmlformats.org/officeDocument/2006/relationships" ref="R20" display="https://github.com/bootstrapprx/kodoo/tree/main/crates/kodoo-core" r:id="rId16"/>
    <hyperlink xmlns:r="http://schemas.openxmlformats.org/officeDocument/2006/relationships" ref="R21" display="https://github.com/bootstrapprx/kodoo/tree/main/crates/kodoo-core" r:id="rId17"/>
    <hyperlink xmlns:r="http://schemas.openxmlformats.org/officeDocument/2006/relationships" ref="R22" display="https://github.com/bootstrapprx/kodoo/tree/main/crates/kodoo-core" r:id="rId18"/>
    <hyperlink xmlns:r="http://schemas.openxmlformats.org/officeDocument/2006/relationships" ref="R23" display="https://github.com/bootstrapprx/kodoo/tree/main/crates/kodoo-core" r:id="rId19"/>
    <hyperlink xmlns:r="http://schemas.openxmlformats.org/officeDocument/2006/relationships" ref="R24" display="https://github.com/bootstrapprx/kodoo/tree/main/crates/kodoo-core" r:id="rId20"/>
    <hyperlink xmlns:r="http://schemas.openxmlformats.org/officeDocument/2006/relationships" ref="R25" display="https://github.com/bootstrapprx/kodoo/tree/main/crates/kodoo-core" r:id="rId21"/>
    <hyperlink xmlns:r="http://schemas.openxmlformats.org/officeDocument/2006/relationships" ref="R26" display="https://github.com/bootstrapprx/kodoo/tree/main/crates/kodoo-core" r:id="rId22"/>
    <hyperlink xmlns:r="http://schemas.openxmlformats.org/officeDocument/2006/relationships" ref="R27" display="https://github.com/bootstrapprx/kodoo/tree/main/modules/accounting" r:id="rId23"/>
    <hyperlink xmlns:r="http://schemas.openxmlformats.org/officeDocument/2006/relationships" ref="R28" display="https://github.com/bootstrapprx/kodoo/tree/main/modules/accounting" r:id="rId24"/>
    <hyperlink xmlns:r="http://schemas.openxmlformats.org/officeDocument/2006/relationships" ref="R29" display="https://github.com/bootstrapprx/kodoo/tree/main/modules/accounting" r:id="rId25"/>
    <hyperlink xmlns:r="http://schemas.openxmlformats.org/officeDocument/2006/relationships" ref="R30" display="https://github.com/bootstrapprx/kodoo/tree/main/modules/accounting" r:id="rId26"/>
    <hyperlink xmlns:r="http://schemas.openxmlformats.org/officeDocument/2006/relationships" ref="R31" display="https://github.com/bootstrapprx/kodoo/tree/main/modules/accounting" r:id="rId27"/>
    <hyperlink xmlns:r="http://schemas.openxmlformats.org/officeDocument/2006/relationships" ref="R32" display="https://github.com/bootstrapprx/kodoo/tree/main/modules/accounting" r:id="rId28"/>
    <hyperlink xmlns:r="http://schemas.openxmlformats.org/officeDocument/2006/relationships" ref="R33" display="https://github.com/bootstrapprx/kodoo/tree/main/modules/accounting" r:id="rId29"/>
    <hyperlink xmlns:r="http://schemas.openxmlformats.org/officeDocument/2006/relationships" ref="R34" display="https://github.com/bootstrapprx/kodoo/tree/main/modules/accounting" r:id="rId30"/>
    <hyperlink xmlns:r="http://schemas.openxmlformats.org/officeDocument/2006/relationships" ref="R35" display="https://github.com/bootstrapprx/kodoo/tree/main/modules/accounting" r:id="rId31"/>
    <hyperlink xmlns:r="http://schemas.openxmlformats.org/officeDocument/2006/relationships" ref="R36" display="https://github.com/bootstrapprx/kodoo/tree/main/modules/accounting" r:id="rId32"/>
    <hyperlink xmlns:r="http://schemas.openxmlformats.org/officeDocument/2006/relationships" ref="R37" display="https://github.com/bootstrapprx/kodoo/tree/main/modules/accounting" r:id="rId33"/>
    <hyperlink xmlns:r="http://schemas.openxmlformats.org/officeDocument/2006/relationships" ref="R38" display="https://github.com/bootstrapprx/kodoo/tree/main/modules/accounting" r:id="rId34"/>
    <hyperlink xmlns:r="http://schemas.openxmlformats.org/officeDocument/2006/relationships" ref="R39" display="https://github.com/bootstrapprx/kodoo/tree/main/modules/accounting" r:id="rId35"/>
    <hyperlink xmlns:r="http://schemas.openxmlformats.org/officeDocument/2006/relationships" ref="R40" display="https://github.com/bootstrapprx/kodoo/tree/main/modules/accounting" r:id="rId36"/>
    <hyperlink xmlns:r="http://schemas.openxmlformats.org/officeDocument/2006/relationships" ref="R41" display="https://github.com/bootstrapprx/kodoo/tree/main/modules/accounting" r:id="rId37"/>
    <hyperlink xmlns:r="http://schemas.openxmlformats.org/officeDocument/2006/relationships" ref="R42" display="https://github.com/bootstrapprx/kodoo/tree/main/modules/accounting" r:id="rId38"/>
    <hyperlink xmlns:r="http://schemas.openxmlformats.org/officeDocument/2006/relationships" ref="R43" display="https://github.com/bootstrapprx/kodoo/tree/main/modules/accounting" r:id="rId39"/>
    <hyperlink xmlns:r="http://schemas.openxmlformats.org/officeDocument/2006/relationships" ref="R44" display="https://github.com/bootstrapprx/kodoo/tree/main/modules/accounting" r:id="rId40"/>
    <hyperlink xmlns:r="http://schemas.openxmlformats.org/officeDocument/2006/relationships" ref="R45" display="https://github.com/bootstrapprx/kodoo/tree/main/modules/accounting" r:id="rId41"/>
    <hyperlink xmlns:r="http://schemas.openxmlformats.org/officeDocument/2006/relationships" ref="R46" display="https://github.com/bootstrapprx/kodoo/tree/main/modules/accounting" r:id="rId42"/>
    <hyperlink xmlns:r="http://schemas.openxmlformats.org/officeDocument/2006/relationships" ref="R47" display="https://github.com/bootstrapprx/kodoo/tree/main/modules/accounting" r:id="rId43"/>
    <hyperlink xmlns:r="http://schemas.openxmlformats.org/officeDocument/2006/relationships" ref="R48" display="https://github.com/bootstrapprx/kodoo/tree/main/modules/accounting" r:id="rId44"/>
    <hyperlink xmlns:r="http://schemas.openxmlformats.org/officeDocument/2006/relationships" ref="R49" display="https://github.com/bootstrapprx/kodoo/tree/main/modules/accounting" r:id="rId45"/>
    <hyperlink xmlns:r="http://schemas.openxmlformats.org/officeDocument/2006/relationships" ref="R50" display="https://github.com/bootstrapprx/kodoo/tree/main/modules/accounting" r:id="rId46"/>
    <hyperlink xmlns:r="http://schemas.openxmlformats.org/officeDocument/2006/relationships" ref="R51" display="https://github.com/bootstrapprx/kodoo/tree/main/modules/accounting" r:id="rId47"/>
    <hyperlink xmlns:r="http://schemas.openxmlformats.org/officeDocument/2006/relationships" ref="R52" display="https://github.com/bootstrapprx/kodoo/tree/main/modules/accounting" r:id="rId48"/>
    <hyperlink xmlns:r="http://schemas.openxmlformats.org/officeDocument/2006/relationships" ref="R53" display="https://github.com/bootstrapprx/kodoo/tree/main/modules/accounting" r:id="rId49"/>
    <hyperlink xmlns:r="http://schemas.openxmlformats.org/officeDocument/2006/relationships" ref="R54" display="https://github.com/bootstrapprx/kodoo/tree/main/modules/accounting" r:id="rId50"/>
    <hyperlink xmlns:r="http://schemas.openxmlformats.org/officeDocument/2006/relationships" ref="R55" display="https://github.com/bootstrapprx/kodoo/tree/main/modules/accounting" r:id="rId51"/>
    <hyperlink xmlns:r="http://schemas.openxmlformats.org/officeDocument/2006/relationships" ref="R56" display="https://github.com/bootstrapprx/kodoo/tree/main/modules/accounting" r:id="rId52"/>
    <hyperlink xmlns:r="http://schemas.openxmlformats.org/officeDocument/2006/relationships" ref="R57" display="https://github.com/bootstrapprx/kodoo/tree/main/modules/accounting" r:id="rId53"/>
    <hyperlink xmlns:r="http://schemas.openxmlformats.org/officeDocument/2006/relationships" ref="R58" display="https://github.com/bootstrapprx/kodoo/tree/main/modules/accounting" r:id="rId54"/>
    <hyperlink xmlns:r="http://schemas.openxmlformats.org/officeDocument/2006/relationships" ref="R59" display="https://github.com/bootstrapprx/kodoo/tree/main/modules/accounting" r:id="rId55"/>
    <hyperlink xmlns:r="http://schemas.openxmlformats.org/officeDocument/2006/relationships" ref="R60" display="https://github.com/bootstrapprx/kodoo/tree/main/modules/accounting" r:id="rId56"/>
    <hyperlink xmlns:r="http://schemas.openxmlformats.org/officeDocument/2006/relationships" ref="R61" display="https://github.com/bootstrapprx/kodoo/tree/main/modules/accounting" r:id="rId57"/>
    <hyperlink xmlns:r="http://schemas.openxmlformats.org/officeDocument/2006/relationships" ref="R62" display="https://github.com/bootstrapprx/kodoo/tree/main/modules/accounting" r:id="rId58"/>
    <hyperlink xmlns:r="http://schemas.openxmlformats.org/officeDocument/2006/relationships" ref="R63" display="https://github.com/bootstrapprx/kodoo/tree/main/modules/accounting" r:id="rId59"/>
    <hyperlink xmlns:r="http://schemas.openxmlformats.org/officeDocument/2006/relationships" ref="R64" display="https://github.com/bootstrapprx/kodoo/tree/main/modules/accounting" r:id="rId60"/>
    <hyperlink xmlns:r="http://schemas.openxmlformats.org/officeDocument/2006/relationships" ref="R65" display="https://github.com/bootstrapprx/kodoo/tree/main/modules/accounting" r:id="rId61"/>
    <hyperlink xmlns:r="http://schemas.openxmlformats.org/officeDocument/2006/relationships" ref="R66" display="https://github.com/bootstrapprx/kodoo/tree/main/modules/accounting" r:id="rId62"/>
    <hyperlink xmlns:r="http://schemas.openxmlformats.org/officeDocument/2006/relationships" ref="R67" display="https://github.com/bootstrapprx/kodoo/tree/main/modules/people" r:id="rId63"/>
    <hyperlink xmlns:r="http://schemas.openxmlformats.org/officeDocument/2006/relationships" ref="R68" display="https://github.com/bootstrapprx/kodoo/tree/main/modules/people" r:id="rId64"/>
    <hyperlink xmlns:r="http://schemas.openxmlformats.org/officeDocument/2006/relationships" ref="R69" display="https://github.com/bootstrapprx/kodoo/tree/main/modules/people" r:id="rId65"/>
    <hyperlink xmlns:r="http://schemas.openxmlformats.org/officeDocument/2006/relationships" ref="R70" display="https://github.com/bootstrapprx/kodoo/tree/main/modules/people" r:id="rId66"/>
    <hyperlink xmlns:r="http://schemas.openxmlformats.org/officeDocument/2006/relationships" ref="R71" display="https://github.com/bootstrapprx/kodoo/tree/main/modules/people" r:id="rId67"/>
    <hyperlink xmlns:r="http://schemas.openxmlformats.org/officeDocument/2006/relationships" ref="R72" display="https://github.com/bootstrapprx/kodoo/tree/main/modules/accounting" r:id="rId68"/>
    <hyperlink xmlns:r="http://schemas.openxmlformats.org/officeDocument/2006/relationships" ref="R73" display="https://github.com/bootstrapprx/kodoo/tree/main/modules/accounting" r:id="rId69"/>
    <hyperlink xmlns:r="http://schemas.openxmlformats.org/officeDocument/2006/relationships" ref="R74" display="https://github.com/bootstrapprx/kodoo/tree/main/modules/accounting" r:id="rId70"/>
    <hyperlink xmlns:r="http://schemas.openxmlformats.org/officeDocument/2006/relationships" ref="R75" display="https://github.com/bootstrapprx/kodoo/tree/main/modules/accounting" r:id="rId71"/>
    <hyperlink xmlns:r="http://schemas.openxmlformats.org/officeDocument/2006/relationships" ref="R76" display="https://github.com/bootstrapprx/kodoo/tree/main/modules/accounting" r:id="rId72"/>
    <hyperlink xmlns:r="http://schemas.openxmlformats.org/officeDocument/2006/relationships" ref="R77" display="https://github.com/bootstrapprx/kodoo/tree/main/modules/accounting" r:id="rId73"/>
    <hyperlink xmlns:r="http://schemas.openxmlformats.org/officeDocument/2006/relationships" ref="R78" display="https://github.com/bootstrapprx/kodoo/tree/main/modules/accounting" r:id="rId74"/>
    <hyperlink xmlns:r="http://schemas.openxmlformats.org/officeDocument/2006/relationships" ref="R79" display="https://github.com/bootstrapprx/kodoo/tree/main/modules/accounting" r:id="rId75"/>
    <hyperlink xmlns:r="http://schemas.openxmlformats.org/officeDocument/2006/relationships" ref="R80" display="https://github.com/bootstrapprx/kodoo/tree/main/modules/accounting" r:id="rId76"/>
    <hyperlink xmlns:r="http://schemas.openxmlformats.org/officeDocument/2006/relationships" ref="R81" display="https://github.com/bootstrapprx/kodoo/tree/main/modules/accounting" r:id="rId77"/>
    <hyperlink xmlns:r="http://schemas.openxmlformats.org/officeDocument/2006/relationships" ref="R82" display="https://github.com/bootstrapprx/kodoo/tree/main/modules/accounting" r:id="rId78"/>
    <hyperlink xmlns:r="http://schemas.openxmlformats.org/officeDocument/2006/relationships" ref="R83" display="https://github.com/bootstrapprx/kodoo/tree/main/modules/accounting" r:id="rId79"/>
    <hyperlink xmlns:r="http://schemas.openxmlformats.org/officeDocument/2006/relationships" ref="R84" display="https://github.com/bootstrapprx/kodoo/tree/main/modules/accounting" r:id="rId80"/>
    <hyperlink xmlns:r="http://schemas.openxmlformats.org/officeDocument/2006/relationships" ref="R85" display="https://github.com/bootstrapprx/kodoo/tree/main/modules/accounting" r:id="rId81"/>
    <hyperlink xmlns:r="http://schemas.openxmlformats.org/officeDocument/2006/relationships" ref="R86" display="https://github.com/bootstrapprx/kodoo/tree/main/modules/accounting" r:id="rId82"/>
    <hyperlink xmlns:r="http://schemas.openxmlformats.org/officeDocument/2006/relationships" ref="R87" display="https://github.com/bootstrapprx/kodoo/tree/main/modules/accounting" r:id="rId83"/>
    <hyperlink xmlns:r="http://schemas.openxmlformats.org/officeDocument/2006/relationships" ref="R88" display="https://github.com/bootstrapprx/kodoo/tree/main/modules/accounting" r:id="rId84"/>
    <hyperlink xmlns:r="http://schemas.openxmlformats.org/officeDocument/2006/relationships" ref="R89" display="https://github.com/bootstrapprx/kodoo/tree/main/modules/accounting" r:id="rId85"/>
    <hyperlink xmlns:r="http://schemas.openxmlformats.org/officeDocument/2006/relationships" ref="R90" display="https://github.com/bootstrapprx/kodoo/tree/main/modules/accounting" r:id="rId86"/>
    <hyperlink xmlns:r="http://schemas.openxmlformats.org/officeDocument/2006/relationships" ref="R91" display="https://github.com/bootstrapprx/kodoo/tree/main/modules/accounting" r:id="rId87"/>
    <hyperlink xmlns:r="http://schemas.openxmlformats.org/officeDocument/2006/relationships" ref="R92" display="https://github.com/bootstrapprx/kodoo/tree/main/modules/accounting" r:id="rId88"/>
    <hyperlink xmlns:r="http://schemas.openxmlformats.org/officeDocument/2006/relationships" ref="R93" display="https://github.com/bootstrapprx/kodoo/tree/main/modules/accounting" r:id="rId89"/>
    <hyperlink xmlns:r="http://schemas.openxmlformats.org/officeDocument/2006/relationships" ref="R94" display="https://github.com/bootstrapprx/kodoo/tree/main/modules/accounting" r:id="rId90"/>
    <hyperlink xmlns:r="http://schemas.openxmlformats.org/officeDocument/2006/relationships" ref="R95" display="https://github.com/bootstrapprx/kodoo/tree/main/modules/accounting" r:id="rId91"/>
    <hyperlink xmlns:r="http://schemas.openxmlformats.org/officeDocument/2006/relationships" ref="R96" display="https://github.com/bootstrapprx/kodoo/tree/main/modules/accounting" r:id="rId92"/>
    <hyperlink xmlns:r="http://schemas.openxmlformats.org/officeDocument/2006/relationships" ref="R97" display="https://github.com/bootstrapprx/kodoo/tree/main/modules" r:id="rId93"/>
    <hyperlink xmlns:r="http://schemas.openxmlformats.org/officeDocument/2006/relationships" ref="R98" display="https://github.com/bootstrapprx/kodoo/tree/main/modules" r:id="rId94"/>
    <hyperlink xmlns:r="http://schemas.openxmlformats.org/officeDocument/2006/relationships" ref="R99" display="https://github.com/bootstrapprx/kodoo/tree/main/modules" r:id="rId95"/>
    <hyperlink xmlns:r="http://schemas.openxmlformats.org/officeDocument/2006/relationships" ref="R100" display="https://github.com/bootstrapprx/kodoo/tree/main/modules/accounting" r:id="rId96"/>
    <hyperlink xmlns:r="http://schemas.openxmlformats.org/officeDocument/2006/relationships" ref="R101" display="https://github.com/bootstrapprx/kodoo/tree/main/modules/accounting" r:id="rId97"/>
    <hyperlink xmlns:r="http://schemas.openxmlformats.org/officeDocument/2006/relationships" ref="R102" display="https://github.com/bootstrapprx/kodoo/tree/main/modules/accounting" r:id="rId98"/>
    <hyperlink xmlns:r="http://schemas.openxmlformats.org/officeDocument/2006/relationships" ref="R103" display="https://github.com/bootstrapprx/kodoo/tree/main/modules/accounting" r:id="rId99"/>
    <hyperlink xmlns:r="http://schemas.openxmlformats.org/officeDocument/2006/relationships" ref="R104" display="https://github.com/bootstrapprx/kodoo/tree/main/modules/accounting" r:id="rId100"/>
    <hyperlink xmlns:r="http://schemas.openxmlformats.org/officeDocument/2006/relationships" ref="R105" display="https://github.com/bootstrapprx/kodoo/tree/main/modules/accounting" r:id="rId101"/>
    <hyperlink xmlns:r="http://schemas.openxmlformats.org/officeDocument/2006/relationships" ref="R106" display="https://github.com/bootstrapprx/kodoo/tree/main/modules/accounting" r:id="rId102"/>
    <hyperlink xmlns:r="http://schemas.openxmlformats.org/officeDocument/2006/relationships" ref="R107" display="https://github.com/bootstrapprx/kodoo/tree/main/modules/accounting" r:id="rId103"/>
    <hyperlink xmlns:r="http://schemas.openxmlformats.org/officeDocument/2006/relationships" ref="R108" display="https://github.com/bootstrapprx/kodoo/tree/main/modules/accounting" r:id="rId104"/>
    <hyperlink xmlns:r="http://schemas.openxmlformats.org/officeDocument/2006/relationships" ref="R109" display="https://github.com/bootstrapprx/kodoo/tree/main/modules/accounting" r:id="rId105"/>
    <hyperlink xmlns:r="http://schemas.openxmlformats.org/officeDocument/2006/relationships" ref="R110" display="https://github.com/bootstrapprx/kodoo/tree/main/modules" r:id="rId106"/>
    <hyperlink xmlns:r="http://schemas.openxmlformats.org/officeDocument/2006/relationships" ref="R111" display="https://github.com/bootstrapprx/kodoo/tree/main/modules" r:id="rId107"/>
    <hyperlink xmlns:r="http://schemas.openxmlformats.org/officeDocument/2006/relationships" ref="R112" display="https://github.com/bootstrapprx/kodoo/tree/main/context/roadmap.md" r:id="rId108"/>
    <hyperlink xmlns:r="http://schemas.openxmlformats.org/officeDocument/2006/relationships" ref="R113" display="https://github.com/bootstrapprx/kodoo/tree/main/context/roadmap.md" r:id="rId109"/>
    <hyperlink xmlns:r="http://schemas.openxmlformats.org/officeDocument/2006/relationships" ref="R114" display="https://github.com/bootstrapprx/kodoo/tree/main/context/roadmap.md" r:id="rId110"/>
    <hyperlink xmlns:r="http://schemas.openxmlformats.org/officeDocument/2006/relationships" ref="R115" display="https://github.com/bootstrapprx/kodoo/tree/main/context/roadmap.md" r:id="rId111"/>
    <hyperlink xmlns:r="http://schemas.openxmlformats.org/officeDocument/2006/relationships" ref="R116" display="https://github.com/bootstrapprx/kodoo/tree/main/modules" r:id="rId112"/>
    <hyperlink xmlns:r="http://schemas.openxmlformats.org/officeDocument/2006/relationships" ref="R117" display="https://github.com/bootstrapprx/kodoo/tree/main/modules" r:id="rId113"/>
    <hyperlink xmlns:r="http://schemas.openxmlformats.org/officeDocument/2006/relationships" ref="R118" display="https://github.com/bootstrapprx/kodoo/tree/main/modules" r:id="rId114"/>
    <hyperlink xmlns:r="http://schemas.openxmlformats.org/officeDocument/2006/relationships" ref="R119" display="https://github.com/bootstrapprx/kodoo/tree/main/modules" r:id="rId115"/>
    <hyperlink xmlns:r="http://schemas.openxmlformats.org/officeDocument/2006/relationships" ref="R120" display="https://github.com/bootstrapprx/kodoo/tree/main/modules" r:id="rId116"/>
    <hyperlink xmlns:r="http://schemas.openxmlformats.org/officeDocument/2006/relationships" ref="R121" display="https://github.com/bootstrapprx/kodoo/tree/main/modules" r:id="rId117"/>
    <hyperlink xmlns:r="http://schemas.openxmlformats.org/officeDocument/2006/relationships" ref="R122" display="https://github.com/bootstrapprx/kodoo/tree/main/modules" r:id="rId118"/>
    <hyperlink xmlns:r="http://schemas.openxmlformats.org/officeDocument/2006/relationships" ref="R123" display="https://github.com/bootstrapprx/kodoo/tree/main/modules/accounting" r:id="rId119"/>
    <hyperlink xmlns:r="http://schemas.openxmlformats.org/officeDocument/2006/relationships" ref="R124" display="https://github.com/bootstrapprx/kodoo/tree/main/modules/accounting" r:id="rId120"/>
    <hyperlink xmlns:r="http://schemas.openxmlformats.org/officeDocument/2006/relationships" ref="R125" display="https://github.com/bootstrapprx/kodoo/tree/main/modules/accounting" r:id="rId121"/>
    <hyperlink xmlns:r="http://schemas.openxmlformats.org/officeDocument/2006/relationships" ref="R126" display="https://github.com/bootstrapprx/kodoo/tree/main/modules/accounting" r:id="rId122"/>
    <hyperlink xmlns:r="http://schemas.openxmlformats.org/officeDocument/2006/relationships" ref="R127" display="https://github.com/bootstrapprx/kodoo/tree/main/modules/accounting" r:id="rId123"/>
    <hyperlink xmlns:r="http://schemas.openxmlformats.org/officeDocument/2006/relationships" ref="R128" display="https://github.com/bootstrapprx/kodoo/tree/main/modules/accounting" r:id="rId124"/>
    <hyperlink xmlns:r="http://schemas.openxmlformats.org/officeDocument/2006/relationships" ref="R129" display="https://github.com/bootstrapprx/kodoo/tree/main/apps/kalkulisto" r:id="rId125"/>
    <hyperlink xmlns:r="http://schemas.openxmlformats.org/officeDocument/2006/relationships" ref="R130" display="https://github.com/bootstrapprx/kodoo/tree/main/modules" r:id="rId126"/>
    <hyperlink xmlns:r="http://schemas.openxmlformats.org/officeDocument/2006/relationships" ref="R131" display="https://github.com/bootstrapprx/kodoo/tree/main/modules" r:id="rId127"/>
    <hyperlink xmlns:r="http://schemas.openxmlformats.org/officeDocument/2006/relationships" ref="R132" display="https://github.com/bootstrapprx/kodoo/tree/main/modules" r:id="rId128"/>
    <hyperlink xmlns:r="http://schemas.openxmlformats.org/officeDocument/2006/relationships" ref="R133" display="https://github.com/bootstrapprx/kodoo/tree/main/modules" r:id="rId129"/>
    <hyperlink xmlns:r="http://schemas.openxmlformats.org/officeDocument/2006/relationships" ref="R134" display="https://github.com/bootstrapprx/kodoo/tree/main/modules" r:id="rId130"/>
    <hyperlink xmlns:r="http://schemas.openxmlformats.org/officeDocument/2006/relationships" ref="R135" display="https://github.com/bootstrapprx/kodoo/tree/main/modules" r:id="rId131"/>
    <hyperlink xmlns:r="http://schemas.openxmlformats.org/officeDocument/2006/relationships" ref="R136" display="https://github.com/bootstrapprx/kodoo/tree/main/modules" r:id="rId132"/>
    <hyperlink xmlns:r="http://schemas.openxmlformats.org/officeDocument/2006/relationships" ref="R137" display="https://github.com/bootstrapprx/kodoo/tree/main/modules" r:id="rId133"/>
    <hyperlink xmlns:r="http://schemas.openxmlformats.org/officeDocument/2006/relationships" ref="R138" display="https://github.com/bootstrapprx/kodoo/tree/main/modules" r:id="rId134"/>
    <hyperlink xmlns:r="http://schemas.openxmlformats.org/officeDocument/2006/relationships" ref="R139" display="https://github.com/bootstrapprx/kodoo/tree/main/modules" r:id="rId135"/>
    <hyperlink xmlns:r="http://schemas.openxmlformats.org/officeDocument/2006/relationships" ref="R140" display="https://github.com/bootstrapprx/kodoo/tree/main/modules" r:id="rId136"/>
    <hyperlink xmlns:r="http://schemas.openxmlformats.org/officeDocument/2006/relationships" ref="R141" display="https://github.com/bootstrapprx/kodoo/tree/main/modules" r:id="rId137"/>
    <hyperlink xmlns:r="http://schemas.openxmlformats.org/officeDocument/2006/relationships" ref="R142" display="https://github.com/bootstrapprx/kodoo/tree/main/modules" r:id="rId138"/>
    <hyperlink xmlns:r="http://schemas.openxmlformats.org/officeDocument/2006/relationships" ref="R143" display="https://github.com/bootstrapprx/kodoo/tree/main/modules" r:id="rId139"/>
    <hyperlink xmlns:r="http://schemas.openxmlformats.org/officeDocument/2006/relationships" ref="R144" display="https://github.com/bootstrapprx/kodoo/tree/main/modules" r:id="rId140"/>
    <hyperlink xmlns:r="http://schemas.openxmlformats.org/officeDocument/2006/relationships" ref="R145" display="https://github.com/bootstrapprx/kodoo/tree/main/modules" r:id="rId141"/>
    <hyperlink xmlns:r="http://schemas.openxmlformats.org/officeDocument/2006/relationships" ref="R146" display="https://github.com/bootstrapprx/kodoo/tree/main/modules" r:id="rId142"/>
    <hyperlink xmlns:r="http://schemas.openxmlformats.org/officeDocument/2006/relationships" ref="R147" display="https://github.com/bootstrapprx/kodoo/tree/main/modules" r:id="rId143"/>
    <hyperlink xmlns:r="http://schemas.openxmlformats.org/officeDocument/2006/relationships" ref="R148" display="https://github.com/bootstrapprx/kodoo/tree/main/modules" r:id="rId144"/>
    <hyperlink xmlns:r="http://schemas.openxmlformats.org/officeDocument/2006/relationships" ref="R149" display="https://github.com/bootstrapprx/kodoo/tree/main/modules" r:id="rId145"/>
    <hyperlink xmlns:r="http://schemas.openxmlformats.org/officeDocument/2006/relationships" ref="R150" display="https://github.com/bootstrapprx/kodoo/tree/main/modules" r:id="rId146"/>
    <hyperlink xmlns:r="http://schemas.openxmlformats.org/officeDocument/2006/relationships" ref="R151" display="https://github.com/bootstrapprx/kodoo/tree/main/modules" r:id="rId147"/>
    <hyperlink xmlns:r="http://schemas.openxmlformats.org/officeDocument/2006/relationships" ref="R152" display="https://github.com/bootstrapprx/kodoo/tree/main/modules" r:id="rId148"/>
    <hyperlink xmlns:r="http://schemas.openxmlformats.org/officeDocument/2006/relationships" ref="R153" display="https://github.com/bootstrapprx/kodoo/tree/main/modules" r:id="rId149"/>
    <hyperlink xmlns:r="http://schemas.openxmlformats.org/officeDocument/2006/relationships" ref="R154" display="https://github.com/bootstrapprx/kodoo/tree/main/modules" r:id="rId150"/>
    <hyperlink xmlns:r="http://schemas.openxmlformats.org/officeDocument/2006/relationships" ref="R155" display="https://github.com/bootstrapprx/kodoo/tree/main/modules" r:id="rId151"/>
    <hyperlink xmlns:r="http://schemas.openxmlformats.org/officeDocument/2006/relationships" ref="R156" display="https://github.com/bootstrapprx/kodoo/tree/main/modules" r:id="rId152"/>
    <hyperlink xmlns:r="http://schemas.openxmlformats.org/officeDocument/2006/relationships" ref="R157" display="https://github.com/bootstrapprx/kodoo/tree/main/modules" r:id="rId153"/>
    <hyperlink xmlns:r="http://schemas.openxmlformats.org/officeDocument/2006/relationships" ref="R158" display="https://github.com/bootstrapprx/kodoo/tree/main/modules" r:id="rId154"/>
    <hyperlink xmlns:r="http://schemas.openxmlformats.org/officeDocument/2006/relationships" ref="R159" display="https://github.com/bootstrapprx/kodoo/tree/main/modules" r:id="rId155"/>
    <hyperlink xmlns:r="http://schemas.openxmlformats.org/officeDocument/2006/relationships" ref="R160" display="https://github.com/bootstrapprx/kodoo/tree/main/modules" r:id="rId156"/>
    <hyperlink xmlns:r="http://schemas.openxmlformats.org/officeDocument/2006/relationships" ref="R161" display="https://github.com/bootstrapprx/kodoo/tree/main/modules" r:id="rId157"/>
    <hyperlink xmlns:r="http://schemas.openxmlformats.org/officeDocument/2006/relationships" ref="R162" display="https://github.com/bootstrapprx/kodoo/tree/main/modules" r:id="rId158"/>
    <hyperlink xmlns:r="http://schemas.openxmlformats.org/officeDocument/2006/relationships" ref="R163" display="https://github.com/bootstrapprx/kodoo/tree/main/modules" r:id="rId159"/>
    <hyperlink xmlns:r="http://schemas.openxmlformats.org/officeDocument/2006/relationships" ref="R164" display="https://github.com/bootstrapprx/kodoo/tree/main/modules" r:id="rId160"/>
    <hyperlink xmlns:r="http://schemas.openxmlformats.org/officeDocument/2006/relationships" ref="R165" display="https://github.com/bootstrapprx/kodoo/tree/main/modules" r:id="rId161"/>
    <hyperlink xmlns:r="http://schemas.openxmlformats.org/officeDocument/2006/relationships" ref="R166" display="https://github.com/bootstrapprx/kodoo/tree/main/modules" r:id="rId162"/>
    <hyperlink xmlns:r="http://schemas.openxmlformats.org/officeDocument/2006/relationships" ref="R167" display="https://github.com/bootstrapprx/kodoo/tree/main/modules" r:id="rId163"/>
    <hyperlink xmlns:r="http://schemas.openxmlformats.org/officeDocument/2006/relationships" ref="R168" display="https://github.com/bootstrapprx/kodoo/tree/main/modules" r:id="rId164"/>
    <hyperlink xmlns:r="http://schemas.openxmlformats.org/officeDocument/2006/relationships" ref="R169" display="https://github.com/bootstrapprx/kodoo/tree/main/modules" r:id="rId165"/>
    <hyperlink xmlns:r="http://schemas.openxmlformats.org/officeDocument/2006/relationships" ref="R170" display="https://github.com/bootstrapprx/kodoo/tree/main/modules" r:id="rId166"/>
    <hyperlink xmlns:r="http://schemas.openxmlformats.org/officeDocument/2006/relationships" ref="R171" display="https://github.com/bootstrapprx/kodoo/tree/main/modules" r:id="rId167"/>
    <hyperlink xmlns:r="http://schemas.openxmlformats.org/officeDocument/2006/relationships" ref="R172" display="https://github.com/bootstrapprx/kodoo/tree/main/modules" r:id="rId168"/>
    <hyperlink xmlns:r="http://schemas.openxmlformats.org/officeDocument/2006/relationships" ref="R173" display="https://github.com/bootstrapprx/kodoo/tree/main/modules" r:id="rId169"/>
    <hyperlink xmlns:r="http://schemas.openxmlformats.org/officeDocument/2006/relationships" ref="R174" display="https://github.com/bootstrapprx/kodoo/tree/main/modules" r:id="rId170"/>
    <hyperlink xmlns:r="http://schemas.openxmlformats.org/officeDocument/2006/relationships" ref="R175" display="https://github.com/bootstrapprx/kodoo/tree/main/modules" r:id="rId171"/>
    <hyperlink xmlns:r="http://schemas.openxmlformats.org/officeDocument/2006/relationships" ref="R176" display="https://github.com/bootstrapprx/kodoo/tree/main/modules" r:id="rId172"/>
    <hyperlink xmlns:r="http://schemas.openxmlformats.org/officeDocument/2006/relationships" ref="R177" display="https://github.com/bootstrapprx/kodoo/tree/main/modules" r:id="rId173"/>
    <hyperlink xmlns:r="http://schemas.openxmlformats.org/officeDocument/2006/relationships" ref="R178" display="https://github.com/bootstrapprx/kodoo/tree/main/modules" r:id="rId174"/>
    <hyperlink xmlns:r="http://schemas.openxmlformats.org/officeDocument/2006/relationships" ref="R179" display="https://github.com/bootstrapprx/kodoo/tree/main/modules" r:id="rId175"/>
    <hyperlink xmlns:r="http://schemas.openxmlformats.org/officeDocument/2006/relationships" ref="R180" display="https://github.com/bootstrapprx/kodoo/tree/main/modules" r:id="rId176"/>
    <hyperlink xmlns:r="http://schemas.openxmlformats.org/officeDocument/2006/relationships" ref="R181" display="https://github.com/bootstrapprx/kodoo/tree/main/modules" r:id="rId177"/>
    <hyperlink xmlns:r="http://schemas.openxmlformats.org/officeDocument/2006/relationships" ref="R182" display="https://github.com/bootstrapprx/kodoo/tree/main/modules" r:id="rId178"/>
    <hyperlink xmlns:r="http://schemas.openxmlformats.org/officeDocument/2006/relationships" ref="R183" display="https://github.com/bootstrapprx/kodoo/tree/main/modules" r:id="rId179"/>
    <hyperlink xmlns:r="http://schemas.openxmlformats.org/officeDocument/2006/relationships" ref="R184" display="https://github.com/bootstrapprx/kodoo/tree/main/modules" r:id="rId180"/>
    <hyperlink xmlns:r="http://schemas.openxmlformats.org/officeDocument/2006/relationships" ref="R185" display="https://github.com/bootstrapprx/kodoo/tree/main/modules" r:id="rId181"/>
    <hyperlink xmlns:r="http://schemas.openxmlformats.org/officeDocument/2006/relationships" ref="R186" display="https://github.com/bootstrapprx/kodoo/tree/main/modules" r:id="rId182"/>
    <hyperlink xmlns:r="http://schemas.openxmlformats.org/officeDocument/2006/relationships" ref="R187" display="https://github.com/bootstrapprx/kodoo/tree/main/modules" r:id="rId183"/>
    <hyperlink xmlns:r="http://schemas.openxmlformats.org/officeDocument/2006/relationships" ref="R188" display="https://github.com/bootstrapprx/kodoo/tree/main/modules" r:id="rId184"/>
    <hyperlink xmlns:r="http://schemas.openxmlformats.org/officeDocument/2006/relationships" ref="R189" display="https://github.com/bootstrapprx/kodoo/tree/main/modules" r:id="rId185"/>
    <hyperlink xmlns:r="http://schemas.openxmlformats.org/officeDocument/2006/relationships" ref="R190" display="https://github.com/bootstrapprx/kodoo/tree/main/modules" r:id="rId186"/>
    <hyperlink xmlns:r="http://schemas.openxmlformats.org/officeDocument/2006/relationships" ref="R191" display="https://github.com/bootstrapprx/kodoo/tree/main/modules" r:id="rId187"/>
    <hyperlink xmlns:r="http://schemas.openxmlformats.org/officeDocument/2006/relationships" ref="R192" display="https://github.com/bootstrapprx/kodoo/tree/main/modules" r:id="rId188"/>
    <hyperlink xmlns:r="http://schemas.openxmlformats.org/officeDocument/2006/relationships" ref="R193" display="https://github.com/bootstrapprx/kodoo/tree/main/modules" r:id="rId189"/>
    <hyperlink xmlns:r="http://schemas.openxmlformats.org/officeDocument/2006/relationships" ref="R194" display="https://github.com/bootstrapprx/kodoo/tree/main/modules" r:id="rId190"/>
    <hyperlink xmlns:r="http://schemas.openxmlformats.org/officeDocument/2006/relationships" ref="R195" display="https://github.com/bootstrapprx/kodoo/tree/main/modules" r:id="rId191"/>
    <hyperlink xmlns:r="http://schemas.openxmlformats.org/officeDocument/2006/relationships" ref="R196" display="https://github.com/bootstrapprx/kodoo/tree/main/modules" r:id="rId192"/>
    <hyperlink xmlns:r="http://schemas.openxmlformats.org/officeDocument/2006/relationships" ref="R197" display="https://github.com/bootstrapprx/kodoo/tree/main/modules" r:id="rId193"/>
    <hyperlink xmlns:r="http://schemas.openxmlformats.org/officeDocument/2006/relationships" ref="R198" display="https://github.com/bootstrapprx/kodoo/tree/main/modules" r:id="rId194"/>
    <hyperlink xmlns:r="http://schemas.openxmlformats.org/officeDocument/2006/relationships" ref="R199" display="https://github.com/bootstrapprx/kodoo/tree/main/modules" r:id="rId195"/>
    <hyperlink xmlns:r="http://schemas.openxmlformats.org/officeDocument/2006/relationships" ref="R200" display="https://github.com/bootstrapprx/kodoo/tree/main/modules" r:id="rId196"/>
    <hyperlink xmlns:r="http://schemas.openxmlformats.org/officeDocument/2006/relationships" ref="R201" display="https://github.com/bootstrapprx/kodoo/tree/main/modules" r:id="rId197"/>
    <hyperlink xmlns:r="http://schemas.openxmlformats.org/officeDocument/2006/relationships" ref="R202" display="https://github.com/bootstrapprx/kodoo/tree/main/modules" r:id="rId198"/>
    <hyperlink xmlns:r="http://schemas.openxmlformats.org/officeDocument/2006/relationships" ref="R203" display="https://github.com/bootstrapprx/kodoo/tree/main/modules" r:id="rId199"/>
    <hyperlink xmlns:r="http://schemas.openxmlformats.org/officeDocument/2006/relationships" ref="R204" display="https://github.com/bootstrapprx/kodoo/tree/main/modules" r:id="rId200"/>
    <hyperlink xmlns:r="http://schemas.openxmlformats.org/officeDocument/2006/relationships" ref="R205" display="https://github.com/bootstrapprx/kodoo/tree/main/modules" r:id="rId201"/>
    <hyperlink xmlns:r="http://schemas.openxmlformats.org/officeDocument/2006/relationships" ref="R206" display="https://github.com/bootstrapprx/kodoo/tree/main/modules" r:id="rId202"/>
    <hyperlink xmlns:r="http://schemas.openxmlformats.org/officeDocument/2006/relationships" ref="R207" display="https://github.com/bootstrapprx/kodoo/tree/main/modules" r:id="rId203"/>
    <hyperlink xmlns:r="http://schemas.openxmlformats.org/officeDocument/2006/relationships" ref="R208" display="https://github.com/bootstrapprx/kodoo/tree/main/modules" r:id="rId204"/>
    <hyperlink xmlns:r="http://schemas.openxmlformats.org/officeDocument/2006/relationships" ref="R209" display="https://github.com/bootstrapprx/kodoo/tree/main/modules" r:id="rId205"/>
    <hyperlink xmlns:r="http://schemas.openxmlformats.org/officeDocument/2006/relationships" ref="R210" display="https://github.com/bootstrapprx/kodoo/tree/main/modules" r:id="rId206"/>
    <hyperlink xmlns:r="http://schemas.openxmlformats.org/officeDocument/2006/relationships" ref="R211" display="https://github.com/bootstrapprx/kodoo/tree/main/modules" r:id="rId207"/>
    <hyperlink xmlns:r="http://schemas.openxmlformats.org/officeDocument/2006/relationships" ref="R212" display="https://github.com/bootstrapprx/kodoo/tree/main/modules" r:id="rId208"/>
    <hyperlink xmlns:r="http://schemas.openxmlformats.org/officeDocument/2006/relationships" ref="R213" display="https://github.com/bootstrapprx/kodoo/tree/main/modules" r:id="rId209"/>
    <hyperlink xmlns:r="http://schemas.openxmlformats.org/officeDocument/2006/relationships" ref="R214" display="https://github.com/bootstrapprx/kodoo/tree/main/modules" r:id="rId210"/>
    <hyperlink xmlns:r="http://schemas.openxmlformats.org/officeDocument/2006/relationships" ref="R215" display="https://github.com/bootstrapprx/kodoo/tree/main/modules" r:id="rId211"/>
    <hyperlink xmlns:r="http://schemas.openxmlformats.org/officeDocument/2006/relationships" ref="R216" display="https://github.com/bootstrapprx/kodoo/tree/main/modules" r:id="rId212"/>
    <hyperlink xmlns:r="http://schemas.openxmlformats.org/officeDocument/2006/relationships" ref="R217" display="https://github.com/bootstrapprx/kodoo/tree/main/modules" r:id="rId213"/>
    <hyperlink xmlns:r="http://schemas.openxmlformats.org/officeDocument/2006/relationships" ref="R218" display="https://github.com/bootstrapprx/kodoo/tree/main/modules" r:id="rId214"/>
    <hyperlink xmlns:r="http://schemas.openxmlformats.org/officeDocument/2006/relationships" ref="R219" display="https://github.com/bootstrapprx/kodoo/tree/main/modules" r:id="rId215"/>
    <hyperlink xmlns:r="http://schemas.openxmlformats.org/officeDocument/2006/relationships" ref="R220" display="https://github.com/bootstrapprx/kodoo/tree/main/modules" r:id="rId216"/>
    <hyperlink xmlns:r="http://schemas.openxmlformats.org/officeDocument/2006/relationships" ref="R221" display="https://github.com/bootstrapprx/kodoo/tree/main/modules" r:id="rId217"/>
    <hyperlink xmlns:r="http://schemas.openxmlformats.org/officeDocument/2006/relationships" ref="R222" display="https://github.com/bootstrapprx/kodoo/tree/main/modules" r:id="rId218"/>
    <hyperlink xmlns:r="http://schemas.openxmlformats.org/officeDocument/2006/relationships" ref="R223" display="https://github.com/bootstrapprx/kodoo/tree/main/modules" r:id="rId219"/>
    <hyperlink xmlns:r="http://schemas.openxmlformats.org/officeDocument/2006/relationships" ref="R224" display="https://github.com/bootstrapprx/kodoo/tree/main/modules" r:id="rId220"/>
    <hyperlink xmlns:r="http://schemas.openxmlformats.org/officeDocument/2006/relationships" ref="R225" display="https://github.com/bootstrapprx/kodoo/tree/main/modules" r:id="rId221"/>
    <hyperlink xmlns:r="http://schemas.openxmlformats.org/officeDocument/2006/relationships" ref="R226" display="https://github.com/bootstrapprx/kodoo/tree/main/modules" r:id="rId222"/>
    <hyperlink xmlns:r="http://schemas.openxmlformats.org/officeDocument/2006/relationships" ref="R227" display="https://github.com/bootstrapprx/kodoo/tree/main/modules" r:id="rId223"/>
    <hyperlink xmlns:r="http://schemas.openxmlformats.org/officeDocument/2006/relationships" ref="R228" display="https://github.com/bootstrapprx/kodoo/tree/main/modules" r:id="rId224"/>
    <hyperlink xmlns:r="http://schemas.openxmlformats.org/officeDocument/2006/relationships" ref="R229" display="https://github.com/bootstrapprx/kodoo/tree/main/modules" r:id="rId225"/>
    <hyperlink xmlns:r="http://schemas.openxmlformats.org/officeDocument/2006/relationships" ref="R230" display="https://github.com/bootstrapprx/kodoo/tree/main/modules" r:id="rId226"/>
    <hyperlink xmlns:r="http://schemas.openxmlformats.org/officeDocument/2006/relationships" ref="R231" display="https://github.com/bootstrapprx/kodoo/tree/main/modules" r:id="rId227"/>
    <hyperlink xmlns:r="http://schemas.openxmlformats.org/officeDocument/2006/relationships" ref="R232" display="https://github.com/bootstrapprx/kodoo/tree/main/modules" r:id="rId228"/>
    <hyperlink xmlns:r="http://schemas.openxmlformats.org/officeDocument/2006/relationships" ref="R233" display="https://github.com/bootstrapprx/kodoo/tree/main/modules" r:id="rId229"/>
    <hyperlink xmlns:r="http://schemas.openxmlformats.org/officeDocument/2006/relationships" ref="R234" display="https://github.com/bootstrapprx/kodoo/tree/main/modules" r:id="rId230"/>
    <hyperlink xmlns:r="http://schemas.openxmlformats.org/officeDocument/2006/relationships" ref="R235" display="https://github.com/bootstrapprx/kodoo/tree/main/modules" r:id="rId231"/>
    <hyperlink xmlns:r="http://schemas.openxmlformats.org/officeDocument/2006/relationships" ref="R236" display="https://github.com/bootstrapprx/kodoo/tree/main/modules" r:id="rId232"/>
    <hyperlink xmlns:r="http://schemas.openxmlformats.org/officeDocument/2006/relationships" ref="R237" display="https://github.com/bootstrapprx/kodoo/tree/main/modules" r:id="rId233"/>
    <hyperlink xmlns:r="http://schemas.openxmlformats.org/officeDocument/2006/relationships" ref="R238" display="https://github.com/bootstrapprx/kodoo/tree/main/modules" r:id="rId234"/>
    <hyperlink xmlns:r="http://schemas.openxmlformats.org/officeDocument/2006/relationships" ref="R239" display="https://github.com/bootstrapprx/kodoo/tree/main/modules" r:id="rId235"/>
    <hyperlink xmlns:r="http://schemas.openxmlformats.org/officeDocument/2006/relationships" ref="R240" display="https://github.com/bootstrapprx/kodoo/tree/main/modules" r:id="rId236"/>
    <hyperlink xmlns:r="http://schemas.openxmlformats.org/officeDocument/2006/relationships" ref="R241" display="https://github.com/bootstrapprx/kodoo/tree/main/modules" r:id="rId237"/>
    <hyperlink xmlns:r="http://schemas.openxmlformats.org/officeDocument/2006/relationships" ref="R242" display="https://github.com/bootstrapprx/kodoo/tree/main/modules" r:id="rId238"/>
    <hyperlink xmlns:r="http://schemas.openxmlformats.org/officeDocument/2006/relationships" ref="R243" display="https://github.com/bootstrapprx/kodoo/tree/main/modules" r:id="rId239"/>
    <hyperlink xmlns:r="http://schemas.openxmlformats.org/officeDocument/2006/relationships" ref="R244" display="https://github.com/bootstrapprx/kodoo/tree/main/modules" r:id="rId240"/>
    <hyperlink xmlns:r="http://schemas.openxmlformats.org/officeDocument/2006/relationships" ref="R245" display="https://github.com/bootstrapprx/kodoo/tree/main/modules" r:id="rId241"/>
    <hyperlink xmlns:r="http://schemas.openxmlformats.org/officeDocument/2006/relationships" ref="R246" display="https://github.com/bootstrapprx/kodoo/tree/main/modules" r:id="rId242"/>
    <hyperlink xmlns:r="http://schemas.openxmlformats.org/officeDocument/2006/relationships" ref="R247" display="https://github.com/bootstrapprx/kodoo/tree/main/modules" r:id="rId243"/>
    <hyperlink xmlns:r="http://schemas.openxmlformats.org/officeDocument/2006/relationships" ref="R248" display="https://github.com/bootstrapprx/kodoo/tree/main/modules" r:id="rId244"/>
    <hyperlink xmlns:r="http://schemas.openxmlformats.org/officeDocument/2006/relationships" ref="R249" display="https://github.com/bootstrapprx/kodoo/tree/main/modules" r:id="rId245"/>
    <hyperlink xmlns:r="http://schemas.openxmlformats.org/officeDocument/2006/relationships" ref="R250" display="https://github.com/bootstrapprx/kodoo/tree/main/modules" r:id="rId246"/>
    <hyperlink xmlns:r="http://schemas.openxmlformats.org/officeDocument/2006/relationships" ref="R251" display="https://github.com/bootstrapprx/kodoo/tree/main/modules" r:id="rId247"/>
    <hyperlink xmlns:r="http://schemas.openxmlformats.org/officeDocument/2006/relationships" ref="R252" display="https://github.com/bootstrapprx/kodoo/tree/main/modules" r:id="rId248"/>
    <hyperlink xmlns:r="http://schemas.openxmlformats.org/officeDocument/2006/relationships" ref="R253" display="https://github.com/bootstrapprx/kodoo/tree/main/modules" r:id="rId249"/>
    <hyperlink xmlns:r="http://schemas.openxmlformats.org/officeDocument/2006/relationships" ref="R254" display="https://github.com/bootstrapprx/kodoo/tree/main/modules" r:id="rId250"/>
    <hyperlink xmlns:r="http://schemas.openxmlformats.org/officeDocument/2006/relationships" ref="R255" display="https://github.com/bootstrapprx/kodoo/tree/main/modules" r:id="rId251"/>
    <hyperlink xmlns:r="http://schemas.openxmlformats.org/officeDocument/2006/relationships" ref="R256" display="https://github.com/bootstrapprx/kodoo/tree/main/modules" r:id="rId252"/>
    <hyperlink xmlns:r="http://schemas.openxmlformats.org/officeDocument/2006/relationships" ref="R257" display="https://github.com/bootstrapprx/kodoo/tree/main/modules" r:id="rId253"/>
    <hyperlink xmlns:r="http://schemas.openxmlformats.org/officeDocument/2006/relationships" ref="R258" display="https://github.com/bootstrapprx/kodoo/tree/main/modules" r:id="rId254"/>
    <hyperlink xmlns:r="http://schemas.openxmlformats.org/officeDocument/2006/relationships" ref="R259" display="https://github.com/bootstrapprx/kodoo/tree/main/modules" r:id="rId255"/>
    <hyperlink xmlns:r="http://schemas.openxmlformats.org/officeDocument/2006/relationships" ref="R260" display="https://github.com/bootstrapprx/kodoo/tree/main/modules" r:id="rId256"/>
    <hyperlink xmlns:r="http://schemas.openxmlformats.org/officeDocument/2006/relationships" ref="R261" display="https://github.com/bootstrapprx/kodoo/tree/main/modules" r:id="rId257"/>
    <hyperlink xmlns:r="http://schemas.openxmlformats.org/officeDocument/2006/relationships" ref="R262" display="https://github.com/bootstrapprx/kodoo/tree/main/modules" r:id="rId258"/>
    <hyperlink xmlns:r="http://schemas.openxmlformats.org/officeDocument/2006/relationships" ref="R263" display="https://github.com/bootstrapprx/kodoo/tree/main/modules" r:id="rId259"/>
    <hyperlink xmlns:r="http://schemas.openxmlformats.org/officeDocument/2006/relationships" ref="R264" display="https://github.com/bootstrapprx/kodoo/tree/main/modules" r:id="rId260"/>
    <hyperlink xmlns:r="http://schemas.openxmlformats.org/officeDocument/2006/relationships" ref="R265" display="https://github.com/bootstrapprx/kodoo/tree/main/modules" r:id="rId261"/>
    <hyperlink xmlns:r="http://schemas.openxmlformats.org/officeDocument/2006/relationships" ref="R266" display="https://github.com/bootstrapprx/kodoo/tree/main/modules" r:id="rId262"/>
    <hyperlink xmlns:r="http://schemas.openxmlformats.org/officeDocument/2006/relationships" ref="R267" display="https://github.com/bootstrapprx/kodoo/tree/main/modules" r:id="rId263"/>
    <hyperlink xmlns:r="http://schemas.openxmlformats.org/officeDocument/2006/relationships" ref="R268" display="https://github.com/bootstrapprx/kodoo/tree/main/modules" r:id="rId264"/>
    <hyperlink xmlns:r="http://schemas.openxmlformats.org/officeDocument/2006/relationships" ref="R269" display="https://github.com/bootstrapprx/kodoo/tree/main/modules" r:id="rId265"/>
    <hyperlink xmlns:r="http://schemas.openxmlformats.org/officeDocument/2006/relationships" ref="R270" display="https://github.com/bootstrapprx/kodoo/tree/main/modules" r:id="rId266"/>
    <hyperlink xmlns:r="http://schemas.openxmlformats.org/officeDocument/2006/relationships" ref="R271" display="https://github.com/bootstrapprx/kodoo/tree/main/modules" r:id="rId267"/>
    <hyperlink xmlns:r="http://schemas.openxmlformats.org/officeDocument/2006/relationships" ref="R272" display="https://github.com/bootstrapprx/kodoo/tree/main/modules" r:id="rId268"/>
    <hyperlink xmlns:r="http://schemas.openxmlformats.org/officeDocument/2006/relationships" ref="R273" display="https://github.com/bootstrapprx/kodoo/tree/main/modules" r:id="rId269"/>
    <hyperlink xmlns:r="http://schemas.openxmlformats.org/officeDocument/2006/relationships" ref="R274" display="https://github.com/bootstrapprx/kodoo/tree/main/modules" r:id="rId270"/>
    <hyperlink xmlns:r="http://schemas.openxmlformats.org/officeDocument/2006/relationships" ref="R275" display="https://github.com/bootstrapprx/kodoo/tree/main/modules" r:id="rId271"/>
    <hyperlink xmlns:r="http://schemas.openxmlformats.org/officeDocument/2006/relationships" ref="R276" display="https://github.com/bootstrapprx/kodoo/tree/main/modules" r:id="rId272"/>
    <hyperlink xmlns:r="http://schemas.openxmlformats.org/officeDocument/2006/relationships" ref="R277" display="https://github.com/bootstrapprx/kodoo/tree/main/modules" r:id="rId273"/>
    <hyperlink xmlns:r="http://schemas.openxmlformats.org/officeDocument/2006/relationships" ref="R278" display="https://github.com/bootstrapprx/kodoo/tree/main/modules" r:id="rId274"/>
    <hyperlink xmlns:r="http://schemas.openxmlformats.org/officeDocument/2006/relationships" ref="R279" display="https://github.com/bootstrapprx/kodoo/tree/main/modules" r:id="rId275"/>
    <hyperlink xmlns:r="http://schemas.openxmlformats.org/officeDocument/2006/relationships" ref="R280" display="https://github.com/bootstrapprx/kodoo/tree/main/modules" r:id="rId276"/>
    <hyperlink xmlns:r="http://schemas.openxmlformats.org/officeDocument/2006/relationships" ref="R281" display="https://github.com/bootstrapprx/kodoo/tree/main/modules" r:id="rId277"/>
    <hyperlink xmlns:r="http://schemas.openxmlformats.org/officeDocument/2006/relationships" ref="R282" display="https://github.com/bootstrapprx/kodoo/tree/main/modules" r:id="rId278"/>
    <hyperlink xmlns:r="http://schemas.openxmlformats.org/officeDocument/2006/relationships" ref="R283" display="https://github.com/bootstrapprx/kodoo/tree/main/modules" r:id="rId279"/>
    <hyperlink xmlns:r="http://schemas.openxmlformats.org/officeDocument/2006/relationships" ref="R284" display="https://github.com/bootstrapprx/kodoo/tree/main/modules" r:id="rId280"/>
    <hyperlink xmlns:r="http://schemas.openxmlformats.org/officeDocument/2006/relationships" ref="R285" display="https://github.com/bootstrapprx/kodoo/tree/main/modules" r:id="rId281"/>
    <hyperlink xmlns:r="http://schemas.openxmlformats.org/officeDocument/2006/relationships" ref="R286" display="https://github.com/bootstrapprx/kodoo/tree/main/modules" r:id="rId282"/>
    <hyperlink xmlns:r="http://schemas.openxmlformats.org/officeDocument/2006/relationships" ref="R287" display="https://github.com/bootstrapprx/kodoo/tree/main/modules" r:id="rId283"/>
    <hyperlink xmlns:r="http://schemas.openxmlformats.org/officeDocument/2006/relationships" ref="R288" display="https://github.com/bootstrapprx/kodoo/tree/main/modules" r:id="rId284"/>
    <hyperlink xmlns:r="http://schemas.openxmlformats.org/officeDocument/2006/relationships" ref="R289" display="https://github.com/bootstrapprx/kodoo/tree/main/modules" r:id="rId285"/>
    <hyperlink xmlns:r="http://schemas.openxmlformats.org/officeDocument/2006/relationships" ref="R290" display="https://github.com/bootstrapprx/kodoo/tree/main/modules" r:id="rId286"/>
    <hyperlink xmlns:r="http://schemas.openxmlformats.org/officeDocument/2006/relationships" ref="R291" display="https://github.com/bootstrapprx/kodoo/tree/main/modules" r:id="rId287"/>
    <hyperlink xmlns:r="http://schemas.openxmlformats.org/officeDocument/2006/relationships" ref="R292" display="https://github.com/bootstrapprx/kodoo/tree/main/modules" r:id="rId288"/>
    <hyperlink xmlns:r="http://schemas.openxmlformats.org/officeDocument/2006/relationships" ref="R293" display="https://github.com/bootstrapprx/kodoo/tree/main/modules" r:id="rId289"/>
    <hyperlink xmlns:r="http://schemas.openxmlformats.org/officeDocument/2006/relationships" ref="R294" display="https://github.com/bootstrapprx/kodoo/tree/main/modules" r:id="rId290"/>
    <hyperlink xmlns:r="http://schemas.openxmlformats.org/officeDocument/2006/relationships" ref="R295" display="https://github.com/bootstrapprx/kodoo/tree/main/modules" r:id="rId291"/>
    <hyperlink xmlns:r="http://schemas.openxmlformats.org/officeDocument/2006/relationships" ref="R296" display="https://github.com/bootstrapprx/kodoo/tree/main/modules" r:id="rId292"/>
    <hyperlink xmlns:r="http://schemas.openxmlformats.org/officeDocument/2006/relationships" ref="R297" display="https://github.com/bootstrapprx/kodoo/tree/main/modules" r:id="rId293"/>
    <hyperlink xmlns:r="http://schemas.openxmlformats.org/officeDocument/2006/relationships" ref="R298" display="https://github.com/bootstrapprx/kodoo/tree/main/modules" r:id="rId294"/>
    <hyperlink xmlns:r="http://schemas.openxmlformats.org/officeDocument/2006/relationships" ref="R299" display="https://github.com/bootstrapprx/kodoo/tree/main/modules" r:id="rId295"/>
    <hyperlink xmlns:r="http://schemas.openxmlformats.org/officeDocument/2006/relationships" ref="R300" display="https://github.com/bootstrapprx/kodoo/tree/main/modules" r:id="rId29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40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5" customWidth="1" style="49" min="1" max="1"/>
    <col width="22" customWidth="1" style="49" min="2" max="2"/>
    <col width="55" customWidth="1" style="49" min="3" max="3"/>
    <col width="24" customWidth="1" style="49" min="4" max="6"/>
    <col width="32" customWidth="1" style="49" min="7" max="7"/>
  </cols>
  <sheetData>
    <row r="1" ht="30" customHeight="1" s="50">
      <c r="A1" s="51" t="inlineStr">
        <is>
          <t>Arquétipos de tela e seus componentes</t>
        </is>
      </c>
      <c r="B1" s="52" t="n"/>
      <c r="C1" s="52" t="n"/>
      <c r="D1" s="52" t="n"/>
      <c r="E1" s="52" t="n"/>
      <c r="F1" s="52" t="n"/>
      <c r="G1" s="52" t="n"/>
    </row>
    <row r="2" ht="15" customHeight="1" s="50">
      <c r="A2" s="81" t="inlineStr">
        <is>
          <t>Cada arquétipo precisa de uma spec no crate kodoo-view e de um componente genérico no Dioxus. Atualize os status conforme avançar.</t>
        </is>
      </c>
    </row>
    <row r="4" ht="43.5" customHeight="1" s="50">
      <c r="A4" s="82" t="inlineStr">
        <is>
          <t>Arquétipo</t>
        </is>
      </c>
      <c r="B4" s="82" t="inlineStr">
        <is>
          <t>Família</t>
        </is>
      </c>
      <c r="C4" s="82" t="inlineStr">
        <is>
          <t>Descrição</t>
        </is>
      </c>
      <c r="D4" s="82" t="inlineStr">
        <is>
          <t>Spec (kodoo-view)</t>
        </is>
      </c>
      <c r="E4" s="82" t="inlineStr">
        <is>
          <t>Componente Dioxus</t>
        </is>
      </c>
      <c r="F4" s="82" t="inlineStr">
        <is>
          <t>Telas planejadas ou existentes</t>
        </is>
      </c>
      <c r="G4" s="82" t="inlineStr">
        <is>
          <t>Notas</t>
        </is>
      </c>
    </row>
    <row r="5" ht="15" customHeight="1" s="50">
      <c r="A5" s="84" t="inlineStr">
        <is>
          <t>Dashboard</t>
        </is>
      </c>
      <c r="B5" s="84" t="inlineStr">
        <is>
          <t>Orientação</t>
        </is>
      </c>
      <c r="C5" s="84" t="inlineStr">
        <is>
          <t>Widgets que apontam para telas de projeção</t>
        </is>
      </c>
      <c r="D5" s="84" t="inlineStr">
        <is>
          <t>Em andamento</t>
        </is>
      </c>
      <c r="E5" s="84" t="inlineStr">
        <is>
          <t>Planejada</t>
        </is>
      </c>
      <c r="F5" s="85">
        <f>IF(A5="","",COUNTIF(Telas!$D$5:$D$400,A5))</f>
        <v/>
      </c>
      <c r="G5" s="84" t="n"/>
    </row>
    <row r="6" ht="15" customHeight="1" s="50">
      <c r="A6" s="84" t="inlineStr">
        <is>
          <t>Launcher</t>
        </is>
      </c>
      <c r="B6" s="84" t="inlineStr">
        <is>
          <t>Orientação</t>
        </is>
      </c>
      <c r="C6" s="84" t="inlineStr">
        <is>
          <t>Lançador de módulos e entradas</t>
        </is>
      </c>
      <c r="D6" s="84" t="inlineStr">
        <is>
          <t>Em andamento</t>
        </is>
      </c>
      <c r="E6" s="84" t="inlineStr">
        <is>
          <t>Planejada</t>
        </is>
      </c>
      <c r="F6" s="85">
        <f>IF(A6="","",COUNTIF(Telas!$D$5:$D$400,A6))</f>
        <v/>
      </c>
      <c r="G6" s="84" t="n"/>
    </row>
    <row r="7" ht="15" customHeight="1" s="50">
      <c r="A7" s="84" t="inlineStr">
        <is>
          <t>List</t>
        </is>
      </c>
      <c r="B7" s="84" t="inlineStr">
        <is>
          <t>Consulta</t>
        </is>
      </c>
      <c r="C7" s="84" t="inlineStr">
        <is>
          <t>Grade com filtros, ordenação e paginação</t>
        </is>
      </c>
      <c r="D7" s="84" t="inlineStr">
        <is>
          <t>Em andamento</t>
        </is>
      </c>
      <c r="E7" s="84" t="inlineStr">
        <is>
          <t>Planejada</t>
        </is>
      </c>
      <c r="F7" s="85">
        <f>IF(A7="","",COUNTIF(Telas!$D$5:$D$400,A7))</f>
        <v/>
      </c>
      <c r="G7" s="84" t="n"/>
    </row>
    <row r="8" ht="15" customHeight="1" s="50">
      <c r="A8" s="84" t="inlineStr">
        <is>
          <t>Detail</t>
        </is>
      </c>
      <c r="B8" s="84" t="inlineStr">
        <is>
          <t>Consulta</t>
        </is>
      </c>
      <c r="C8" s="84" t="inlineStr">
        <is>
          <t>Registro somente leitura com abas relacionadas</t>
        </is>
      </c>
      <c r="D8" s="84" t="inlineStr">
        <is>
          <t>Em andamento</t>
        </is>
      </c>
      <c r="E8" s="84" t="inlineStr">
        <is>
          <t>Planejada</t>
        </is>
      </c>
      <c r="F8" s="85">
        <f>IF(A8="","",COUNTIF(Telas!$D$5:$D$400,A8))</f>
        <v/>
      </c>
      <c r="G8" s="84" t="n"/>
    </row>
    <row r="9" ht="15" customHeight="1" s="50">
      <c r="A9" s="84" t="inlineStr">
        <is>
          <t>Calendar</t>
        </is>
      </c>
      <c r="B9" s="84" t="inlineStr">
        <is>
          <t>Consulta</t>
        </is>
      </c>
      <c r="C9" s="84" t="inlineStr">
        <is>
          <t>Itens posicionados por data</t>
        </is>
      </c>
      <c r="D9" s="84" t="inlineStr">
        <is>
          <t>Em andamento</t>
        </is>
      </c>
      <c r="E9" s="84" t="inlineStr">
        <is>
          <t>Planejada</t>
        </is>
      </c>
      <c r="F9" s="85">
        <f>IF(A9="","",COUNTIF(Telas!$D$5:$D$400,A9))</f>
        <v/>
      </c>
      <c r="G9" s="84" t="n"/>
    </row>
    <row r="10" ht="15" customHeight="1" s="50">
      <c r="A10" s="84" t="inlineStr">
        <is>
          <t>Kanban</t>
        </is>
      </c>
      <c r="B10" s="84" t="inlineStr">
        <is>
          <t>Consulta</t>
        </is>
      </c>
      <c r="C10" s="84" t="inlineStr">
        <is>
          <t>Cartões agrupados por campo</t>
        </is>
      </c>
      <c r="D10" s="84" t="inlineStr">
        <is>
          <t>Em andamento</t>
        </is>
      </c>
      <c r="E10" s="84" t="inlineStr">
        <is>
          <t>Planejada</t>
        </is>
      </c>
      <c r="F10" s="85">
        <f>IF(A10="","",COUNTIF(Telas!$D$5:$D$400,A10))</f>
        <v/>
      </c>
      <c r="G10" s="84" t="n"/>
    </row>
    <row r="11" ht="15" customHeight="1" s="50">
      <c r="A11" s="84" t="inlineStr">
        <is>
          <t>Form</t>
        </is>
      </c>
      <c r="B11" s="84" t="inlineStr">
        <is>
          <t>Edição</t>
        </is>
      </c>
      <c r="C11" s="84" t="inlineStr">
        <is>
          <t>Criar e editar um registro</t>
        </is>
      </c>
      <c r="D11" s="84" t="inlineStr">
        <is>
          <t>Em andamento</t>
        </is>
      </c>
      <c r="E11" s="84" t="inlineStr">
        <is>
          <t>Planejada</t>
        </is>
      </c>
      <c r="F11" s="85">
        <f>IF(A11="","",COUNTIF(Telas!$D$5:$D$400,A11))</f>
        <v/>
      </c>
      <c r="G11" s="84" t="n"/>
    </row>
    <row r="12" ht="15" customHeight="1" s="50">
      <c r="A12" s="84" t="inlineStr">
        <is>
          <t>MasterDetail</t>
        </is>
      </c>
      <c r="B12" s="84" t="inlineStr">
        <is>
          <t>Edição</t>
        </is>
      </c>
      <c r="C12" s="84" t="inlineStr">
        <is>
          <t>Cabeçalho com linhas (ex.: lançamento e partidas)</t>
        </is>
      </c>
      <c r="D12" s="84" t="inlineStr">
        <is>
          <t>Em andamento</t>
        </is>
      </c>
      <c r="E12" s="84" t="inlineStr">
        <is>
          <t>Planejada</t>
        </is>
      </c>
      <c r="F12" s="85">
        <f>IF(A12="","",COUNTIF(Telas!$D$5:$D$400,A12))</f>
        <v/>
      </c>
      <c r="G12" s="84" t="n"/>
    </row>
    <row r="13" ht="15" customHeight="1" s="50">
      <c r="A13" s="84" t="inlineStr">
        <is>
          <t>BulkEdit</t>
        </is>
      </c>
      <c r="B13" s="84" t="inlineStr">
        <is>
          <t>Edição</t>
        </is>
      </c>
      <c r="C13" s="84" t="inlineStr">
        <is>
          <t>Alterar campos de vários registros</t>
        </is>
      </c>
      <c r="D13" s="84" t="inlineStr">
        <is>
          <t>Em andamento</t>
        </is>
      </c>
      <c r="E13" s="84" t="inlineStr">
        <is>
          <t>Planejada</t>
        </is>
      </c>
      <c r="F13" s="85">
        <f>IF(A13="","",COUNTIF(Telas!$D$5:$D$400,A13))</f>
        <v/>
      </c>
      <c r="G13" s="84" t="n"/>
    </row>
    <row r="14" ht="15" customHeight="1" s="50">
      <c r="A14" s="84" t="inlineStr">
        <is>
          <t>Tree</t>
        </is>
      </c>
      <c r="B14" s="84" t="inlineStr">
        <is>
          <t>Classificação</t>
        </is>
      </c>
      <c r="C14" s="84" t="inlineStr">
        <is>
          <t>Hierarquia (ex.: plano de contas)</t>
        </is>
      </c>
      <c r="D14" s="84" t="inlineStr">
        <is>
          <t>Em andamento</t>
        </is>
      </c>
      <c r="E14" s="84" t="inlineStr">
        <is>
          <t>Planejada</t>
        </is>
      </c>
      <c r="F14" s="85">
        <f>IF(A14="","",COUNTIF(Telas!$D$5:$D$400,A14))</f>
        <v/>
      </c>
      <c r="G14" s="84" t="n"/>
    </row>
    <row r="15" ht="15" customHeight="1" s="50">
      <c r="A15" s="84" t="inlineStr">
        <is>
          <t>Mapping</t>
        </is>
      </c>
      <c r="B15" s="84" t="inlineStr">
        <is>
          <t>Classificação</t>
        </is>
      </c>
      <c r="C15" s="84" t="inlineStr">
        <is>
          <t>Vínculos de-para entre entidades</t>
        </is>
      </c>
      <c r="D15" s="84" t="inlineStr">
        <is>
          <t>Em andamento</t>
        </is>
      </c>
      <c r="E15" s="84" t="inlineStr">
        <is>
          <t>Planejada</t>
        </is>
      </c>
      <c r="F15" s="85">
        <f>IF(A15="","",COUNTIF(Telas!$D$5:$D$400,A15))</f>
        <v/>
      </c>
      <c r="G15" s="84" t="n"/>
    </row>
    <row r="16" ht="15" customHeight="1" s="50">
      <c r="A16" s="84" t="inlineStr">
        <is>
          <t>Report</t>
        </is>
      </c>
      <c r="B16" s="84" t="inlineStr">
        <is>
          <t>Projeção / Análise</t>
        </is>
      </c>
      <c r="C16" s="84" t="inlineStr">
        <is>
          <t>Relatório parametrizado com totais e drill-down</t>
        </is>
      </c>
      <c r="D16" s="84" t="inlineStr">
        <is>
          <t>Em andamento</t>
        </is>
      </c>
      <c r="E16" s="84" t="inlineStr">
        <is>
          <t>Planejada</t>
        </is>
      </c>
      <c r="F16" s="85">
        <f>IF(A16="","",COUNTIF(Telas!$D$5:$D$400,A16))</f>
        <v/>
      </c>
      <c r="G16" s="84" t="n"/>
    </row>
    <row r="17" ht="15" customHeight="1" s="50">
      <c r="A17" s="84" t="inlineStr">
        <is>
          <t>Pivot</t>
        </is>
      </c>
      <c r="B17" s="84" t="inlineStr">
        <is>
          <t>Projeção / Análise</t>
        </is>
      </c>
      <c r="C17" s="84" t="inlineStr">
        <is>
          <t>Tabela dinâmica por linhas, colunas e medidas</t>
        </is>
      </c>
      <c r="D17" s="84" t="inlineStr">
        <is>
          <t>Em andamento</t>
        </is>
      </c>
      <c r="E17" s="84" t="inlineStr">
        <is>
          <t>Planejada</t>
        </is>
      </c>
      <c r="F17" s="85">
        <f>IF(A17="","",COUNTIF(Telas!$D$5:$D$400,A17))</f>
        <v/>
      </c>
      <c r="G17" s="84" t="n"/>
    </row>
    <row r="18" ht="15" customHeight="1" s="50">
      <c r="A18" s="84" t="inlineStr">
        <is>
          <t>Chart</t>
        </is>
      </c>
      <c r="B18" s="84" t="inlineStr">
        <is>
          <t>Projeção / Análise</t>
        </is>
      </c>
      <c r="C18" s="84" t="inlineStr">
        <is>
          <t>Gráfico de séries</t>
        </is>
      </c>
      <c r="D18" s="84" t="inlineStr">
        <is>
          <t>Em andamento</t>
        </is>
      </c>
      <c r="E18" s="84" t="inlineStr">
        <is>
          <t>Planejada</t>
        </is>
      </c>
      <c r="F18" s="85">
        <f>IF(A18="","",COUNTIF(Telas!$D$5:$D$400,A18))</f>
        <v/>
      </c>
      <c r="G18" s="84" t="n"/>
    </row>
    <row r="19" ht="15" customHeight="1" s="50">
      <c r="A19" s="84" t="inlineStr">
        <is>
          <t>Comparative</t>
        </is>
      </c>
      <c r="B19" s="84" t="inlineStr">
        <is>
          <t>Projeção / Análise</t>
        </is>
      </c>
      <c r="C19" s="84" t="inlineStr">
        <is>
          <t>Previsto versus realizado</t>
        </is>
      </c>
      <c r="D19" s="84" t="inlineStr">
        <is>
          <t>Em andamento</t>
        </is>
      </c>
      <c r="E19" s="84" t="inlineStr">
        <is>
          <t>Planejada</t>
        </is>
      </c>
      <c r="F19" s="85">
        <f>IF(A19="","",COUNTIF(Telas!$D$5:$D$400,A19))</f>
        <v/>
      </c>
      <c r="G19" s="84" t="n"/>
    </row>
    <row r="20" ht="15" customHeight="1" s="50">
      <c r="A20" s="84" t="inlineStr">
        <is>
          <t>AuditTrail</t>
        </is>
      </c>
      <c r="B20" s="84" t="inlineStr">
        <is>
          <t>Registro</t>
        </is>
      </c>
      <c r="C20" s="84" t="inlineStr">
        <is>
          <t>Histórico imutável com diferenças</t>
        </is>
      </c>
      <c r="D20" s="84" t="inlineStr">
        <is>
          <t>Em andamento</t>
        </is>
      </c>
      <c r="E20" s="84" t="inlineStr">
        <is>
          <t>Planejada</t>
        </is>
      </c>
      <c r="F20" s="85">
        <f>IF(A20="","",COUNTIF(Telas!$D$5:$D$400,A20))</f>
        <v/>
      </c>
      <c r="G20" s="84" t="n"/>
    </row>
    <row r="21" ht="15" customHeight="1" s="50">
      <c r="A21" s="84" t="inlineStr">
        <is>
          <t>Wizard</t>
        </is>
      </c>
      <c r="B21" s="84" t="inlineStr">
        <is>
          <t>Processamento</t>
        </is>
      </c>
      <c r="C21" s="84" t="inlineStr">
        <is>
          <t>Assistente em passos que executa um comando</t>
        </is>
      </c>
      <c r="D21" s="84" t="inlineStr">
        <is>
          <t>Em andamento</t>
        </is>
      </c>
      <c r="E21" s="84" t="inlineStr">
        <is>
          <t>Planejada</t>
        </is>
      </c>
      <c r="F21" s="85">
        <f>IF(A21="","",COUNTIF(Telas!$D$5:$D$400,A21))</f>
        <v/>
      </c>
      <c r="G21" s="84" t="n"/>
    </row>
    <row r="22" ht="15" customHeight="1" s="50">
      <c r="A22" s="84" t="inlineStr">
        <is>
          <t>Import</t>
        </is>
      </c>
      <c r="B22" s="84" t="inlineStr">
        <is>
          <t>Processamento</t>
        </is>
      </c>
      <c r="C22" s="84" t="inlineStr">
        <is>
          <t>Carga de arquivo com mapeamento e simulação</t>
        </is>
      </c>
      <c r="D22" s="84" t="inlineStr">
        <is>
          <t>Em andamento</t>
        </is>
      </c>
      <c r="E22" s="84" t="inlineStr">
        <is>
          <t>Planejada</t>
        </is>
      </c>
      <c r="F22" s="85">
        <f>IF(A22="","",COUNTIF(Telas!$D$5:$D$400,A22))</f>
        <v/>
      </c>
      <c r="G22" s="84" t="n"/>
    </row>
    <row r="23" ht="15" customHeight="1" s="50">
      <c r="A23" s="84" t="inlineStr">
        <is>
          <t>Reconciliation</t>
        </is>
      </c>
      <c r="B23" s="84" t="inlineStr">
        <is>
          <t>Processamento</t>
        </is>
      </c>
      <c r="C23" s="84" t="inlineStr">
        <is>
          <t>Casamento entre dois conjuntos</t>
        </is>
      </c>
      <c r="D23" s="84" t="inlineStr">
        <is>
          <t>Em andamento</t>
        </is>
      </c>
      <c r="E23" s="84" t="inlineStr">
        <is>
          <t>Planejada</t>
        </is>
      </c>
      <c r="F23" s="85">
        <f>IF(A23="","",COUNTIF(Telas!$D$5:$D$400,A23))</f>
        <v/>
      </c>
      <c r="G23" s="84" t="n"/>
    </row>
    <row r="24" ht="15" customHeight="1" s="50">
      <c r="A24" s="84" t="inlineStr">
        <is>
          <t>PeriodClose</t>
        </is>
      </c>
      <c r="B24" s="84" t="inlineStr">
        <is>
          <t>Processamento</t>
        </is>
      </c>
      <c r="C24" s="84" t="inlineStr">
        <is>
          <t>Verificações e fechamento</t>
        </is>
      </c>
      <c r="D24" s="84" t="inlineStr">
        <is>
          <t>Em andamento</t>
        </is>
      </c>
      <c r="E24" s="84" t="inlineStr">
        <is>
          <t>Planejada</t>
        </is>
      </c>
      <c r="F24" s="85">
        <f>IF(A24="","",COUNTIF(Telas!$D$5:$D$400,A24))</f>
        <v/>
      </c>
      <c r="G24" s="84" t="n"/>
    </row>
    <row r="25" ht="15" customHeight="1" s="50">
      <c r="A25" s="84" t="inlineStr">
        <is>
          <t>Inbox</t>
        </is>
      </c>
      <c r="B25" s="84" t="inlineStr">
        <is>
          <t>Fluxo</t>
        </is>
      </c>
      <c r="C25" s="84" t="inlineStr">
        <is>
          <t>Fila de tarefas e aprovações</t>
        </is>
      </c>
      <c r="D25" s="84" t="inlineStr">
        <is>
          <t>Em andamento</t>
        </is>
      </c>
      <c r="E25" s="84" t="inlineStr">
        <is>
          <t>Planejada</t>
        </is>
      </c>
      <c r="F25" s="85">
        <f>IF(A25="","",COUNTIF(Telas!$D$5:$D$400,A25))</f>
        <v/>
      </c>
      <c r="G25" s="84" t="n"/>
    </row>
    <row r="26" ht="15" customHeight="1" s="50">
      <c r="A26" s="84" t="inlineStr">
        <is>
          <t>Settings</t>
        </is>
      </c>
      <c r="B26" s="84" t="inlineStr">
        <is>
          <t>Administração</t>
        </is>
      </c>
      <c r="C26" s="84" t="inlineStr">
        <is>
          <t>Grupos de parâmetros</t>
        </is>
      </c>
      <c r="D26" s="84" t="inlineStr">
        <is>
          <t>Em andamento</t>
        </is>
      </c>
      <c r="E26" s="84" t="inlineStr">
        <is>
          <t>Planejada</t>
        </is>
      </c>
      <c r="F26" s="85">
        <f>IF(A26="","",COUNTIF(Telas!$D$5:$D$400,A26))</f>
        <v/>
      </c>
      <c r="G26" s="84" t="n"/>
    </row>
    <row r="27" ht="15" customHeight="1" s="50">
      <c r="A27" s="84" t="inlineStr">
        <is>
          <t>Document</t>
        </is>
      </c>
      <c r="B27" s="84" t="inlineStr">
        <is>
          <t>Documento</t>
        </is>
      </c>
      <c r="C27" s="84" t="inlineStr">
        <is>
          <t>Documento para impressão ou PDF</t>
        </is>
      </c>
      <c r="D27" s="84" t="inlineStr">
        <is>
          <t>Em andamento</t>
        </is>
      </c>
      <c r="E27" s="84" t="inlineStr">
        <is>
          <t>Planejada</t>
        </is>
      </c>
      <c r="F27" s="85">
        <f>IF(A27="","",COUNTIF(Telas!$D$5:$D$400,A27))</f>
        <v/>
      </c>
      <c r="G27" s="84" t="n"/>
    </row>
    <row r="28" ht="15" customHeight="1" s="50">
      <c r="A28" s="84" t="inlineStr">
        <is>
          <t>Shell</t>
        </is>
      </c>
      <c r="B28" s="84" t="inlineStr">
        <is>
          <t>Sistema</t>
        </is>
      </c>
      <c r="C28" s="84" t="inlineStr">
        <is>
          <t>Itens da casca da aplicação (login, 404, navegação, TUI)</t>
        </is>
      </c>
      <c r="D28" s="84" t="inlineStr">
        <is>
          <t>N/A</t>
        </is>
      </c>
      <c r="E28" s="84" t="inlineStr">
        <is>
          <t>Planejada</t>
        </is>
      </c>
      <c r="F28" s="85">
        <f>IF(A28="","",COUNTIF(Telas!$D$5:$D$400,A28))</f>
        <v/>
      </c>
      <c r="G28" s="84" t="n"/>
    </row>
    <row r="29" ht="15" customHeight="1" s="50">
      <c r="A29" s="84" t="n"/>
      <c r="B29" s="84" t="n"/>
      <c r="C29" s="84" t="n"/>
      <c r="D29" s="84" t="n"/>
      <c r="E29" s="84" t="n"/>
      <c r="F29" s="85">
        <f>IF(A29="","",COUNTIF(Telas!$D$5:$D$400,A29))</f>
        <v/>
      </c>
      <c r="G29" s="84" t="n"/>
    </row>
    <row r="30" ht="15" customHeight="1" s="50">
      <c r="A30" s="84" t="n"/>
      <c r="B30" s="84" t="n"/>
      <c r="C30" s="84" t="n"/>
      <c r="D30" s="84" t="n"/>
      <c r="E30" s="84" t="n"/>
      <c r="F30" s="85">
        <f>IF(A30="","",COUNTIF(Telas!$D$5:$D$400,A30))</f>
        <v/>
      </c>
      <c r="G30" s="84" t="n"/>
    </row>
    <row r="31" ht="15" customHeight="1" s="50">
      <c r="A31" s="84" t="n"/>
      <c r="B31" s="84" t="n"/>
      <c r="C31" s="84" t="n"/>
      <c r="D31" s="84" t="n"/>
      <c r="E31" s="84" t="n"/>
      <c r="F31" s="85">
        <f>IF(A31="","",COUNTIF(Telas!$D$5:$D$400,A31))</f>
        <v/>
      </c>
      <c r="G31" s="84" t="n"/>
    </row>
    <row r="32" ht="15" customHeight="1" s="50">
      <c r="A32" s="84" t="n"/>
      <c r="B32" s="84" t="n"/>
      <c r="C32" s="84" t="n"/>
      <c r="D32" s="84" t="n"/>
      <c r="E32" s="84" t="n"/>
      <c r="F32" s="85">
        <f>IF(A32="","",COUNTIF(Telas!$D$5:$D$400,A32))</f>
        <v/>
      </c>
      <c r="G32" s="84" t="n"/>
    </row>
    <row r="33" ht="15" customHeight="1" s="50">
      <c r="A33" s="84" t="n"/>
      <c r="B33" s="84" t="n"/>
      <c r="C33" s="84" t="n"/>
      <c r="D33" s="84" t="n"/>
      <c r="E33" s="84" t="n"/>
      <c r="F33" s="85">
        <f>IF(A33="","",COUNTIF(Telas!$D$5:$D$400,A33))</f>
        <v/>
      </c>
      <c r="G33" s="84" t="n"/>
    </row>
    <row r="34" ht="15" customHeight="1" s="50">
      <c r="A34" s="84" t="n"/>
      <c r="B34" s="84" t="n"/>
      <c r="C34" s="84" t="n"/>
      <c r="D34" s="84" t="n"/>
      <c r="E34" s="84" t="n"/>
      <c r="F34" s="85">
        <f>IF(A34="","",COUNTIF(Telas!$D$5:$D$400,A34))</f>
        <v/>
      </c>
      <c r="G34" s="84" t="n"/>
    </row>
    <row r="35" ht="15" customHeight="1" s="50">
      <c r="A35" s="84" t="n"/>
      <c r="B35" s="84" t="n"/>
      <c r="C35" s="84" t="n"/>
      <c r="D35" s="84" t="n"/>
      <c r="E35" s="84" t="n"/>
      <c r="F35" s="85">
        <f>IF(A35="","",COUNTIF(Telas!$D$5:$D$400,A35))</f>
        <v/>
      </c>
      <c r="G35" s="84" t="n"/>
    </row>
    <row r="36" ht="15" customHeight="1" s="50">
      <c r="A36" s="84" t="n"/>
      <c r="B36" s="84" t="n"/>
      <c r="C36" s="84" t="n"/>
      <c r="D36" s="84" t="n"/>
      <c r="E36" s="84" t="n"/>
      <c r="F36" s="85">
        <f>IF(A36="","",COUNTIF(Telas!$D$5:$D$400,A36))</f>
        <v/>
      </c>
      <c r="G36" s="84" t="n"/>
    </row>
    <row r="37" ht="15" customHeight="1" s="50">
      <c r="A37" s="84" t="n"/>
      <c r="B37" s="84" t="n"/>
      <c r="C37" s="84" t="n"/>
      <c r="D37" s="84" t="n"/>
      <c r="E37" s="84" t="n"/>
      <c r="F37" s="85">
        <f>IF(A37="","",COUNTIF(Telas!$D$5:$D$400,A37))</f>
        <v/>
      </c>
      <c r="G37" s="84" t="n"/>
    </row>
    <row r="38" ht="15" customHeight="1" s="50">
      <c r="A38" s="84" t="n"/>
      <c r="B38" s="84" t="n"/>
      <c r="C38" s="84" t="n"/>
      <c r="D38" s="84" t="n"/>
      <c r="E38" s="84" t="n"/>
      <c r="F38" s="85">
        <f>IF(A38="","",COUNTIF(Telas!$D$5:$D$400,A38))</f>
        <v/>
      </c>
      <c r="G38" s="84" t="n"/>
    </row>
    <row r="39" ht="15" customHeight="1" s="50">
      <c r="A39" s="84" t="n"/>
      <c r="B39" s="84" t="n"/>
      <c r="C39" s="84" t="n"/>
      <c r="D39" s="84" t="n"/>
      <c r="E39" s="84" t="n"/>
      <c r="F39" s="85">
        <f>IF(A39="","",COUNTIF(Telas!$D$5:$D$400,A39))</f>
        <v/>
      </c>
      <c r="G39" s="84" t="n"/>
    </row>
    <row r="40" ht="15" customHeight="1" s="50">
      <c r="A40" s="84" t="n"/>
      <c r="B40" s="84" t="n"/>
      <c r="C40" s="84" t="n"/>
      <c r="D40" s="84" t="n"/>
      <c r="E40" s="84" t="n"/>
      <c r="F40" s="85">
        <f>IF(A40="","",COUNTIF(Telas!$D$5:$D$400,A40))</f>
        <v/>
      </c>
      <c r="G40" s="84" t="n"/>
    </row>
  </sheetData>
  <dataValidations count="2">
    <dataValidation sqref="D5:D40" showDropDown="0" showInputMessage="0" showErrorMessage="0" allowBlank="1" type="list" errorStyle="stop" operator="between">
      <formula1>"Existe,Em andamento,Planejada,Descartada,N/A"</formula1>
      <formula2>0</formula2>
    </dataValidation>
    <dataValidation sqref="E5:E40" showDropDown="0" showInputMessage="0" showErrorMessage="0" allowBlank="1" type="list" errorStyle="stop" operator="between">
      <formula1>Listas!$B$5:$B$8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9" min="1" max="1"/>
    <col width="30" customWidth="1" style="49" min="2" max="2"/>
    <col width="48" customWidth="1" style="49" min="3" max="4"/>
    <col width="25" customWidth="1" style="49" min="5" max="6"/>
    <col width="42" customWidth="1" style="49" min="7" max="7"/>
  </cols>
  <sheetData>
    <row r="1" ht="30" customHeight="1" s="50">
      <c r="A1" s="51" t="inlineStr">
        <is>
          <t>Roadmap do repositório — fases e critérios de saída</t>
        </is>
      </c>
      <c r="B1" s="52" t="n"/>
      <c r="C1" s="52" t="n"/>
      <c r="D1" s="52" t="n"/>
      <c r="E1" s="52" t="n"/>
      <c r="F1" s="52" t="n"/>
      <c r="G1" s="52" t="n"/>
    </row>
    <row r="2" ht="15" customHeight="1" s="50">
      <c r="A2" s="53" t="inlineStr">
        <is>
          <t>Fonte principal: context/roadmap.md (21/09/2026) e context/domain-app-migration.md (19/10/2026). Não confundir com a classificação antiga do catálogo.</t>
        </is>
      </c>
    </row>
    <row r="4" ht="48" customHeight="1" s="50">
      <c r="A4" s="80" t="inlineStr">
        <is>
          <t>Code</t>
        </is>
      </c>
      <c r="B4" s="80" t="inlineStr">
        <is>
          <t>Repository Phase / Workstream</t>
        </is>
      </c>
      <c r="C4" s="80" t="inlineStr">
        <is>
          <t>Objective</t>
        </is>
      </c>
      <c r="D4" s="80" t="inlineStr">
        <is>
          <t>Verifiable Exit Criteria</t>
        </is>
      </c>
      <c r="E4" s="80" t="inlineStr">
        <is>
          <t>Dependencies</t>
        </is>
      </c>
      <c r="F4" s="80" t="inlineStr">
        <is>
          <t>Initial Audit Status</t>
        </is>
      </c>
      <c r="G4" s="80" t="inlineStr">
        <is>
          <t>Source</t>
        </is>
      </c>
    </row>
    <row r="5" ht="43.5" customHeight="1" s="50">
      <c r="A5" s="83" t="inlineStr">
        <is>
          <t>F0</t>
        </is>
      </c>
      <c r="B5" s="83" t="inlineStr">
        <is>
          <t>Decisões de execução e provisionamento</t>
        </is>
      </c>
      <c r="C5" s="83" t="inlineStr">
        <is>
          <t>Fechar decisões operacionais que condicionam a implantação e a sequência do trabalho.</t>
        </is>
      </c>
      <c r="D5" s="83" t="inlineStr">
        <is>
          <t>Decisões registradas; responsáveis e ambiente-alvo definidos; decisões refletidas em scripts/docs e verificadas em ambiente limpo.</t>
        </is>
      </c>
      <c r="E5" s="83" t="inlineStr">
        <is>
          <t>—</t>
        </is>
      </c>
      <c r="F5" s="83" t="inlineStr">
        <is>
          <t>Documentado; confirmar decisões ainda abertas</t>
        </is>
      </c>
      <c r="G5" s="83" t="inlineStr">
        <is>
          <t>context/roadmap.md</t>
        </is>
      </c>
    </row>
    <row r="6" ht="34.5" customHeight="1" s="50">
      <c r="A6" s="53" t="inlineStr">
        <is>
          <t>F1</t>
        </is>
      </c>
      <c r="B6" s="53" t="inlineStr">
        <is>
          <t>Fundação PostgreSQL</t>
        </is>
      </c>
      <c r="C6" s="53" t="inlineStr">
        <is>
          <t>Papéis, ownership, execução de migrations e checks SQL.</t>
        </is>
      </c>
      <c r="D6" s="53" t="inlineStr">
        <is>
          <t>Bootstrap reproduzível; migrations/checks passam em banco limpo; ownership e permissões validados; CI prova o fluxo.</t>
        </is>
      </c>
      <c r="E6" s="53" t="inlineStr">
        <is>
          <t>F0</t>
        </is>
      </c>
      <c r="F6" s="53" t="inlineStr">
        <is>
          <t>Parcial/documentado; validar contra HEAD atual</t>
        </is>
      </c>
      <c r="G6" s="53" t="inlineStr">
        <is>
          <t>context/roadmap.md; .github/workflows/ci.yml</t>
        </is>
      </c>
    </row>
    <row r="7" ht="23.25" customHeight="1" s="50">
      <c r="A7" s="53" t="inlineStr">
        <is>
          <t>F2</t>
        </is>
      </c>
      <c r="B7" s="53" t="inlineStr">
        <is>
          <t>Identidade, entidades e isolamento</t>
        </is>
      </c>
      <c r="C7" s="53" t="inlineStr">
        <is>
          <t>Identidade, organização/escopo, persistência e autorização transversal.</t>
        </is>
      </c>
      <c r="D7" s="53" t="inlineStr">
        <is>
          <t>Testes negativos provam isolamento entre organizações, rejeição de contexto ausente/malformado e ausência de vazamento após rollback/erro/reuso de conexão.</t>
        </is>
      </c>
      <c r="E7" s="53" t="inlineStr">
        <is>
          <t>F1</t>
        </is>
      </c>
      <c r="F7" s="53" t="inlineStr">
        <is>
          <t>Implementação presente; aceite PostgreSQL 18 CI pendente</t>
        </is>
      </c>
      <c r="G7" s="53" t="inlineStr">
        <is>
          <t>context/roadmap.md; context/identity-isolation.md; context/f2-authorization-matrix.md</t>
        </is>
      </c>
    </row>
    <row r="8" ht="23.25" customHeight="1" s="50">
      <c r="A8" s="53" t="inlineStr">
        <is>
          <t>F3</t>
        </is>
      </c>
      <c r="B8" s="53" t="inlineStr">
        <is>
          <t>Primeira fatia operacional nativa</t>
        </is>
      </c>
      <c r="C8" s="53" t="inlineStr">
        <is>
          <t>Fluxo vertical durável e autorizado, da API à persistência, com evidência de auditoria.</t>
        </is>
      </c>
      <c r="D8" s="53" t="inlineStr">
        <is>
          <t>Mutação autorizada persiste no PostgreSQL; transições inválidas e requisições não autorizadas são rejeitadas; evidência/auditoria verificável.</t>
        </is>
      </c>
      <c r="E8" s="53" t="inlineStr">
        <is>
          <t>F2</t>
        </is>
      </c>
      <c r="F8" s="53" t="inlineStr">
        <is>
          <t>Parcial; demonstrar fluxo ponta a ponta</t>
        </is>
      </c>
      <c r="G8" s="53" t="inlineStr">
        <is>
          <t>context/roadmap.md</t>
        </is>
      </c>
    </row>
    <row r="9" ht="23.25" customHeight="1" s="50">
      <c r="A9" s="53" t="inlineStr">
        <is>
          <t>F4</t>
        </is>
      </c>
      <c r="B9" s="53" t="inlineStr">
        <is>
          <t>Efeitos externos controlados</t>
        </is>
      </c>
      <c r="C9" s="53" t="inlineStr">
        <is>
          <t>Outbox/worker, retries, idempotência e tratamento de entregas ambíguas.</t>
        </is>
      </c>
      <c r="D9" s="53" t="inlineStr">
        <is>
          <t>Testes de falha, duplicação, timeout e retomada; provider dispatchers identificados como pendentes até prova.</t>
        </is>
      </c>
      <c r="E9" s="53" t="inlineStr">
        <is>
          <t>F3</t>
        </is>
      </c>
      <c r="F9" s="53" t="inlineStr">
        <is>
          <t>Infra de worker/falhas documentada; dispatchers específicos pendentes</t>
        </is>
      </c>
      <c r="G9" s="53" t="inlineStr">
        <is>
          <t>context/roadmap.md</t>
        </is>
      </c>
    </row>
    <row r="10" ht="23.25" customHeight="1" s="50">
      <c r="A10" s="53" t="inlineStr">
        <is>
          <t>F5</t>
        </is>
      </c>
      <c r="B10" s="53" t="inlineStr">
        <is>
          <t>Inventário e migração de origem</t>
        </is>
      </c>
      <c r="C10" s="53" t="inlineStr">
        <is>
          <t>Inventário da origem, ensaio de importação e adaptador de compatibilidade Odoo restrito.</t>
        </is>
      </c>
      <c r="D10" s="53" t="inlineStr">
        <is>
          <t>Importação determinística com proveniência, reconciliação, relatório de divergências e contrato do adaptador; ensaio repetível.</t>
        </is>
      </c>
      <c r="E10" s="53" t="inlineStr">
        <is>
          <t>F3; decisões de F4 conforme integração</t>
        </is>
      </c>
      <c r="F10" s="53" t="inlineStr">
        <is>
          <t>Pendente no roadmap consultado</t>
        </is>
      </c>
      <c r="G10" s="53" t="inlineStr">
        <is>
          <t>context/roadmap.md</t>
        </is>
      </c>
    </row>
    <row r="11" ht="23.25" customHeight="1" s="50">
      <c r="A11" s="53" t="inlineStr">
        <is>
          <t>F6</t>
        </is>
      </c>
      <c r="B11" s="53" t="inlineStr">
        <is>
          <t>Cutover controlado e aposentadoria do adaptador</t>
        </is>
      </c>
      <c r="C11" s="53" t="inlineStr">
        <is>
          <t>Migrar tráfego/dados com fencing de escrita e plano seguro de recuperação.</t>
        </is>
      </c>
      <c r="D11" s="53" t="inlineStr">
        <is>
          <t>Critérios de corte aprovados; fencing comprovado; reconciliação pós-corte; nenhuma reversão obsoleta após escrita aceita no destino.</t>
        </is>
      </c>
      <c r="E11" s="53" t="inlineStr">
        <is>
          <t>F5</t>
        </is>
      </c>
      <c r="F11" s="53" t="inlineStr">
        <is>
          <t>Pendente no roadmap consultado</t>
        </is>
      </c>
      <c r="G11" s="53" t="inlineStr">
        <is>
          <t>context/roadmap.md</t>
        </is>
      </c>
    </row>
    <row r="12" ht="15" customHeight="1" s="50">
      <c r="A12" s="53" t="inlineStr">
        <is>
          <t>A1</t>
        </is>
      </c>
      <c r="B12" s="53" t="inlineStr">
        <is>
          <t>Contabilidade e TigerBeetle (trilha paralela)</t>
        </is>
      </c>
      <c r="C12" s="53" t="inlineStr">
        <is>
          <t>Consolidar invariantes contábeis e o limite de autoridade do ledger.</t>
        </is>
      </c>
      <c r="D12" s="53" t="inlineStr">
        <is>
          <t>Postagem, reversão, saldos e reconciliação aceitos ponta a ponta no TigerBeetle; histórico de correções preservado; PostgreSQL não substitui a autoridade do ledger.</t>
        </is>
      </c>
      <c r="E12" s="53" t="inlineStr">
        <is>
          <t>F1; F2 para contexto organizacional</t>
        </is>
      </c>
      <c r="F12" s="53" t="inlineStr">
        <is>
          <t>Parcial: engines/CLI/TUI/reporting documentados; aceite autoritativo ponta a ponta ainda precisa de evidência</t>
        </is>
      </c>
      <c r="G12" s="53" t="inlineStr">
        <is>
          <t>context/roadmap.md; context/domain-app-migration.md</t>
        </is>
      </c>
    </row>
    <row r="13" ht="15" customHeight="1" s="50"/>
    <row r="14" ht="15" customHeight="1" s="50"/>
  </sheetData>
  <autoFilter ref="A4:G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9" min="1" max="1"/>
    <col width="42" customWidth="1" style="49" min="2" max="2"/>
    <col width="34" customWidth="1" style="49" min="3" max="4"/>
    <col width="70" customWidth="1" style="49" min="5" max="5"/>
    <col width="42" customWidth="1" style="49" min="6" max="6"/>
    <col width="62" customWidth="1" style="49" min="7" max="7"/>
    <col width="44" customWidth="1" style="49" min="8" max="8"/>
    <col width="25" customWidth="1" style="49" min="9" max="9"/>
  </cols>
  <sheetData>
    <row r="1" ht="30" customHeight="1" s="50">
      <c r="A1" s="51" t="inlineStr">
        <is>
          <t>Repository module map — ownership, completeness and entry links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</row>
    <row r="2" ht="95.5" customHeight="1" s="50">
      <c r="A2" s="53" t="inlineStr">
        <is>
          <t>Status is based on repository documentation and directory presence, not a full audit of every source file. A directory is not proof of a complete module.</t>
        </is>
      </c>
    </row>
    <row r="4" ht="48" customHeight="1" s="50">
      <c r="A4" s="80" t="inlineStr">
        <is>
          <t>Parent Module</t>
        </is>
      </c>
      <c r="B4" s="80" t="inlineStr">
        <is>
          <t>Submodule / Area</t>
        </is>
      </c>
      <c r="C4" s="80" t="inlineStr">
        <is>
          <t>Repository Path</t>
        </is>
      </c>
      <c r="D4" s="80" t="inlineStr">
        <is>
          <t>Status from docs</t>
        </is>
      </c>
      <c r="E4" s="80" t="inlineStr">
        <is>
          <t>Known gap / next action</t>
        </is>
      </c>
      <c r="F4" s="80" t="inlineStr">
        <is>
          <t>Relevant app / surface</t>
        </is>
      </c>
      <c r="G4" s="80" t="inlineStr">
        <is>
          <t>Repository Link</t>
        </is>
      </c>
      <c r="H4" s="80" t="inlineStr">
        <is>
          <t>Evidence / source</t>
        </is>
      </c>
      <c r="I4" s="80" t="inlineStr">
        <is>
          <t>Confidence</t>
        </is>
      </c>
    </row>
    <row r="5" ht="41.75" customHeight="1" s="50">
      <c r="A5" s="53" t="inlineStr">
        <is>
          <t>accounting</t>
        </is>
      </c>
      <c r="B5" s="53" t="inlineStr">
        <is>
          <t>core, chart, calcs, fx, reports, bank, ledger, contract, cli, views/direct, views/tui</t>
        </is>
      </c>
      <c r="C5" s="53" t="inlineStr">
        <is>
          <t>modules/accounting</t>
        </is>
      </c>
      <c r="D5" s="53" t="inlineStr">
        <is>
          <t>Implemented in slices; incomplete as a product</t>
        </is>
      </c>
      <c r="E5" s="53" t="inlineStr">
        <is>
          <t>Finish open TODOs for periods/entries/batches/reversals/closing; expand bank/subledger reconciliation, primary reports/audit trail, remaining Kalkulisto read models and real-stack QA.</t>
        </is>
      </c>
      <c r="F5" s="53" t="inlineStr">
        <is>
          <t>apps/kalkulisto; backend; CLI/MCP; Ratatui</t>
        </is>
      </c>
      <c r="G5" s="57" t="inlineStr">
        <is>
          <t>https://github.com/bootstrapprx/kodoo/tree/main/modules/accounting</t>
        </is>
      </c>
      <c r="H5" s="53" t="inlineStr">
        <is>
          <t>context/domain-app-migration.md (2026-10-19)</t>
        </is>
      </c>
      <c r="I5" s="53" t="inlineStr">
        <is>
          <t>Documented</t>
        </is>
      </c>
    </row>
    <row r="6" ht="28.35" customHeight="1" s="50">
      <c r="A6" s="53" t="inlineStr">
        <is>
          <t>people</t>
        </is>
      </c>
      <c r="B6" s="53" t="inlineStr">
        <is>
          <t>Direct view and domain module</t>
        </is>
      </c>
      <c r="C6" s="53" t="inlineStr">
        <is>
          <t>modules/people</t>
        </is>
      </c>
      <c r="D6" s="53" t="inlineStr">
        <is>
          <t>Direct view integrated; overall completeness not audited</t>
        </is>
      </c>
      <c r="E6" s="53" t="inlineStr">
        <is>
          <t>Validate API/CLI/MCP/TUI/Direct tests and identify remaining domain use cases; keep app shell separate from domain rules.</t>
        </is>
      </c>
      <c r="F6" s="53" t="inlineStr">
        <is>
          <t>apps/kalkulisto</t>
        </is>
      </c>
      <c r="G6" s="57" t="inlineStr">
        <is>
          <t>https://github.com/bootstrapprx/kodoo/tree/main/modules/people</t>
        </is>
      </c>
      <c r="H6" s="53" t="inlineStr">
        <is>
          <t>context/application-architecture.md (2026-10-19)</t>
        </is>
      </c>
      <c r="I6" s="53" t="inlineStr">
        <is>
          <t>Documented partially</t>
        </is>
      </c>
    </row>
    <row r="7" ht="41.75" customHeight="1" s="50">
      <c r="A7" s="53" t="inlineStr">
        <is>
          <t>contests</t>
        </is>
      </c>
      <c r="B7" s="53" t="inlineStr">
        <is>
          <t>Module scaffolding / candidate native slice</t>
        </is>
      </c>
      <c r="C7" s="53" t="inlineStr">
        <is>
          <t>modules/contests</t>
        </is>
      </c>
      <c r="D7" s="53" t="inlineStr">
        <is>
          <t>Exists as candidate; not a committed first operational slice</t>
        </is>
      </c>
      <c r="E7" s="53" t="inlineStr">
        <is>
          <t>Do not treat scaffolding as product-complete. Define one bounded use case, auth/scope, persistence and surfaces; add Direct view/app only when coherent product flow exists.</t>
        </is>
      </c>
      <c r="F7" s="53" t="inlineStr">
        <is>
          <t>Future apps/trivia; backend; CLI/MCP; Ratatui as applicable</t>
        </is>
      </c>
      <c r="G7" s="57" t="inlineStr">
        <is>
          <t>https://github.com/bootstrapprx/kodoo/tree/main/modules/contests</t>
        </is>
      </c>
      <c r="H7" s="53" t="inlineStr">
        <is>
          <t>context/roadmap.md; context/application-architecture.md</t>
        </is>
      </c>
      <c r="I7" s="53" t="inlineStr">
        <is>
          <t>Documented as candidate</t>
        </is>
      </c>
    </row>
    <row r="8" ht="28.35" customHeight="1" s="50">
      <c r="A8" s="53" t="inlineStr">
        <is>
          <t>knowledge</t>
        </is>
      </c>
      <c r="B8" s="53" t="inlineStr">
        <is>
          <t>Domain module scaffolding</t>
        </is>
      </c>
      <c r="C8" s="53" t="inlineStr">
        <is>
          <t>modules/knowledge</t>
        </is>
      </c>
      <c r="D8" s="53" t="inlineStr">
        <is>
          <t>Scaffolding exists; product Direct/app not yet established</t>
        </is>
      </c>
      <c r="E8" s="53" t="inlineStr">
        <is>
          <t>Define product boundary and coherent Direct experience before creating app; verify CLI/MCP/API/TUI coverage and tests.</t>
        </is>
      </c>
      <c r="F8" s="53" t="inlineStr">
        <is>
          <t>Future apps/knowledge or apps/trivia depending product decision</t>
        </is>
      </c>
      <c r="G8" s="57" t="inlineStr">
        <is>
          <t>https://github.com/bootstrapprx/kodoo/tree/main/modules/knowledge</t>
        </is>
      </c>
      <c r="H8" s="53" t="inlineStr">
        <is>
          <t>context/application-architecture.md (2026-10-19)</t>
        </is>
      </c>
      <c r="I8" s="53" t="inlineStr">
        <is>
          <t>Documented as planned/scaffolded</t>
        </is>
      </c>
    </row>
    <row r="9" ht="28.35" customHeight="1" s="50">
      <c r="A9" s="53" t="inlineStr">
        <is>
          <t>admin-bi</t>
        </is>
      </c>
      <c r="B9" s="53" t="inlineStr">
        <is>
          <t>Admin / BI module</t>
        </is>
      </c>
      <c r="C9" s="53" t="inlineStr">
        <is>
          <t>modules/admin-bi</t>
        </is>
      </c>
      <c r="D9" s="53" t="inlineStr">
        <is>
          <t>Directory exists; completeness not established by reviewed docs</t>
        </is>
      </c>
      <c r="E9" s="53" t="inlineStr">
        <is>
          <t>Inspect module manifest and surfaces; classify direct metadata, CLI/MCP reachability, TUI wiring, tests and runtime integration.</t>
        </is>
      </c>
      <c r="F9" s="53" t="inlineStr">
        <is>
          <t>No app ownership confirmed</t>
        </is>
      </c>
      <c r="G9" s="57" t="inlineStr">
        <is>
          <t>https://github.com/bootstrapprx/kodoo/tree/main/modules/admin-bi</t>
        </is>
      </c>
      <c r="H9" s="53" t="inlineStr">
        <is>
          <t>Repository modules directory</t>
        </is>
      </c>
      <c r="I9" s="53" t="inlineStr">
        <is>
          <t>Needs code audit</t>
        </is>
      </c>
    </row>
    <row r="10" ht="28.35" customHeight="1" s="50">
      <c r="A10" s="53" t="inlineStr">
        <is>
          <t>project-manager</t>
        </is>
      </c>
      <c r="B10" s="53" t="inlineStr">
        <is>
          <t>Project management module</t>
        </is>
      </c>
      <c r="C10" s="53" t="inlineStr">
        <is>
          <t>modules/project-manager</t>
        </is>
      </c>
      <c r="D10" s="53" t="inlineStr">
        <is>
          <t>Directory exists; completeness not established by reviewed docs</t>
        </is>
      </c>
      <c r="E10" s="53" t="inlineStr">
        <is>
          <t>Inspect actual use cases and surface coverage; decide product app/context before expanding UI.</t>
        </is>
      </c>
      <c r="F10" s="53" t="inlineStr">
        <is>
          <t>No app ownership confirmed</t>
        </is>
      </c>
      <c r="G10" s="57" t="inlineStr">
        <is>
          <t>https://github.com/bootstrapprx/kodoo/tree/main/modules/project-manager</t>
        </is>
      </c>
      <c r="H10" s="53" t="inlineStr">
        <is>
          <t>Repository modules directory</t>
        </is>
      </c>
      <c r="I10" s="53" t="inlineStr">
        <is>
          <t>Needs code audit</t>
        </is>
      </c>
    </row>
    <row r="11" ht="28.35" customHeight="1" s="50">
      <c r="A11" s="53" t="inlineStr">
        <is>
          <t>proposals</t>
        </is>
      </c>
      <c r="B11" s="53" t="inlineStr">
        <is>
          <t>Proposals module</t>
        </is>
      </c>
      <c r="C11" s="53" t="inlineStr">
        <is>
          <t>modules/proposals</t>
        </is>
      </c>
      <c r="D11" s="53" t="inlineStr">
        <is>
          <t>Directory exists; completeness not established by reviewed docs</t>
        </is>
      </c>
      <c r="E11" s="53" t="inlineStr">
        <is>
          <t>Inspect manifest, API, CLI/MCP, TUI, Direct metadata and tests; define ownership and app placement.</t>
        </is>
      </c>
      <c r="F11" s="53" t="inlineStr">
        <is>
          <t>No app ownership confirmed</t>
        </is>
      </c>
      <c r="G11" s="57" t="inlineStr">
        <is>
          <t>https://github.com/bootstrapprx/kodoo/tree/main/modules/proposals</t>
        </is>
      </c>
      <c r="H11" s="53" t="inlineStr">
        <is>
          <t>Repository modules directory</t>
        </is>
      </c>
      <c r="I11" s="53" t="inlineStr">
        <is>
          <t>Needs code audit</t>
        </is>
      </c>
    </row>
    <row r="12" ht="28.35" customHeight="1" s="50">
      <c r="A12" s="53" t="inlineStr">
        <is>
          <t>_template</t>
        </is>
      </c>
      <c r="B12" s="53" t="inlineStr">
        <is>
          <t>Module scaffold/template</t>
        </is>
      </c>
      <c r="C12" s="53" t="inlineStr">
        <is>
          <t>modules/_template</t>
        </is>
      </c>
      <c r="D12" s="53" t="inlineStr">
        <is>
          <t>Template exists; not a business domain</t>
        </is>
      </c>
      <c r="E12" s="53" t="inlineStr">
        <is>
          <t>Use as the starting point for new modules; verify generated surfaces via scripts/standard.py check.</t>
        </is>
      </c>
      <c r="F12" s="53" t="inlineStr">
        <is>
          <t>Template only</t>
        </is>
      </c>
      <c r="G12" s="57" t="inlineStr">
        <is>
          <t>https://github.com/bootstrapprx/kodoo/tree/main/modules/_template</t>
        </is>
      </c>
      <c r="H12" s="53" t="inlineStr">
        <is>
          <t>AGENTS.md; repository modules directory</t>
        </is>
      </c>
      <c r="I12" s="53" t="inlineStr">
        <is>
          <t>Template</t>
        </is>
      </c>
    </row>
    <row r="13" ht="28.35" customHeight="1" s="50">
      <c r="A13" s="53" t="inlineStr">
        <is>
          <t>apps/kalkulisto</t>
        </is>
      </c>
      <c r="B13" s="53" t="inlineStr">
        <is>
          <t>Accounting/finance domain app</t>
        </is>
      </c>
      <c r="C13" s="53" t="inlineStr">
        <is>
          <t>apps/kalkulisto</t>
        </is>
      </c>
      <c r="D13" s="53" t="inlineStr">
        <is>
          <t>Existing Dioxus app; mounts accounting and people views</t>
        </is>
      </c>
      <c r="E13" s="53" t="inlineStr">
        <is>
          <t>Keep as product shell; don't move domain rules or ledger ownership into app. Validate desktop + WASM and real-stack QA per slice.</t>
        </is>
      </c>
      <c r="F13" s="53" t="inlineStr">
        <is>
          <t>Dioxus Direct</t>
        </is>
      </c>
      <c r="G13" s="57" t="inlineStr">
        <is>
          <t>https://github.com/bootstrapprx/kodoo/tree/main/apps/kalkulisto</t>
        </is>
      </c>
      <c r="H13" s="53" t="inlineStr">
        <is>
          <t>context/domain-app-migration.md; context/application-architecture.md</t>
        </is>
      </c>
      <c r="I13" s="53" t="inlineStr">
        <is>
          <t>Documented</t>
        </is>
      </c>
    </row>
    <row r="14" ht="28.35" customHeight="1" s="50">
      <c r="A14" s="53" t="inlineStr">
        <is>
          <t>apps/kalkulisto-tui</t>
        </is>
      </c>
      <c r="B14" s="53" t="inlineStr">
        <is>
          <t>Operational verification console</t>
        </is>
      </c>
      <c r="C14" s="53" t="inlineStr">
        <is>
          <t>apps/kalkulisto-tui</t>
        </is>
      </c>
      <c r="D14" s="53" t="inlineStr">
        <is>
          <t>Exists; Ratatui verification/operations console</t>
        </is>
      </c>
      <c r="E14" s="53" t="inlineStr">
        <is>
          <t>Keep rules in modules; ensure applicable module views are wired and manually exercised against real backend/database.</t>
        </is>
      </c>
      <c r="F14" s="53" t="inlineStr">
        <is>
          <t>Ratatui</t>
        </is>
      </c>
      <c r="G14" s="57" t="inlineStr">
        <is>
          <t>https://github.com/bootstrapprx/kodoo/tree/main/apps/kalkulisto-tui</t>
        </is>
      </c>
      <c r="H14" s="53" t="inlineStr">
        <is>
          <t>context/application-architecture.md; AGENTS.md</t>
        </is>
      </c>
      <c r="I14" s="53" t="inlineStr">
        <is>
          <t>Documented</t>
        </is>
      </c>
    </row>
    <row r="15" ht="28.35" customHeight="1" s="50">
      <c r="A15" s="53" t="inlineStr">
        <is>
          <t>apps/trivia</t>
        </is>
      </c>
      <c r="B15" s="53" t="inlineStr">
        <is>
          <t>Future contests/study product app</t>
        </is>
      </c>
      <c r="C15" s="53" t="inlineStr">
        <is>
          <t>apps/trivia</t>
        </is>
      </c>
      <c r="D15" s="53" t="inlineStr">
        <is>
          <t>Planned; do not create as empty directory</t>
        </is>
      </c>
      <c r="E15" s="53" t="inlineStr">
        <is>
          <t>Create only after contests/knowledge have coherent Direct views, navigation, session and product flows.</t>
        </is>
      </c>
      <c r="F15" s="53" t="inlineStr">
        <is>
          <t>Future Dioxus app</t>
        </is>
      </c>
      <c r="G15" s="57" t="inlineStr">
        <is>
          <t>https://github.com/bootstrapprx/kodoo/tree/main/context/application-architecture.md</t>
        </is>
      </c>
      <c r="H15" s="53" t="inlineStr">
        <is>
          <t>context/application-architecture.md (2026-10-19)</t>
        </is>
      </c>
      <c r="I15" s="53" t="inlineStr">
        <is>
          <t>Planned / not assumed present</t>
        </is>
      </c>
    </row>
    <row r="16" ht="28.35" customHeight="1" s="50">
      <c r="A16" s="53" t="inlineStr">
        <is>
          <t>apps/knowledge</t>
        </is>
      </c>
      <c r="B16" s="53" t="inlineStr">
        <is>
          <t>Future knowledge product app</t>
        </is>
      </c>
      <c r="C16" s="53" t="inlineStr">
        <is>
          <t>apps/knowledge</t>
        </is>
      </c>
      <c r="D16" s="53" t="inlineStr">
        <is>
          <t>Possible future app; product boundary decision required</t>
        </is>
      </c>
      <c r="E16" s="53" t="inlineStr">
        <is>
          <t>Decide whether knowledge has a standalone product or is composed into trivia; don't create empty app.</t>
        </is>
      </c>
      <c r="F16" s="53" t="inlineStr">
        <is>
          <t>Future Dioxus app</t>
        </is>
      </c>
      <c r="G16" s="57" t="inlineStr">
        <is>
          <t>https://github.com/bootstrapprx/kodoo/tree/main/context/application-architecture.md</t>
        </is>
      </c>
      <c r="H16" s="53" t="inlineStr">
        <is>
          <t>context/application-architecture.md (2026-10-19)</t>
        </is>
      </c>
      <c r="I16" s="53" t="inlineStr">
        <is>
          <t>Planned / decision pending</t>
        </is>
      </c>
    </row>
  </sheetData>
  <autoFilter ref="A4:I16"/>
  <hyperlinks>
    <hyperlink xmlns:r="http://schemas.openxmlformats.org/officeDocument/2006/relationships" ref="G5" display="https://github.com/bootstrapprx/kodoo/tree/main/modules/accounting" r:id="rId1"/>
    <hyperlink xmlns:r="http://schemas.openxmlformats.org/officeDocument/2006/relationships" ref="G6" display="https://github.com/bootstrapprx/kodoo/tree/main/modules/people" r:id="rId2"/>
    <hyperlink xmlns:r="http://schemas.openxmlformats.org/officeDocument/2006/relationships" ref="G7" display="https://github.com/bootstrapprx/kodoo/tree/main/modules/contests" r:id="rId3"/>
    <hyperlink xmlns:r="http://schemas.openxmlformats.org/officeDocument/2006/relationships" ref="G8" display="https://github.com/bootstrapprx/kodoo/tree/main/modules/knowledge" r:id="rId4"/>
    <hyperlink xmlns:r="http://schemas.openxmlformats.org/officeDocument/2006/relationships" ref="G9" display="https://github.com/bootstrapprx/kodoo/tree/main/modules/admin-bi" r:id="rId5"/>
    <hyperlink xmlns:r="http://schemas.openxmlformats.org/officeDocument/2006/relationships" ref="G10" display="https://github.com/bootstrapprx/kodoo/tree/main/modules/project-manager" r:id="rId6"/>
    <hyperlink xmlns:r="http://schemas.openxmlformats.org/officeDocument/2006/relationships" ref="G11" display="https://github.com/bootstrapprx/kodoo/tree/main/modules/proposals" r:id="rId7"/>
    <hyperlink xmlns:r="http://schemas.openxmlformats.org/officeDocument/2006/relationships" ref="G12" display="https://github.com/bootstrapprx/kodoo/tree/main/modules/_template" r:id="rId8"/>
    <hyperlink xmlns:r="http://schemas.openxmlformats.org/officeDocument/2006/relationships" ref="G13" display="https://github.com/bootstrapprx/kodoo/tree/main/apps/kalkulisto" r:id="rId9"/>
    <hyperlink xmlns:r="http://schemas.openxmlformats.org/officeDocument/2006/relationships" ref="G14" display="https://github.com/bootstrapprx/kodoo/tree/main/apps/kalkulisto-tui" r:id="rId10"/>
    <hyperlink xmlns:r="http://schemas.openxmlformats.org/officeDocument/2006/relationships" ref="G15" display="https://github.com/bootstrapprx/kodoo/tree/main/context/application-architecture.md" r:id="rId11"/>
    <hyperlink xmlns:r="http://schemas.openxmlformats.org/officeDocument/2006/relationships" ref="G16" display="https://github.com/bootstrapprx/kodoo/tree/main/context/application-architecture.md" r:id="rId1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8A70"/>
    <outlinePr summaryBelow="1" summaryRight="1"/>
    <pageSetUpPr fitToPage="1"/>
  </sheetPr>
  <dimension ref="A1:T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49" min="1" max="1"/>
    <col width="34" customWidth="1" style="49" min="2" max="2"/>
    <col width="15" customWidth="1" style="49" min="3" max="3"/>
    <col width="20" customWidth="1" style="49" min="4" max="4"/>
    <col width="16" customWidth="1" style="49" min="5" max="5"/>
    <col width="60" customWidth="1" style="49" min="6" max="6"/>
    <col width="32" customWidth="1" style="49" min="7" max="7"/>
    <col width="30" customWidth="1" style="49" min="8" max="8"/>
    <col width="16" customWidth="1" style="49" min="9" max="9"/>
    <col width="28" customWidth="1" style="49" min="10" max="10"/>
    <col width="40" customWidth="1" style="49" min="11" max="11"/>
    <col width="26" customWidth="1" style="49" min="12" max="12"/>
    <col width="12" customWidth="1" style="49" min="13" max="13"/>
    <col width="10" customWidth="1" style="49" min="14" max="14"/>
    <col width="12" customWidth="1" style="49" min="15" max="15"/>
    <col width="14" customWidth="1" style="49" min="16" max="16"/>
    <col width="38" customWidth="1" style="49" min="17" max="17"/>
    <col width="11" customWidth="1" style="49" min="18" max="19"/>
    <col width="24" customWidth="1" style="49" min="20" max="20"/>
  </cols>
  <sheetData>
    <row r="1" ht="25.5" customHeight="1" s="50">
      <c r="A1" s="90" t="inlineStr">
        <is>
          <t>Constants &amp; Enums — constantes de domínio, estados, códigos e políticas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</row>
    <row r="2" ht="15" customHeight="1" s="50">
      <c r="A2" s="60" t="inlineStr">
        <is>
          <t>Um registro por definição. Constante = valor estável de domínio; Enum = estados/códigos permitidos; Policy = valor configurável por organização/exercício/usuário (não é constante). Linhas iniciais são PROPOSTAS, não afirmam que já existem no código. Colunas cinza são calculadas.</t>
        </is>
      </c>
    </row>
    <row r="3" ht="43.25" customHeight="1" s="50">
      <c r="F3" s="91" t="inlineStr">
        <is>
          <t>Regra ou fórmula formal, testável.</t>
        </is>
      </c>
      <c r="G3" s="91" t="inlineStr">
        <is>
          <t>Ledger, PostgreSQL, subledger…</t>
        </is>
      </c>
      <c r="J3" s="91" t="inlineStr">
        <is>
          <t>Link ao código real. Vazio se não existir.</t>
        </is>
      </c>
      <c r="K3" s="91" t="inlineStr">
        <is>
          <t>Testes de cálculo, reconciliação, atualização.</t>
        </is>
      </c>
      <c r="P3" s="91" t="inlineStr">
        <is>
          <t>Sim = proprietário ainda indefinido (ver Decisões pendentes).</t>
        </is>
      </c>
      <c r="R3" s="91" t="inlineStr">
        <is>
          <t>Calculado a partir da aba Dependencies.</t>
        </is>
      </c>
      <c r="T3" s="91" t="inlineStr">
        <is>
          <t>Calculado: sinaliza lacunas.</t>
        </is>
      </c>
    </row>
    <row r="4" ht="43.5" customHeight="1" s="50">
      <c r="A4" s="92" t="inlineStr">
        <is>
          <t>ID</t>
        </is>
      </c>
      <c r="B4" s="92" t="inlineStr">
        <is>
          <t>Name (EN)</t>
        </is>
      </c>
      <c r="C4" s="92" t="inlineStr">
        <is>
          <t>Type</t>
        </is>
      </c>
      <c r="D4" s="92" t="inlineStr">
        <is>
          <t>Parent Module</t>
        </is>
      </c>
      <c r="E4" s="92" t="inlineStr">
        <is>
          <t>Submodule</t>
        </is>
      </c>
      <c r="F4" s="92" t="inlineStr">
        <is>
          <t>Definition / Formula</t>
        </is>
      </c>
      <c r="G4" s="92" t="inlineStr">
        <is>
          <t>Data Source</t>
        </is>
      </c>
      <c r="H4" s="92" t="inlineStr">
        <is>
          <t>Dimensions &amp; Filters</t>
        </is>
      </c>
      <c r="I4" s="92" t="inlineStr">
        <is>
          <t>Implementation Status</t>
        </is>
      </c>
      <c r="J4" s="92" t="inlineStr">
        <is>
          <t>Code Link</t>
        </is>
      </c>
      <c r="K4" s="92" t="inlineStr">
        <is>
          <t>Tests / Evidence</t>
        </is>
      </c>
      <c r="L4" s="92" t="inlineStr">
        <is>
          <t>Authority Level</t>
        </is>
      </c>
      <c r="M4" s="92" t="inlineStr">
        <is>
          <t>Repository Phase</t>
        </is>
      </c>
      <c r="N4" s="92" t="inlineStr">
        <is>
          <t>Priority</t>
        </is>
      </c>
      <c r="O4" s="92" t="inlineStr">
        <is>
          <t>Roadmap Item</t>
        </is>
      </c>
      <c r="P4" s="92" t="inlineStr">
        <is>
          <t>Ownership Decision Pending</t>
        </is>
      </c>
      <c r="Q4" s="92" t="inlineStr">
        <is>
          <t>Notes / Source</t>
        </is>
      </c>
      <c r="R4" s="92" t="inlineStr">
        <is>
          <t>Depends on (#)</t>
        </is>
      </c>
      <c r="S4" s="92" t="inlineStr">
        <is>
          <t>Used by (#)</t>
        </is>
      </c>
      <c r="T4" s="92" t="inlineStr">
        <is>
          <t>Health</t>
        </is>
      </c>
    </row>
    <row r="5" ht="55.2" customHeight="1" s="50">
      <c r="A5" s="93" t="inlineStr">
        <is>
          <t>CONST-001</t>
        </is>
      </c>
      <c r="B5" s="93" t="inlineStr">
        <is>
          <t>Currency precision and rounding rules</t>
        </is>
      </c>
      <c r="C5" s="93" t="inlineStr">
        <is>
          <t>DomainConstant</t>
        </is>
      </c>
      <c r="D5" s="93" t="inlineStr">
        <is>
          <t>accounting</t>
        </is>
      </c>
      <c r="E5" s="93" t="inlineStr">
        <is>
          <t>fx</t>
        </is>
      </c>
      <c r="F5" s="93" t="inlineStr">
        <is>
          <t>Minor-unit scale and rounding mode per currency, defined once. calcs, fx and reports call the same rounding rule instead of re-implementing it.</t>
        </is>
      </c>
      <c r="G5" s="93" t="inlineStr">
        <is>
          <t>Currency catalog (PostgreSQL); ledger amount scale</t>
        </is>
      </c>
      <c r="H5" s="93" t="inlineStr">
        <is>
          <t>Currency</t>
        </is>
      </c>
      <c r="I5" s="93" t="inlineStr">
        <is>
          <t>Planned</t>
        </is>
      </c>
      <c r="J5" s="93" t="n"/>
      <c r="K5" s="93" t="inlineStr">
        <is>
          <t>Expected: property tests — rounding is deterministic and rounded parts reconcile to the rounded whole under the documented rule.</t>
        </is>
      </c>
      <c r="L5" s="93" t="inlineStr">
        <is>
          <t>Domain rule (authoritative)</t>
        </is>
      </c>
      <c r="M5" s="93" t="inlineStr">
        <is>
          <t>A1</t>
        </is>
      </c>
      <c r="N5" s="93" t="inlineStr">
        <is>
          <t>P0</t>
        </is>
      </c>
      <c r="O5" s="93" t="inlineStr">
        <is>
          <t>RM-023</t>
        </is>
      </c>
      <c r="P5" s="93" t="inlineStr">
        <is>
          <t>Não</t>
        </is>
      </c>
      <c r="Q5" s="93" t="inlineStr">
        <is>
          <t>Proposed by review — existence in code not asserted.</t>
        </is>
      </c>
      <c r="R5" s="94">
        <f>IF(A5="","",COUNTIF(Dependencies!$B$5:$B$300,A5))</f>
        <v/>
      </c>
      <c r="S5" s="94">
        <f>IF(A5="","",COUNTIF(Dependencies!$F$5:$F$300,A5))</f>
        <v/>
      </c>
      <c r="T5" s="94">
        <f>IF(A5="","",IF(AND(OR(I5="Implemented",I5="Verified"),J5=""),"⚠ Sem link de código",IF(AND(I5="Verified",K5=""),"⚠ Sem evidência",IF(OR(P5="Sim",D5="TBD (owner pending)"),"◐ Proprietário pendente",IF(R5+S5=0,"○ Sem relações","✔ OK")))))</f>
        <v/>
      </c>
    </row>
    <row r="6" ht="41.75" customHeight="1" s="50">
      <c r="A6" s="93" t="inlineStr">
        <is>
          <t>CONST-002</t>
        </is>
      </c>
      <c r="B6" s="93" t="inlineStr">
        <is>
          <t>Ledger amount representation</t>
        </is>
      </c>
      <c r="C6" s="93" t="inlineStr">
        <is>
          <t>DomainConstant</t>
        </is>
      </c>
      <c r="D6" s="93" t="inlineStr">
        <is>
          <t>accounting</t>
        </is>
      </c>
      <c r="E6" s="93" t="inlineStr">
        <is>
          <t>ledger</t>
        </is>
      </c>
      <c r="F6" s="93" t="inlineStr">
        <is>
          <t>Amounts cross the TigerBeetle boundary as integer minor units; decimal conversion happens only inside the accounting module.</t>
        </is>
      </c>
      <c r="G6" s="93" t="inlineStr">
        <is>
          <t>TigerBeetle (authoritative ledger)</t>
        </is>
      </c>
      <c r="H6" s="93" t="inlineStr">
        <is>
          <t>Ledger, currency</t>
        </is>
      </c>
      <c r="I6" s="93" t="inlineStr">
        <is>
          <t>Planned</t>
        </is>
      </c>
      <c r="J6" s="93" t="n"/>
      <c r="K6" s="93" t="inlineStr">
        <is>
          <t>Expected: round-trip test decimal ↔ minor units; structural check that no other crate converts or touches ledger amounts.</t>
        </is>
      </c>
      <c r="L6" s="93" t="inlineStr">
        <is>
          <t>Domain rule (authoritative)</t>
        </is>
      </c>
      <c r="M6" s="93" t="inlineStr">
        <is>
          <t>A1</t>
        </is>
      </c>
      <c r="N6" s="93" t="inlineStr">
        <is>
          <t>P0</t>
        </is>
      </c>
      <c r="O6" s="93" t="inlineStr">
        <is>
          <t>RM-013</t>
        </is>
      </c>
      <c r="P6" s="93" t="inlineStr">
        <is>
          <t>Não</t>
        </is>
      </c>
      <c r="Q6" s="93" t="inlineStr">
        <is>
          <t>Proposed by review — existence in code not asserted.</t>
        </is>
      </c>
      <c r="R6" s="94">
        <f>IF(A6="","",COUNTIF(Dependencies!$B$5:$B$300,A6))</f>
        <v/>
      </c>
      <c r="S6" s="94">
        <f>IF(A6="","",COUNTIF(Dependencies!$F$5:$F$300,A6))</f>
        <v/>
      </c>
      <c r="T6" s="94">
        <f>IF(A6="","",IF(AND(OR(I6="Implemented",I6="Verified"),J6=""),"⚠ Sem link de código",IF(AND(I6="Verified",K6=""),"⚠ Sem evidência",IF(OR(P6="Sim",D6="TBD (owner pending)"),"◐ Proprietário pendente",IF(R6+S6=0,"○ Sem relações","✔ OK")))))</f>
        <v/>
      </c>
    </row>
    <row r="7" ht="41.75" customHeight="1" s="50">
      <c r="A7" s="93" t="inlineStr">
        <is>
          <t>ENUM-001</t>
        </is>
      </c>
      <c r="B7" s="93" t="inlineStr">
        <is>
          <t>Journal entry lifecycle states</t>
        </is>
      </c>
      <c r="C7" s="93" t="inlineStr">
        <is>
          <t>Enum</t>
        </is>
      </c>
      <c r="D7" s="93" t="inlineStr">
        <is>
          <t>accounting</t>
        </is>
      </c>
      <c r="E7" s="93" t="inlineStr">
        <is>
          <t>ledger</t>
        </is>
      </c>
      <c r="F7" s="93" t="inlineStr">
        <is>
          <t>Allowed states and legal transitions of a journal entry (for example draft → posted → reversed). Final value set to be confirmed against the domain model; corrections never delete history.</t>
        </is>
      </c>
      <c r="G7" s="93" t="inlineStr">
        <is>
          <t>PostgreSQL (operational state) + ledger events</t>
        </is>
      </c>
      <c r="H7" s="93" t="inlineStr">
        <is>
          <t>Organization, period</t>
        </is>
      </c>
      <c r="I7" s="93" t="inlineStr">
        <is>
          <t>Planned</t>
        </is>
      </c>
      <c r="J7" s="93" t="n"/>
      <c r="K7" s="93" t="inlineStr">
        <is>
          <t>Expected: transition-table tests; invalid transitions rejected on every surface (API, CLI, MCP, UI).</t>
        </is>
      </c>
      <c r="L7" s="93" t="inlineStr">
        <is>
          <t>Domain rule (authoritative)</t>
        </is>
      </c>
      <c r="M7" s="93" t="inlineStr">
        <is>
          <t>A1</t>
        </is>
      </c>
      <c r="N7" s="93" t="inlineStr">
        <is>
          <t>P0</t>
        </is>
      </c>
      <c r="O7" s="93" t="inlineStr">
        <is>
          <t>RM-014</t>
        </is>
      </c>
      <c r="P7" s="93" t="inlineStr">
        <is>
          <t>Não</t>
        </is>
      </c>
      <c r="Q7" s="93" t="inlineStr">
        <is>
          <t>Proposed by review — existence in code not asserted.</t>
        </is>
      </c>
      <c r="R7" s="94">
        <f>IF(A7="","",COUNTIF(Dependencies!$B$5:$B$300,A7))</f>
        <v/>
      </c>
      <c r="S7" s="94">
        <f>IF(A7="","",COUNTIF(Dependencies!$F$5:$F$300,A7))</f>
        <v/>
      </c>
      <c r="T7" s="94">
        <f>IF(A7="","",IF(AND(OR(I7="Implemented",I7="Verified"),J7=""),"⚠ Sem link de código",IF(AND(I7="Verified",K7=""),"⚠ Sem evidência",IF(OR(P7="Sim",D7="TBD (owner pending)"),"◐ Proprietário pendente",IF(R7+S7=0,"○ Sem relações","✔ OK")))))</f>
        <v/>
      </c>
    </row>
    <row r="8" ht="28.35" customHeight="1" s="50">
      <c r="A8" s="93" t="inlineStr">
        <is>
          <t>ENUM-002</t>
        </is>
      </c>
      <c r="B8" s="93" t="inlineStr">
        <is>
          <t>Accounting period states</t>
        </is>
      </c>
      <c r="C8" s="93" t="inlineStr">
        <is>
          <t>Enum</t>
        </is>
      </c>
      <c r="D8" s="93" t="inlineStr">
        <is>
          <t>accounting</t>
        </is>
      </c>
      <c r="E8" s="93" t="inlineStr">
        <is>
          <t>core</t>
        </is>
      </c>
      <c r="F8" s="93" t="inlineStr">
        <is>
          <t>Period states that control whether posting is allowed (for example open → closed). Reopening rules to be decided.</t>
        </is>
      </c>
      <c r="G8" s="93" t="inlineStr">
        <is>
          <t>PostgreSQL</t>
        </is>
      </c>
      <c r="H8" s="93" t="inlineStr">
        <is>
          <t>Organization, fiscal period</t>
        </is>
      </c>
      <c r="I8" s="93" t="inlineStr">
        <is>
          <t>Planned</t>
        </is>
      </c>
      <c r="J8" s="93" t="n"/>
      <c r="K8" s="93" t="inlineStr">
        <is>
          <t>Expected: posting into a closed period is rejected; reopen path audited.</t>
        </is>
      </c>
      <c r="L8" s="93" t="inlineStr">
        <is>
          <t>Domain rule (authoritative)</t>
        </is>
      </c>
      <c r="M8" s="93" t="inlineStr">
        <is>
          <t>A1</t>
        </is>
      </c>
      <c r="N8" s="93" t="inlineStr">
        <is>
          <t>P0</t>
        </is>
      </c>
      <c r="O8" s="93" t="inlineStr">
        <is>
          <t>RM-014</t>
        </is>
      </c>
      <c r="P8" s="93" t="inlineStr">
        <is>
          <t>Não</t>
        </is>
      </c>
      <c r="Q8" s="93" t="inlineStr">
        <is>
          <t>Proposed by review — existence in code not asserted.</t>
        </is>
      </c>
      <c r="R8" s="94">
        <f>IF(A8="","",COUNTIF(Dependencies!$B$5:$B$300,A8))</f>
        <v/>
      </c>
      <c r="S8" s="94">
        <f>IF(A8="","",COUNTIF(Dependencies!$F$5:$F$300,A8))</f>
        <v/>
      </c>
      <c r="T8" s="94">
        <f>IF(A8="","",IF(AND(OR(I8="Implemented",I8="Verified"),J8=""),"⚠ Sem link de código",IF(AND(I8="Verified",K8=""),"⚠ Sem evidência",IF(OR(P8="Sim",D8="TBD (owner pending)"),"◐ Proprietário pendente",IF(R8+S8=0,"○ Sem relações","✔ OK")))))</f>
        <v/>
      </c>
    </row>
    <row r="9" ht="28.35" customHeight="1" s="50">
      <c r="A9" s="93" t="inlineStr">
        <is>
          <t>ENUM-003</t>
        </is>
      </c>
      <c r="B9" s="93" t="inlineStr">
        <is>
          <t>Accounting profile catalog</t>
        </is>
      </c>
      <c r="C9" s="93" t="inlineStr">
        <is>
          <t>Enum</t>
        </is>
      </c>
      <c r="D9" s="93" t="inlineStr">
        <is>
          <t>accounting</t>
        </is>
      </c>
      <c r="E9" s="93" t="inlineStr">
        <is>
          <t>profiles</t>
        </is>
      </c>
      <c r="F9" s="93" t="inlineStr">
        <is>
          <t>Native profile codes: BR-GAAP, IFRS, US-GAAP, PCASP. Each profile owns its operational layer on top of the shared accounting core.</t>
        </is>
      </c>
      <c r="G9" s="93" t="inlineStr">
        <is>
          <t>Profile registry (accounting module)</t>
        </is>
      </c>
      <c r="H9" s="93" t="inlineStr">
        <is>
          <t>Organization</t>
        </is>
      </c>
      <c r="I9" s="93" t="inlineStr">
        <is>
          <t>Planned</t>
        </is>
      </c>
      <c r="J9" s="93" t="n"/>
      <c r="K9" s="93" t="inlineStr">
        <is>
          <t>Expected: unknown profile code rejected; catalog test per profile.</t>
        </is>
      </c>
      <c r="L9" s="93" t="inlineStr">
        <is>
          <t>Domain rule (authoritative)</t>
        </is>
      </c>
      <c r="M9" s="93" t="inlineStr">
        <is>
          <t>A1</t>
        </is>
      </c>
      <c r="N9" s="93" t="inlineStr">
        <is>
          <t>P1</t>
        </is>
      </c>
      <c r="O9" s="93" t="inlineStr">
        <is>
          <t>RM-023</t>
        </is>
      </c>
      <c r="P9" s="93" t="inlineStr">
        <is>
          <t>Não</t>
        </is>
      </c>
      <c r="Q9" s="93" t="inlineStr">
        <is>
          <t>Proposed by review — existence in code not asserted.</t>
        </is>
      </c>
      <c r="R9" s="94">
        <f>IF(A9="","",COUNTIF(Dependencies!$B$5:$B$300,A9))</f>
        <v/>
      </c>
      <c r="S9" s="94">
        <f>IF(A9="","",COUNTIF(Dependencies!$F$5:$F$300,A9))</f>
        <v/>
      </c>
      <c r="T9" s="94">
        <f>IF(A9="","",IF(AND(OR(I9="Implemented",I9="Verified"),J9=""),"⚠ Sem link de código",IF(AND(I9="Verified",K9=""),"⚠ Sem evidência",IF(OR(P9="Sim",D9="TBD (owner pending)"),"◐ Proprietário pendente",IF(R9+S9=0,"○ Sem relações","✔ OK")))))</f>
        <v/>
      </c>
    </row>
    <row r="10" ht="41.75" customHeight="1" s="50">
      <c r="A10" s="93" t="inlineStr">
        <is>
          <t>ENUM-004</t>
        </is>
      </c>
      <c r="B10" s="93" t="inlineStr">
        <is>
          <t>Reconciliation item status</t>
        </is>
      </c>
      <c r="C10" s="93" t="inlineStr">
        <is>
          <t>Enum</t>
        </is>
      </c>
      <c r="D10" s="93" t="inlineStr">
        <is>
          <t>accounting</t>
        </is>
      </c>
      <c r="E10" s="93" t="inlineStr">
        <is>
          <t>bank</t>
        </is>
      </c>
      <c r="F10" s="93" t="inlineStr">
        <is>
          <t>Statuses for matching statements, subledger, journal and ledger (for example matched, unmatched, adjusted, disputed). Adjustments are explicit, never silent.</t>
        </is>
      </c>
      <c r="G10" s="93" t="inlineStr">
        <is>
          <t>PostgreSQL (reconciliation history)</t>
        </is>
      </c>
      <c r="H10" s="93" t="inlineStr">
        <is>
          <t>Organization, account, period</t>
        </is>
      </c>
      <c r="I10" s="93" t="inlineStr">
        <is>
          <t>Planned</t>
        </is>
      </c>
      <c r="J10" s="93" t="n"/>
      <c r="K10" s="93" t="inlineStr">
        <is>
          <t>Expected: acceptance cases with divergence and correction.</t>
        </is>
      </c>
      <c r="L10" s="93" t="inlineStr">
        <is>
          <t>Domain rule (authoritative)</t>
        </is>
      </c>
      <c r="M10" s="93" t="inlineStr">
        <is>
          <t>A1</t>
        </is>
      </c>
      <c r="N10" s="93" t="inlineStr">
        <is>
          <t>P1</t>
        </is>
      </c>
      <c r="O10" s="93" t="inlineStr">
        <is>
          <t>RM-015</t>
        </is>
      </c>
      <c r="P10" s="93" t="inlineStr">
        <is>
          <t>Não</t>
        </is>
      </c>
      <c r="Q10" s="93" t="inlineStr">
        <is>
          <t>Proposed by review — existence in code not asserted.</t>
        </is>
      </c>
      <c r="R10" s="94">
        <f>IF(A10="","",COUNTIF(Dependencies!$B$5:$B$300,A10))</f>
        <v/>
      </c>
      <c r="S10" s="94">
        <f>IF(A10="","",COUNTIF(Dependencies!$F$5:$F$300,A10))</f>
        <v/>
      </c>
      <c r="T10" s="94">
        <f>IF(A10="","",IF(AND(OR(I10="Implemented",I10="Verified"),J10=""),"⚠ Sem link de código",IF(AND(I10="Verified",K10=""),"⚠ Sem evidência",IF(OR(P10="Sim",D10="TBD (owner pending)"),"◐ Proprietário pendente",IF(R10+S10=0,"○ Sem relações","✔ OK")))))</f>
        <v/>
      </c>
    </row>
    <row r="11" ht="28.35" customHeight="1" s="50">
      <c r="A11" s="93" t="inlineStr">
        <is>
          <t>ENUM-005</t>
        </is>
      </c>
      <c r="B11" s="93" t="inlineStr">
        <is>
          <t>Accounting event codes</t>
        </is>
      </c>
      <c r="C11" s="93" t="inlineStr">
        <is>
          <t>Enum</t>
        </is>
      </c>
      <c r="D11" s="93" t="inlineStr">
        <is>
          <t>accounting</t>
        </is>
      </c>
      <c r="E11" s="93" t="inlineStr">
        <is>
          <t>ledger</t>
        </is>
      </c>
      <c r="F11" s="93" t="inlineStr">
        <is>
          <t>Stable codes for accounting events (posting, reversal, closing, adjustment) used by the audit trail and by read models.</t>
        </is>
      </c>
      <c r="G11" s="93" t="inlineStr">
        <is>
          <t>Ledger events; audit trail</t>
        </is>
      </c>
      <c r="H11" s="93" t="inlineStr">
        <is>
          <t>Organization</t>
        </is>
      </c>
      <c r="I11" s="93" t="inlineStr">
        <is>
          <t>Planned</t>
        </is>
      </c>
      <c r="J11" s="93" t="n"/>
      <c r="K11" s="93" t="inlineStr">
        <is>
          <t>Expected: every relevant mutation emits exactly one registered event code.</t>
        </is>
      </c>
      <c r="L11" s="93" t="inlineStr">
        <is>
          <t>Domain rule (authoritative)</t>
        </is>
      </c>
      <c r="M11" s="93" t="inlineStr">
        <is>
          <t>A1</t>
        </is>
      </c>
      <c r="N11" s="93" t="inlineStr">
        <is>
          <t>P1</t>
        </is>
      </c>
      <c r="O11" s="93" t="inlineStr">
        <is>
          <t>RM-016</t>
        </is>
      </c>
      <c r="P11" s="93" t="inlineStr">
        <is>
          <t>Não</t>
        </is>
      </c>
      <c r="Q11" s="93" t="inlineStr">
        <is>
          <t>Proposed by review — existence in code not asserted.</t>
        </is>
      </c>
      <c r="R11" s="94">
        <f>IF(A11="","",COUNTIF(Dependencies!$B$5:$B$300,A11))</f>
        <v/>
      </c>
      <c r="S11" s="94">
        <f>IF(A11="","",COUNTIF(Dependencies!$F$5:$F$300,A11))</f>
        <v/>
      </c>
      <c r="T11" s="94">
        <f>IF(A11="","",IF(AND(OR(I11="Implemented",I11="Verified"),J11=""),"⚠ Sem link de código",IF(AND(I11="Verified",K11=""),"⚠ Sem evidência",IF(OR(P11="Sim",D11="TBD (owner pending)"),"◐ Proprietário pendente",IF(R11+S11=0,"○ Sem relações","✔ OK")))))</f>
        <v/>
      </c>
    </row>
    <row r="12" ht="41.75" customHeight="1" s="50">
      <c r="A12" s="93" t="inlineStr">
        <is>
          <t>POL-001</t>
        </is>
      </c>
      <c r="B12" s="93" t="inlineStr">
        <is>
          <t>One operational layer per organization</t>
        </is>
      </c>
      <c r="C12" s="93" t="inlineStr">
        <is>
          <t>Policy</t>
        </is>
      </c>
      <c r="D12" s="93" t="inlineStr">
        <is>
          <t>accounting</t>
        </is>
      </c>
      <c r="E12" s="93" t="inlineStr">
        <is>
          <t>profiles</t>
        </is>
      </c>
      <c r="F12" s="93" t="inlineStr">
        <is>
          <t>An organization activates exactly one profile operational layer, chosen at onboarding. Cross-profile cases (for example US-GAAP × BR-GAAP imports and exports) go through explicit conversion contracts.</t>
        </is>
      </c>
      <c r="G12" s="93" t="inlineStr">
        <is>
          <t>Organization configuration (PostgreSQL)</t>
        </is>
      </c>
      <c r="H12" s="93" t="inlineStr">
        <is>
          <t>Organization</t>
        </is>
      </c>
      <c r="I12" s="93" t="inlineStr">
        <is>
          <t>Planned</t>
        </is>
      </c>
      <c r="J12" s="93" t="n"/>
      <c r="K12" s="93" t="inlineStr">
        <is>
          <t>Expected: activating a second operational layer is rejected; conversion contracts tested.</t>
        </is>
      </c>
      <c r="L12" s="93" t="inlineStr">
        <is>
          <t>Configuration / policy</t>
        </is>
      </c>
      <c r="M12" s="93" t="inlineStr">
        <is>
          <t>A1</t>
        </is>
      </c>
      <c r="N12" s="93" t="inlineStr">
        <is>
          <t>P0</t>
        </is>
      </c>
      <c r="O12" s="93" t="inlineStr">
        <is>
          <t>RM-023</t>
        </is>
      </c>
      <c r="P12" s="93" t="inlineStr">
        <is>
          <t>Não</t>
        </is>
      </c>
      <c r="Q12" s="93" t="inlineStr">
        <is>
          <t>Proposed by review — existence in code not asserted.</t>
        </is>
      </c>
      <c r="R12" s="94">
        <f>IF(A12="","",COUNTIF(Dependencies!$B$5:$B$300,A12))</f>
        <v/>
      </c>
      <c r="S12" s="94">
        <f>IF(A12="","",COUNTIF(Dependencies!$F$5:$F$300,A12))</f>
        <v/>
      </c>
      <c r="T12" s="94">
        <f>IF(A12="","",IF(AND(OR(I12="Implemented",I12="Verified"),J12=""),"⚠ Sem link de código",IF(AND(I12="Verified",K12=""),"⚠ Sem evidência",IF(OR(P12="Sim",D12="TBD (owner pending)"),"◐ Proprietário pendente",IF(R12+S12=0,"○ Sem relações","✔ OK")))))</f>
        <v/>
      </c>
    </row>
    <row r="13" ht="28.35" customHeight="1" s="50">
      <c r="A13" s="93" t="inlineStr">
        <is>
          <t>POL-002</t>
        </is>
      </c>
      <c r="B13" s="93" t="inlineStr">
        <is>
          <t>Presentation currency</t>
        </is>
      </c>
      <c r="C13" s="93" t="inlineStr">
        <is>
          <t>Policy</t>
        </is>
      </c>
      <c r="D13" s="93" t="inlineStr">
        <is>
          <t>accounting</t>
        </is>
      </c>
      <c r="E13" s="93" t="inlineStr">
        <is>
          <t>fx</t>
        </is>
      </c>
      <c r="F13" s="93" t="inlineStr">
        <is>
          <t>Per-organization currency used to present reports and dashboards; never changes the currency in which the ledger records transactions.</t>
        </is>
      </c>
      <c r="G13" s="93" t="inlineStr">
        <is>
          <t>Organization configuration</t>
        </is>
      </c>
      <c r="H13" s="93" t="inlineStr">
        <is>
          <t>Organization, user</t>
        </is>
      </c>
      <c r="I13" s="93" t="inlineStr">
        <is>
          <t>Planned</t>
        </is>
      </c>
      <c r="J13" s="93" t="n"/>
      <c r="K13" s="93" t="inlineStr">
        <is>
          <t>Expected: changing it alters presentation only; ledger balances unchanged.</t>
        </is>
      </c>
      <c r="L13" s="93" t="inlineStr">
        <is>
          <t>Configuration / policy</t>
        </is>
      </c>
      <c r="M13" s="93" t="inlineStr">
        <is>
          <t>A1</t>
        </is>
      </c>
      <c r="N13" s="93" t="inlineStr">
        <is>
          <t>P1</t>
        </is>
      </c>
      <c r="O13" s="93" t="inlineStr">
        <is>
          <t>RM-023</t>
        </is>
      </c>
      <c r="P13" s="93" t="inlineStr">
        <is>
          <t>Não</t>
        </is>
      </c>
      <c r="Q13" s="93" t="inlineStr">
        <is>
          <t>Proposed by review — existence in code not asserted.</t>
        </is>
      </c>
      <c r="R13" s="94">
        <f>IF(A13="","",COUNTIF(Dependencies!$B$5:$B$300,A13))</f>
        <v/>
      </c>
      <c r="S13" s="94">
        <f>IF(A13="","",COUNTIF(Dependencies!$F$5:$F$300,A13))</f>
        <v/>
      </c>
      <c r="T13" s="94">
        <f>IF(A13="","",IF(AND(OR(I13="Implemented",I13="Verified"),J13=""),"⚠ Sem link de código",IF(AND(I13="Verified",K13=""),"⚠ Sem evidência",IF(OR(P13="Sim",D13="TBD (owner pending)"),"◐ Proprietário pendente",IF(R13+S13=0,"○ Sem relações","✔ OK")))))</f>
        <v/>
      </c>
    </row>
    <row r="14" ht="41.75" customHeight="1" s="50">
      <c r="A14" s="93" t="inlineStr">
        <is>
          <t>POL-003</t>
        </is>
      </c>
      <c r="B14" s="93" t="inlineStr">
        <is>
          <t>Alert thresholds and targets</t>
        </is>
      </c>
      <c r="C14" s="93" t="inlineStr">
        <is>
          <t>Policy</t>
        </is>
      </c>
      <c r="D14" s="93" t="inlineStr">
        <is>
          <t>TBD (owner pending)</t>
        </is>
      </c>
      <c r="E14" s="93" t="n"/>
      <c r="F14" s="93" t="inlineStr">
        <is>
          <t>Configurable limits and targets (for example overdue ratio, minimum cash) per organization or user. Configuration, not hardcoded constants.</t>
        </is>
      </c>
      <c r="G14" s="93" t="inlineStr">
        <is>
          <t>Organization / user configuration</t>
        </is>
      </c>
      <c r="H14" s="93" t="inlineStr">
        <is>
          <t>Organization, user</t>
        </is>
      </c>
      <c r="I14" s="93" t="inlineStr">
        <is>
          <t>Planned</t>
        </is>
      </c>
      <c r="J14" s="93" t="n"/>
      <c r="K14" s="93" t="inlineStr">
        <is>
          <t>Expected: thresholds read from configuration only; defaults documented.</t>
        </is>
      </c>
      <c r="L14" s="93" t="inlineStr">
        <is>
          <t>Configuration / policy</t>
        </is>
      </c>
      <c r="M14" s="93" t="inlineStr">
        <is>
          <t>A1</t>
        </is>
      </c>
      <c r="N14" s="93" t="inlineStr">
        <is>
          <t>P2</t>
        </is>
      </c>
      <c r="O14" s="93" t="inlineStr">
        <is>
          <t>RM-023</t>
        </is>
      </c>
      <c r="P14" s="93" t="inlineStr">
        <is>
          <t>Sim</t>
        </is>
      </c>
      <c r="Q14" s="93" t="inlineStr">
        <is>
          <t>Proposed by review — existence in code not asserted. Owner undecided — see DEC-002.</t>
        </is>
      </c>
      <c r="R14" s="94">
        <f>IF(A14="","",COUNTIF(Dependencies!$B$5:$B$300,A14))</f>
        <v/>
      </c>
      <c r="S14" s="94">
        <f>IF(A14="","",COUNTIF(Dependencies!$F$5:$F$300,A14))</f>
        <v/>
      </c>
      <c r="T14" s="94">
        <f>IF(A14="","",IF(AND(OR(I14="Implemented",I14="Verified"),J14=""),"⚠ Sem link de código",IF(AND(I14="Verified",K14=""),"⚠ Sem evidência",IF(OR(P14="Sim",D14="TBD (owner pending)"),"◐ Proprietário pendente",IF(R14+S14=0,"○ Sem relações","✔ OK")))))</f>
        <v/>
      </c>
    </row>
    <row r="15" ht="28.35" customHeight="1" s="50">
      <c r="A15" s="93" t="inlineStr">
        <is>
          <t>POL-004</t>
        </is>
      </c>
      <c r="B15" s="93" t="inlineStr">
        <is>
          <t>Forecast horizon and refresh cadence</t>
        </is>
      </c>
      <c r="C15" s="93" t="inlineStr">
        <is>
          <t>Policy</t>
        </is>
      </c>
      <c r="D15" s="93" t="inlineStr">
        <is>
          <t>accounting</t>
        </is>
      </c>
      <c r="E15" s="93" t="inlineStr">
        <is>
          <t>reports</t>
        </is>
      </c>
      <c r="F15" s="93" t="inlineStr">
        <is>
          <t>Per-organization forecast horizons (30/60/90 days) and how often projections are regenerated.</t>
        </is>
      </c>
      <c r="G15" s="93" t="inlineStr">
        <is>
          <t>Organization configuration</t>
        </is>
      </c>
      <c r="H15" s="93" t="inlineStr">
        <is>
          <t>Organization</t>
        </is>
      </c>
      <c r="I15" s="93" t="inlineStr">
        <is>
          <t>Planned</t>
        </is>
      </c>
      <c r="J15" s="93" t="n"/>
      <c r="K15" s="93" t="inlineStr">
        <is>
          <t>Expected: horizon and cadence changes produce a new assumption version.</t>
        </is>
      </c>
      <c r="L15" s="93" t="inlineStr">
        <is>
          <t>Configuration / policy</t>
        </is>
      </c>
      <c r="M15" s="93" t="inlineStr">
        <is>
          <t>A1</t>
        </is>
      </c>
      <c r="N15" s="93" t="inlineStr">
        <is>
          <t>P1</t>
        </is>
      </c>
      <c r="O15" s="93" t="inlineStr">
        <is>
          <t>RM-025</t>
        </is>
      </c>
      <c r="P15" s="93" t="inlineStr">
        <is>
          <t>Não</t>
        </is>
      </c>
      <c r="Q15" s="93" t="inlineStr">
        <is>
          <t>Proposed by review — existence in code not asserted.</t>
        </is>
      </c>
      <c r="R15" s="94">
        <f>IF(A15="","",COUNTIF(Dependencies!$B$5:$B$300,A15))</f>
        <v/>
      </c>
      <c r="S15" s="94">
        <f>IF(A15="","",COUNTIF(Dependencies!$F$5:$F$300,A15))</f>
        <v/>
      </c>
      <c r="T15" s="94">
        <f>IF(A15="","",IF(AND(OR(I15="Implemented",I15="Verified"),J15=""),"⚠ Sem link de código",IF(AND(I15="Verified",K15=""),"⚠ Sem evidência",IF(OR(P15="Sim",D15="TBD (owner pending)"),"◐ Proprietário pendente",IF(R15+S15=0,"○ Sem relações","✔ OK")))))</f>
        <v/>
      </c>
    </row>
    <row r="16" ht="15" customHeight="1" s="50">
      <c r="A16" s="93" t="n"/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4">
        <f>IF(A16="","",COUNTIF(Dependencies!$B$5:$B$300,A16))</f>
        <v/>
      </c>
      <c r="S16" s="94">
        <f>IF(A16="","",COUNTIF(Dependencies!$F$5:$F$300,A16))</f>
        <v/>
      </c>
      <c r="T16" s="94">
        <f>IF(A16="","",IF(AND(OR(I16="Implemented",I16="Verified"),J16=""),"⚠ Sem link de código",IF(AND(I16="Verified",K16=""),"⚠ Sem evidência",IF(OR(P16="Sim",D16="TBD (owner pending)"),"◐ Proprietário pendente",IF(R16+S16=0,"○ Sem relações","✔ OK")))))</f>
        <v/>
      </c>
    </row>
    <row r="17" ht="15" customHeight="1" s="50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4">
        <f>IF(A17="","",COUNTIF(Dependencies!$B$5:$B$300,A17))</f>
        <v/>
      </c>
      <c r="S17" s="94">
        <f>IF(A17="","",COUNTIF(Dependencies!$F$5:$F$300,A17))</f>
        <v/>
      </c>
      <c r="T17" s="94">
        <f>IF(A17="","",IF(AND(OR(I17="Implemented",I17="Verified"),J17=""),"⚠ Sem link de código",IF(AND(I17="Verified",K17=""),"⚠ Sem evidência",IF(OR(P17="Sim",D17="TBD (owner pending)"),"◐ Proprietário pendente",IF(R17+S17=0,"○ Sem relações","✔ OK")))))</f>
        <v/>
      </c>
    </row>
    <row r="18" ht="15" customHeight="1" s="50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3" t="n"/>
      <c r="R18" s="94">
        <f>IF(A18="","",COUNTIF(Dependencies!$B$5:$B$300,A18))</f>
        <v/>
      </c>
      <c r="S18" s="94">
        <f>IF(A18="","",COUNTIF(Dependencies!$F$5:$F$300,A18))</f>
        <v/>
      </c>
      <c r="T18" s="94">
        <f>IF(A18="","",IF(AND(OR(I18="Implemented",I18="Verified"),J18=""),"⚠ Sem link de código",IF(AND(I18="Verified",K18=""),"⚠ Sem evidência",IF(OR(P18="Sim",D18="TBD (owner pending)"),"◐ Proprietário pendente",IF(R18+S18=0,"○ Sem relações","✔ OK")))))</f>
        <v/>
      </c>
    </row>
    <row r="19" ht="15" customHeight="1" s="50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4">
        <f>IF(A19="","",COUNTIF(Dependencies!$B$5:$B$300,A19))</f>
        <v/>
      </c>
      <c r="S19" s="94">
        <f>IF(A19="","",COUNTIF(Dependencies!$F$5:$F$300,A19))</f>
        <v/>
      </c>
      <c r="T19" s="94">
        <f>IF(A19="","",IF(AND(OR(I19="Implemented",I19="Verified"),J19=""),"⚠ Sem link de código",IF(AND(I19="Verified",K19=""),"⚠ Sem evidência",IF(OR(P19="Sim",D19="TBD (owner pending)"),"◐ Proprietário pendente",IF(R19+S19=0,"○ Sem relações","✔ OK")))))</f>
        <v/>
      </c>
    </row>
    <row r="20" ht="15" customHeight="1" s="5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4">
        <f>IF(A20="","",COUNTIF(Dependencies!$B$5:$B$300,A20))</f>
        <v/>
      </c>
      <c r="S20" s="94">
        <f>IF(A20="","",COUNTIF(Dependencies!$F$5:$F$300,A20))</f>
        <v/>
      </c>
      <c r="T20" s="94">
        <f>IF(A20="","",IF(AND(OR(I20="Implemented",I20="Verified"),J20=""),"⚠ Sem link de código",IF(AND(I20="Verified",K20=""),"⚠ Sem evidência",IF(OR(P20="Sim",D20="TBD (owner pending)"),"◐ Proprietário pendente",IF(R20+S20=0,"○ Sem relações","✔ OK")))))</f>
        <v/>
      </c>
    </row>
    <row r="21" ht="15" customHeight="1" s="50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4">
        <f>IF(A21="","",COUNTIF(Dependencies!$B$5:$B$300,A21))</f>
        <v/>
      </c>
      <c r="S21" s="94">
        <f>IF(A21="","",COUNTIF(Dependencies!$F$5:$F$300,A21))</f>
        <v/>
      </c>
      <c r="T21" s="94">
        <f>IF(A21="","",IF(AND(OR(I21="Implemented",I21="Verified"),J21=""),"⚠ Sem link de código",IF(AND(I21="Verified",K21=""),"⚠ Sem evidência",IF(OR(P21="Sim",D21="TBD (owner pending)"),"◐ Proprietário pendente",IF(R21+S21=0,"○ Sem relações","✔ OK")))))</f>
        <v/>
      </c>
    </row>
    <row r="22" ht="15" customHeight="1" s="50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4">
        <f>IF(A22="","",COUNTIF(Dependencies!$B$5:$B$300,A22))</f>
        <v/>
      </c>
      <c r="S22" s="94">
        <f>IF(A22="","",COUNTIF(Dependencies!$F$5:$F$300,A22))</f>
        <v/>
      </c>
      <c r="T22" s="94">
        <f>IF(A22="","",IF(AND(OR(I22="Implemented",I22="Verified"),J22=""),"⚠ Sem link de código",IF(AND(I22="Verified",K22=""),"⚠ Sem evidência",IF(OR(P22="Sim",D22="TBD (owner pending)"),"◐ Proprietário pendente",IF(R22+S22=0,"○ Sem relações","✔ OK")))))</f>
        <v/>
      </c>
    </row>
    <row r="23" ht="15" customHeight="1" s="50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4">
        <f>IF(A23="","",COUNTIF(Dependencies!$B$5:$B$300,A23))</f>
        <v/>
      </c>
      <c r="S23" s="94">
        <f>IF(A23="","",COUNTIF(Dependencies!$F$5:$F$300,A23))</f>
        <v/>
      </c>
      <c r="T23" s="94">
        <f>IF(A23="","",IF(AND(OR(I23="Implemented",I23="Verified"),J23=""),"⚠ Sem link de código",IF(AND(I23="Verified",K23=""),"⚠ Sem evidência",IF(OR(P23="Sim",D23="TBD (owner pending)"),"◐ Proprietário pendente",IF(R23+S23=0,"○ Sem relações","✔ OK")))))</f>
        <v/>
      </c>
    </row>
    <row r="24" ht="15" customHeight="1" s="50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>
        <f>IF(A24="","",COUNTIF(Dependencies!$B$5:$B$300,A24))</f>
        <v/>
      </c>
      <c r="S24" s="94">
        <f>IF(A24="","",COUNTIF(Dependencies!$F$5:$F$300,A24))</f>
        <v/>
      </c>
      <c r="T24" s="94">
        <f>IF(A24="","",IF(AND(OR(I24="Implemented",I24="Verified"),J24=""),"⚠ Sem link de código",IF(AND(I24="Verified",K24=""),"⚠ Sem evidência",IF(OR(P24="Sim",D24="TBD (owner pending)"),"◐ Proprietário pendente",IF(R24+S24=0,"○ Sem relações","✔ OK")))))</f>
        <v/>
      </c>
    </row>
    <row r="25" ht="15" customHeight="1" s="50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4">
        <f>IF(A25="","",COUNTIF(Dependencies!$B$5:$B$300,A25))</f>
        <v/>
      </c>
      <c r="S25" s="94">
        <f>IF(A25="","",COUNTIF(Dependencies!$F$5:$F$300,A25))</f>
        <v/>
      </c>
      <c r="T25" s="94">
        <f>IF(A25="","",IF(AND(OR(I25="Implemented",I25="Verified"),J25=""),"⚠ Sem link de código",IF(AND(I25="Verified",K25=""),"⚠ Sem evidência",IF(OR(P25="Sim",D25="TBD (owner pending)"),"◐ Proprietário pendente",IF(R25+S25=0,"○ Sem relações","✔ OK")))))</f>
        <v/>
      </c>
    </row>
    <row r="26" ht="15" customHeight="1" s="50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4">
        <f>IF(A26="","",COUNTIF(Dependencies!$B$5:$B$300,A26))</f>
        <v/>
      </c>
      <c r="S26" s="94">
        <f>IF(A26="","",COUNTIF(Dependencies!$F$5:$F$300,A26))</f>
        <v/>
      </c>
      <c r="T26" s="94">
        <f>IF(A26="","",IF(AND(OR(I26="Implemented",I26="Verified"),J26=""),"⚠ Sem link de código",IF(AND(I26="Verified",K26=""),"⚠ Sem evidência",IF(OR(P26="Sim",D26="TBD (owner pending)"),"◐ Proprietário pendente",IF(R26+S26=0,"○ Sem relações","✔ OK")))))</f>
        <v/>
      </c>
    </row>
    <row r="27" ht="15" customHeight="1" s="50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4">
        <f>IF(A27="","",COUNTIF(Dependencies!$B$5:$B$300,A27))</f>
        <v/>
      </c>
      <c r="S27" s="94">
        <f>IF(A27="","",COUNTIF(Dependencies!$F$5:$F$300,A27))</f>
        <v/>
      </c>
      <c r="T27" s="94">
        <f>IF(A27="","",IF(AND(OR(I27="Implemented",I27="Verified"),J27=""),"⚠ Sem link de código",IF(AND(I27="Verified",K27=""),"⚠ Sem evidência",IF(OR(P27="Sim",D27="TBD (owner pending)"),"◐ Proprietário pendente",IF(R27+S27=0,"○ Sem relações","✔ OK")))))</f>
        <v/>
      </c>
    </row>
    <row r="28" ht="15" customHeight="1" s="50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4">
        <f>IF(A28="","",COUNTIF(Dependencies!$B$5:$B$300,A28))</f>
        <v/>
      </c>
      <c r="S28" s="94">
        <f>IF(A28="","",COUNTIF(Dependencies!$F$5:$F$300,A28))</f>
        <v/>
      </c>
      <c r="T28" s="94">
        <f>IF(A28="","",IF(AND(OR(I28="Implemented",I28="Verified"),J28=""),"⚠ Sem link de código",IF(AND(I28="Verified",K28=""),"⚠ Sem evidência",IF(OR(P28="Sim",D28="TBD (owner pending)"),"◐ Proprietário pendente",IF(R28+S28=0,"○ Sem relações","✔ OK")))))</f>
        <v/>
      </c>
    </row>
    <row r="29" ht="15" customHeight="1" s="50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4">
        <f>IF(A29="","",COUNTIF(Dependencies!$B$5:$B$300,A29))</f>
        <v/>
      </c>
      <c r="S29" s="94">
        <f>IF(A29="","",COUNTIF(Dependencies!$F$5:$F$300,A29))</f>
        <v/>
      </c>
      <c r="T29" s="94">
        <f>IF(A29="","",IF(AND(OR(I29="Implemented",I29="Verified"),J29=""),"⚠ Sem link de código",IF(AND(I29="Verified",K29=""),"⚠ Sem evidência",IF(OR(P29="Sim",D29="TBD (owner pending)"),"◐ Proprietário pendente",IF(R29+S29=0,"○ Sem relações","✔ OK")))))</f>
        <v/>
      </c>
    </row>
    <row r="30" ht="15" customHeight="1" s="50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4">
        <f>IF(A30="","",COUNTIF(Dependencies!$B$5:$B$300,A30))</f>
        <v/>
      </c>
      <c r="S30" s="94">
        <f>IF(A30="","",COUNTIF(Dependencies!$F$5:$F$300,A30))</f>
        <v/>
      </c>
      <c r="T30" s="94">
        <f>IF(A30="","",IF(AND(OR(I30="Implemented",I30="Verified"),J30=""),"⚠ Sem link de código",IF(AND(I30="Verified",K30=""),"⚠ Sem evidência",IF(OR(P30="Sim",D30="TBD (owner pending)"),"◐ Proprietário pendente",IF(R30+S30=0,"○ Sem relações","✔ OK")))))</f>
        <v/>
      </c>
    </row>
    <row r="31" ht="15" customHeight="1" s="50">
      <c r="A31" s="93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4">
        <f>IF(A31="","",COUNTIF(Dependencies!$B$5:$B$300,A31))</f>
        <v/>
      </c>
      <c r="S31" s="94">
        <f>IF(A31="","",COUNTIF(Dependencies!$F$5:$F$300,A31))</f>
        <v/>
      </c>
      <c r="T31" s="94">
        <f>IF(A31="","",IF(AND(OR(I31="Implemented",I31="Verified"),J31=""),"⚠ Sem link de código",IF(AND(I31="Verified",K31=""),"⚠ Sem evidência",IF(OR(P31="Sim",D31="TBD (owner pending)"),"◐ Proprietário pendente",IF(R31+S31=0,"○ Sem relações","✔ OK")))))</f>
        <v/>
      </c>
    </row>
    <row r="32" ht="15" customHeight="1" s="50">
      <c r="A32" s="93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4">
        <f>IF(A32="","",COUNTIF(Dependencies!$B$5:$B$300,A32))</f>
        <v/>
      </c>
      <c r="S32" s="94">
        <f>IF(A32="","",COUNTIF(Dependencies!$F$5:$F$300,A32))</f>
        <v/>
      </c>
      <c r="T32" s="94">
        <f>IF(A32="","",IF(AND(OR(I32="Implemented",I32="Verified"),J32=""),"⚠ Sem link de código",IF(AND(I32="Verified",K32=""),"⚠ Sem evidência",IF(OR(P32="Sim",D32="TBD (owner pending)"),"◐ Proprietário pendente",IF(R32+S32=0,"○ Sem relações","✔ OK")))))</f>
        <v/>
      </c>
    </row>
    <row r="33" ht="15" customHeight="1" s="50">
      <c r="A33" s="93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4">
        <f>IF(A33="","",COUNTIF(Dependencies!$B$5:$B$300,A33))</f>
        <v/>
      </c>
      <c r="S33" s="94">
        <f>IF(A33="","",COUNTIF(Dependencies!$F$5:$F$300,A33))</f>
        <v/>
      </c>
      <c r="T33" s="94">
        <f>IF(A33="","",IF(AND(OR(I33="Implemented",I33="Verified"),J33=""),"⚠ Sem link de código",IF(AND(I33="Verified",K33=""),"⚠ Sem evidência",IF(OR(P33="Sim",D33="TBD (owner pending)"),"◐ Proprietário pendente",IF(R33+S33=0,"○ Sem relações","✔ OK")))))</f>
        <v/>
      </c>
    </row>
    <row r="34" ht="15" customHeight="1" s="50">
      <c r="A34" s="93" t="n"/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4">
        <f>IF(A34="","",COUNTIF(Dependencies!$B$5:$B$300,A34))</f>
        <v/>
      </c>
      <c r="S34" s="94">
        <f>IF(A34="","",COUNTIF(Dependencies!$F$5:$F$300,A34))</f>
        <v/>
      </c>
      <c r="T34" s="94">
        <f>IF(A34="","",IF(AND(OR(I34="Implemented",I34="Verified"),J34=""),"⚠ Sem link de código",IF(AND(I34="Verified",K34=""),"⚠ Sem evidência",IF(OR(P34="Sim",D34="TBD (owner pending)"),"◐ Proprietário pendente",IF(R34+S34=0,"○ Sem relações","✔ OK")))))</f>
        <v/>
      </c>
    </row>
    <row r="35" ht="15" customHeight="1" s="50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4">
        <f>IF(A35="","",COUNTIF(Dependencies!$B$5:$B$300,A35))</f>
        <v/>
      </c>
      <c r="S35" s="94">
        <f>IF(A35="","",COUNTIF(Dependencies!$F$5:$F$300,A35))</f>
        <v/>
      </c>
      <c r="T35" s="94">
        <f>IF(A35="","",IF(AND(OR(I35="Implemented",I35="Verified"),J35=""),"⚠ Sem link de código",IF(AND(I35="Verified",K35=""),"⚠ Sem evidência",IF(OR(P35="Sim",D35="TBD (owner pending)"),"◐ Proprietário pendente",IF(R35+S35=0,"○ Sem relações","✔ OK")))))</f>
        <v/>
      </c>
    </row>
    <row r="36" ht="15" customHeight="1" s="50">
      <c r="A36" s="93" t="n"/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4">
        <f>IF(A36="","",COUNTIF(Dependencies!$B$5:$B$300,A36))</f>
        <v/>
      </c>
      <c r="S36" s="94">
        <f>IF(A36="","",COUNTIF(Dependencies!$F$5:$F$300,A36))</f>
        <v/>
      </c>
      <c r="T36" s="94">
        <f>IF(A36="","",IF(AND(OR(I36="Implemented",I36="Verified"),J36=""),"⚠ Sem link de código",IF(AND(I36="Verified",K36=""),"⚠ Sem evidência",IF(OR(P36="Sim",D36="TBD (owner pending)"),"◐ Proprietário pendente",IF(R36+S36=0,"○ Sem relações","✔ OK")))))</f>
        <v/>
      </c>
    </row>
    <row r="37" ht="15" customHeight="1" s="50">
      <c r="A37" s="93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4">
        <f>IF(A37="","",COUNTIF(Dependencies!$B$5:$B$300,A37))</f>
        <v/>
      </c>
      <c r="S37" s="94">
        <f>IF(A37="","",COUNTIF(Dependencies!$F$5:$F$300,A37))</f>
        <v/>
      </c>
      <c r="T37" s="94">
        <f>IF(A37="","",IF(AND(OR(I37="Implemented",I37="Verified"),J37=""),"⚠ Sem link de código",IF(AND(I37="Verified",K37=""),"⚠ Sem evidência",IF(OR(P37="Sim",D37="TBD (owner pending)"),"◐ Proprietário pendente",IF(R37+S37=0,"○ Sem relações","✔ OK")))))</f>
        <v/>
      </c>
    </row>
    <row r="38" ht="15" customHeight="1" s="50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4">
        <f>IF(A38="","",COUNTIF(Dependencies!$B$5:$B$300,A38))</f>
        <v/>
      </c>
      <c r="S38" s="94">
        <f>IF(A38="","",COUNTIF(Dependencies!$F$5:$F$300,A38))</f>
        <v/>
      </c>
      <c r="T38" s="94">
        <f>IF(A38="","",IF(AND(OR(I38="Implemented",I38="Verified"),J38=""),"⚠ Sem link de código",IF(AND(I38="Verified",K38=""),"⚠ Sem evidência",IF(OR(P38="Sim",D38="TBD (owner pending)"),"◐ Proprietário pendente",IF(R38+S38=0,"○ Sem relações","✔ OK")))))</f>
        <v/>
      </c>
    </row>
    <row r="39" ht="15" customHeight="1" s="50">
      <c r="A39" s="93" t="n"/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4">
        <f>IF(A39="","",COUNTIF(Dependencies!$B$5:$B$300,A39))</f>
        <v/>
      </c>
      <c r="S39" s="94">
        <f>IF(A39="","",COUNTIF(Dependencies!$F$5:$F$300,A39))</f>
        <v/>
      </c>
      <c r="T39" s="94">
        <f>IF(A39="","",IF(AND(OR(I39="Implemented",I39="Verified"),J39=""),"⚠ Sem link de código",IF(AND(I39="Verified",K39=""),"⚠ Sem evidência",IF(OR(P39="Sim",D39="TBD (owner pending)"),"◐ Proprietário pendente",IF(R39+S39=0,"○ Sem relações","✔ OK")))))</f>
        <v/>
      </c>
    </row>
    <row r="40" ht="15" customHeight="1" s="50">
      <c r="A40" s="93" t="n"/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4">
        <f>IF(A40="","",COUNTIF(Dependencies!$B$5:$B$300,A40))</f>
        <v/>
      </c>
      <c r="S40" s="94">
        <f>IF(A40="","",COUNTIF(Dependencies!$F$5:$F$300,A40))</f>
        <v/>
      </c>
      <c r="T40" s="94">
        <f>IF(A40="","",IF(AND(OR(I40="Implemented",I40="Verified"),J40=""),"⚠ Sem link de código",IF(AND(I40="Verified",K40=""),"⚠ Sem evidência",IF(OR(P40="Sim",D40="TBD (owner pending)"),"◐ Proprietário pendente",IF(R40+S40=0,"○ Sem relações","✔ OK")))))</f>
        <v/>
      </c>
    </row>
    <row r="41" ht="15" customHeight="1" s="50">
      <c r="A41" s="93" t="n"/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4">
        <f>IF(A41="","",COUNTIF(Dependencies!$B$5:$B$300,A41))</f>
        <v/>
      </c>
      <c r="S41" s="94">
        <f>IF(A41="","",COUNTIF(Dependencies!$F$5:$F$300,A41))</f>
        <v/>
      </c>
      <c r="T41" s="94">
        <f>IF(A41="","",IF(AND(OR(I41="Implemented",I41="Verified"),J41=""),"⚠ Sem link de código",IF(AND(I41="Verified",K41=""),"⚠ Sem evidência",IF(OR(P41="Sim",D41="TBD (owner pending)"),"◐ Proprietário pendente",IF(R41+S41=0,"○ Sem relações","✔ OK")))))</f>
        <v/>
      </c>
    </row>
    <row r="42" ht="15" customHeight="1" s="50">
      <c r="A42" s="93" t="n"/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4">
        <f>IF(A42="","",COUNTIF(Dependencies!$B$5:$B$300,A42))</f>
        <v/>
      </c>
      <c r="S42" s="94">
        <f>IF(A42="","",COUNTIF(Dependencies!$F$5:$F$300,A42))</f>
        <v/>
      </c>
      <c r="T42" s="94">
        <f>IF(A42="","",IF(AND(OR(I42="Implemented",I42="Verified"),J42=""),"⚠ Sem link de código",IF(AND(I42="Verified",K42=""),"⚠ Sem evidência",IF(OR(P42="Sim",D42="TBD (owner pending)"),"◐ Proprietário pendente",IF(R42+S42=0,"○ Sem relações","✔ OK")))))</f>
        <v/>
      </c>
    </row>
    <row r="43" ht="15" customHeight="1" s="50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4">
        <f>IF(A43="","",COUNTIF(Dependencies!$B$5:$B$300,A43))</f>
        <v/>
      </c>
      <c r="S43" s="94">
        <f>IF(A43="","",COUNTIF(Dependencies!$F$5:$F$300,A43))</f>
        <v/>
      </c>
      <c r="T43" s="94">
        <f>IF(A43="","",IF(AND(OR(I43="Implemented",I43="Verified"),J43=""),"⚠ Sem link de código",IF(AND(I43="Verified",K43=""),"⚠ Sem evidência",IF(OR(P43="Sim",D43="TBD (owner pending)"),"◐ Proprietário pendente",IF(R43+S43=0,"○ Sem relações","✔ OK")))))</f>
        <v/>
      </c>
    </row>
    <row r="44" ht="15" customHeight="1" s="50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4">
        <f>IF(A44="","",COUNTIF(Dependencies!$B$5:$B$300,A44))</f>
        <v/>
      </c>
      <c r="S44" s="94">
        <f>IF(A44="","",COUNTIF(Dependencies!$F$5:$F$300,A44))</f>
        <v/>
      </c>
      <c r="T44" s="94">
        <f>IF(A44="","",IF(AND(OR(I44="Implemented",I44="Verified"),J44=""),"⚠ Sem link de código",IF(AND(I44="Verified",K44=""),"⚠ Sem evidência",IF(OR(P44="Sim",D44="TBD (owner pending)"),"◐ Proprietário pendente",IF(R44+S44=0,"○ Sem relações","✔ OK")))))</f>
        <v/>
      </c>
    </row>
    <row r="45" ht="15" customHeight="1" s="50">
      <c r="A45" s="93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4">
        <f>IF(A45="","",COUNTIF(Dependencies!$B$5:$B$300,A45))</f>
        <v/>
      </c>
      <c r="S45" s="94">
        <f>IF(A45="","",COUNTIF(Dependencies!$F$5:$F$300,A45))</f>
        <v/>
      </c>
      <c r="T45" s="94">
        <f>IF(A45="","",IF(AND(OR(I45="Implemented",I45="Verified"),J45=""),"⚠ Sem link de código",IF(AND(I45="Verified",K45=""),"⚠ Sem evidência",IF(OR(P45="Sim",D45="TBD (owner pending)"),"◐ Proprietário pendente",IF(R45+S45=0,"○ Sem relações","✔ OK")))))</f>
        <v/>
      </c>
    </row>
    <row r="46" ht="15" customHeight="1" s="50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4">
        <f>IF(A46="","",COUNTIF(Dependencies!$B$5:$B$300,A46))</f>
        <v/>
      </c>
      <c r="S46" s="94">
        <f>IF(A46="","",COUNTIF(Dependencies!$F$5:$F$300,A46))</f>
        <v/>
      </c>
      <c r="T46" s="94">
        <f>IF(A46="","",IF(AND(OR(I46="Implemented",I46="Verified"),J46=""),"⚠ Sem link de código",IF(AND(I46="Verified",K46=""),"⚠ Sem evidência",IF(OR(P46="Sim",D46="TBD (owner pending)"),"◐ Proprietário pendente",IF(R46+S46=0,"○ Sem relações","✔ OK")))))</f>
        <v/>
      </c>
    </row>
    <row r="47" ht="15" customHeight="1" s="50">
      <c r="A47" s="93" t="n"/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4">
        <f>IF(A47="","",COUNTIF(Dependencies!$B$5:$B$300,A47))</f>
        <v/>
      </c>
      <c r="S47" s="94">
        <f>IF(A47="","",COUNTIF(Dependencies!$F$5:$F$300,A47))</f>
        <v/>
      </c>
      <c r="T47" s="94">
        <f>IF(A47="","",IF(AND(OR(I47="Implemented",I47="Verified"),J47=""),"⚠ Sem link de código",IF(AND(I47="Verified",K47=""),"⚠ Sem evidência",IF(OR(P47="Sim",D47="TBD (owner pending)"),"◐ Proprietário pendente",IF(R47+S47=0,"○ Sem relações","✔ OK")))))</f>
        <v/>
      </c>
    </row>
    <row r="48" ht="15" customHeight="1" s="50">
      <c r="A48" s="93" t="n"/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4">
        <f>IF(A48="","",COUNTIF(Dependencies!$B$5:$B$300,A48))</f>
        <v/>
      </c>
      <c r="S48" s="94">
        <f>IF(A48="","",COUNTIF(Dependencies!$F$5:$F$300,A48))</f>
        <v/>
      </c>
      <c r="T48" s="94">
        <f>IF(A48="","",IF(AND(OR(I48="Implemented",I48="Verified"),J48=""),"⚠ Sem link de código",IF(AND(I48="Verified",K48=""),"⚠ Sem evidência",IF(OR(P48="Sim",D48="TBD (owner pending)"),"◐ Proprietário pendente",IF(R48+S48=0,"○ Sem relações","✔ OK")))))</f>
        <v/>
      </c>
    </row>
    <row r="49" ht="15" customHeight="1" s="50">
      <c r="A49" s="93" t="n"/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4">
        <f>IF(A49="","",COUNTIF(Dependencies!$B$5:$B$300,A49))</f>
        <v/>
      </c>
      <c r="S49" s="94">
        <f>IF(A49="","",COUNTIF(Dependencies!$F$5:$F$300,A49))</f>
        <v/>
      </c>
      <c r="T49" s="94">
        <f>IF(A49="","",IF(AND(OR(I49="Implemented",I49="Verified"),J49=""),"⚠ Sem link de código",IF(AND(I49="Verified",K49=""),"⚠ Sem evidência",IF(OR(P49="Sim",D49="TBD (owner pending)"),"◐ Proprietário pendente",IF(R49+S49=0,"○ Sem relações","✔ OK")))))</f>
        <v/>
      </c>
    </row>
    <row r="50" ht="15" customHeight="1" s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4">
        <f>IF(A50="","",COUNTIF(Dependencies!$B$5:$B$300,A50))</f>
        <v/>
      </c>
      <c r="S50" s="94">
        <f>IF(A50="","",COUNTIF(Dependencies!$F$5:$F$300,A50))</f>
        <v/>
      </c>
      <c r="T50" s="94">
        <f>IF(A50="","",IF(AND(OR(I50="Implemented",I50="Verified"),J50=""),"⚠ Sem link de código",IF(AND(I50="Verified",K50=""),"⚠ Sem evidência",IF(OR(P50="Sim",D50="TBD (owner pending)"),"◐ Proprietário pendente",IF(R50+S50=0,"○ Sem relações","✔ OK")))))</f>
        <v/>
      </c>
    </row>
    <row r="51" ht="15" customHeight="1" s="50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4">
        <f>IF(A51="","",COUNTIF(Dependencies!$B$5:$B$300,A51))</f>
        <v/>
      </c>
      <c r="S51" s="94">
        <f>IF(A51="","",COUNTIF(Dependencies!$F$5:$F$300,A51))</f>
        <v/>
      </c>
      <c r="T51" s="94">
        <f>IF(A51="","",IF(AND(OR(I51="Implemented",I51="Verified"),J51=""),"⚠ Sem link de código",IF(AND(I51="Verified",K51=""),"⚠ Sem evidência",IF(OR(P51="Sim",D51="TBD (owner pending)"),"◐ Proprietário pendente",IF(R51+S51=0,"○ Sem relações","✔ OK")))))</f>
        <v/>
      </c>
    </row>
    <row r="52" ht="15" customHeight="1" s="50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4">
        <f>IF(A52="","",COUNTIF(Dependencies!$B$5:$B$300,A52))</f>
        <v/>
      </c>
      <c r="S52" s="94">
        <f>IF(A52="","",COUNTIF(Dependencies!$F$5:$F$300,A52))</f>
        <v/>
      </c>
      <c r="T52" s="94">
        <f>IF(A52="","",IF(AND(OR(I52="Implemented",I52="Verified"),J52=""),"⚠ Sem link de código",IF(AND(I52="Verified",K52=""),"⚠ Sem evidência",IF(OR(P52="Sim",D52="TBD (owner pending)"),"◐ Proprietário pendente",IF(R52+S52=0,"○ Sem relações","✔ OK")))))</f>
        <v/>
      </c>
    </row>
    <row r="53" ht="15" customHeight="1" s="50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4">
        <f>IF(A53="","",COUNTIF(Dependencies!$B$5:$B$300,A53))</f>
        <v/>
      </c>
      <c r="S53" s="94">
        <f>IF(A53="","",COUNTIF(Dependencies!$F$5:$F$300,A53))</f>
        <v/>
      </c>
      <c r="T53" s="94">
        <f>IF(A53="","",IF(AND(OR(I53="Implemented",I53="Verified"),J53=""),"⚠ Sem link de código",IF(AND(I53="Verified",K53=""),"⚠ Sem evidência",IF(OR(P53="Sim",D53="TBD (owner pending)"),"◐ Proprietário pendente",IF(R53+S53=0,"○ Sem relações","✔ OK")))))</f>
        <v/>
      </c>
    </row>
    <row r="54" ht="15" customHeight="1" s="50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4">
        <f>IF(A54="","",COUNTIF(Dependencies!$B$5:$B$300,A54))</f>
        <v/>
      </c>
      <c r="S54" s="94">
        <f>IF(A54="","",COUNTIF(Dependencies!$F$5:$F$300,A54))</f>
        <v/>
      </c>
      <c r="T54" s="94">
        <f>IF(A54="","",IF(AND(OR(I54="Implemented",I54="Verified"),J54=""),"⚠ Sem link de código",IF(AND(I54="Verified",K54=""),"⚠ Sem evidência",IF(OR(P54="Sim",D54="TBD (owner pending)"),"◐ Proprietário pendente",IF(R54+S54=0,"○ Sem relações","✔ OK")))))</f>
        <v/>
      </c>
    </row>
    <row r="55" ht="15" customHeight="1" s="50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4">
        <f>IF(A55="","",COUNTIF(Dependencies!$B$5:$B$300,A55))</f>
        <v/>
      </c>
      <c r="S55" s="94">
        <f>IF(A55="","",COUNTIF(Dependencies!$F$5:$F$300,A55))</f>
        <v/>
      </c>
      <c r="T55" s="94">
        <f>IF(A55="","",IF(AND(OR(I55="Implemented",I55="Verified"),J55=""),"⚠ Sem link de código",IF(AND(I55="Verified",K55=""),"⚠ Sem evidência",IF(OR(P55="Sim",D55="TBD (owner pending)"),"◐ Proprietário pendente",IF(R55+S55=0,"○ Sem relações","✔ OK")))))</f>
        <v/>
      </c>
    </row>
    <row r="56" ht="15" customHeight="1" s="50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  <c r="R56" s="94">
        <f>IF(A56="","",COUNTIF(Dependencies!$B$5:$B$300,A56))</f>
        <v/>
      </c>
      <c r="S56" s="94">
        <f>IF(A56="","",COUNTIF(Dependencies!$F$5:$F$300,A56))</f>
        <v/>
      </c>
      <c r="T56" s="94">
        <f>IF(A56="","",IF(AND(OR(I56="Implemented",I56="Verified"),J56=""),"⚠ Sem link de código",IF(AND(I56="Verified",K56=""),"⚠ Sem evidência",IF(OR(P56="Sim",D56="TBD (owner pending)"),"◐ Proprietário pendente",IF(R56+S56=0,"○ Sem relações","✔ OK")))))</f>
        <v/>
      </c>
    </row>
    <row r="57" ht="15" customHeight="1" s="50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4">
        <f>IF(A57="","",COUNTIF(Dependencies!$B$5:$B$300,A57))</f>
        <v/>
      </c>
      <c r="S57" s="94">
        <f>IF(A57="","",COUNTIF(Dependencies!$F$5:$F$300,A57))</f>
        <v/>
      </c>
      <c r="T57" s="94">
        <f>IF(A57="","",IF(AND(OR(I57="Implemented",I57="Verified"),J57=""),"⚠ Sem link de código",IF(AND(I57="Verified",K57=""),"⚠ Sem evidência",IF(OR(P57="Sim",D57="TBD (owner pending)"),"◐ Proprietário pendente",IF(R57+S57=0,"○ Sem relações","✔ OK")))))</f>
        <v/>
      </c>
    </row>
    <row r="58" ht="15" customHeight="1" s="50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4">
        <f>IF(A58="","",COUNTIF(Dependencies!$B$5:$B$300,A58))</f>
        <v/>
      </c>
      <c r="S58" s="94">
        <f>IF(A58="","",COUNTIF(Dependencies!$F$5:$F$300,A58))</f>
        <v/>
      </c>
      <c r="T58" s="94">
        <f>IF(A58="","",IF(AND(OR(I58="Implemented",I58="Verified"),J58=""),"⚠ Sem link de código",IF(AND(I58="Verified",K58=""),"⚠ Sem evidência",IF(OR(P58="Sim",D58="TBD (owner pending)"),"◐ Proprietário pendente",IF(R58+S58=0,"○ Sem relações","✔ OK")))))</f>
        <v/>
      </c>
    </row>
    <row r="59" ht="15" customHeight="1" s="50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4">
        <f>IF(A59="","",COUNTIF(Dependencies!$B$5:$B$300,A59))</f>
        <v/>
      </c>
      <c r="S59" s="94">
        <f>IF(A59="","",COUNTIF(Dependencies!$F$5:$F$300,A59))</f>
        <v/>
      </c>
      <c r="T59" s="94">
        <f>IF(A59="","",IF(AND(OR(I59="Implemented",I59="Verified"),J59=""),"⚠ Sem link de código",IF(AND(I59="Verified",K59=""),"⚠ Sem evidência",IF(OR(P59="Sim",D59="TBD (owner pending)"),"◐ Proprietário pendente",IF(R59+S59=0,"○ Sem relações","✔ OK")))))</f>
        <v/>
      </c>
    </row>
    <row r="60" ht="15" customHeight="1" s="5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4">
        <f>IF(A60="","",COUNTIF(Dependencies!$B$5:$B$300,A60))</f>
        <v/>
      </c>
      <c r="S60" s="94">
        <f>IF(A60="","",COUNTIF(Dependencies!$F$5:$F$300,A60))</f>
        <v/>
      </c>
      <c r="T60" s="94">
        <f>IF(A60="","",IF(AND(OR(I60="Implemented",I60="Verified"),J60=""),"⚠ Sem link de código",IF(AND(I60="Verified",K60=""),"⚠ Sem evidência",IF(OR(P60="Sim",D60="TBD (owner pending)"),"◐ Proprietário pendente",IF(R60+S60=0,"○ Sem relações","✔ OK")))))</f>
        <v/>
      </c>
    </row>
    <row r="61" ht="15" customHeight="1" s="50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4">
        <f>IF(A61="","",COUNTIF(Dependencies!$B$5:$B$300,A61))</f>
        <v/>
      </c>
      <c r="S61" s="94">
        <f>IF(A61="","",COUNTIF(Dependencies!$F$5:$F$300,A61))</f>
        <v/>
      </c>
      <c r="T61" s="94">
        <f>IF(A61="","",IF(AND(OR(I61="Implemented",I61="Verified"),J61=""),"⚠ Sem link de código",IF(AND(I61="Verified",K61=""),"⚠ Sem evidência",IF(OR(P61="Sim",D61="TBD (owner pending)"),"◐ Proprietário pendente",IF(R61+S61=0,"○ Sem relações","✔ OK")))))</f>
        <v/>
      </c>
    </row>
    <row r="62" ht="15" customHeight="1" s="50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4">
        <f>IF(A62="","",COUNTIF(Dependencies!$B$5:$B$300,A62))</f>
        <v/>
      </c>
      <c r="S62" s="94">
        <f>IF(A62="","",COUNTIF(Dependencies!$F$5:$F$300,A62))</f>
        <v/>
      </c>
      <c r="T62" s="94">
        <f>IF(A62="","",IF(AND(OR(I62="Implemented",I62="Verified"),J62=""),"⚠ Sem link de código",IF(AND(I62="Verified",K62=""),"⚠ Sem evidência",IF(OR(P62="Sim",D62="TBD (owner pending)"),"◐ Proprietário pendente",IF(R62+S62=0,"○ Sem relações","✔ OK")))))</f>
        <v/>
      </c>
    </row>
    <row r="63" ht="15" customHeight="1" s="50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4">
        <f>IF(A63="","",COUNTIF(Dependencies!$B$5:$B$300,A63))</f>
        <v/>
      </c>
      <c r="S63" s="94">
        <f>IF(A63="","",COUNTIF(Dependencies!$F$5:$F$300,A63))</f>
        <v/>
      </c>
      <c r="T63" s="94">
        <f>IF(A63="","",IF(AND(OR(I63="Implemented",I63="Verified"),J63=""),"⚠ Sem link de código",IF(AND(I63="Verified",K63=""),"⚠ Sem evidência",IF(OR(P63="Sim",D63="TBD (owner pending)"),"◐ Proprietário pendente",IF(R63+S63=0,"○ Sem relações","✔ OK")))))</f>
        <v/>
      </c>
    </row>
    <row r="64" ht="15" customHeight="1" s="50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4">
        <f>IF(A64="","",COUNTIF(Dependencies!$B$5:$B$300,A64))</f>
        <v/>
      </c>
      <c r="S64" s="94">
        <f>IF(A64="","",COUNTIF(Dependencies!$F$5:$F$300,A64))</f>
        <v/>
      </c>
      <c r="T64" s="94">
        <f>IF(A64="","",IF(AND(OR(I64="Implemented",I64="Verified"),J64=""),"⚠ Sem link de código",IF(AND(I64="Verified",K64=""),"⚠ Sem evidência",IF(OR(P64="Sim",D64="TBD (owner pending)"),"◐ Proprietário pendente",IF(R64+S64=0,"○ Sem relações","✔ OK")))))</f>
        <v/>
      </c>
    </row>
    <row r="65" ht="15" customHeight="1" s="50">
      <c r="R65" s="94">
        <f>IF(A65="","",COUNTIF(Dependencies!$B$5:$B$300,A65))</f>
        <v/>
      </c>
      <c r="S65" s="94">
        <f>IF(A65="","",COUNTIF(Dependencies!$F$5:$F$300,A65))</f>
        <v/>
      </c>
      <c r="T65" s="94">
        <f>IF(A65="","",IF(AND(OR(I65="Implemented",I65="Verified"),J65=""),"⚠ Sem link de código",IF(AND(I65="Verified",K65=""),"⚠ Sem evidência",IF(OR(P65="Sim",D65="TBD (owner pending)"),"◐ Proprietário pendente",IF(R65+S65=0,"○ Sem relações","✔ OK")))))</f>
        <v/>
      </c>
    </row>
    <row r="66" ht="15" customHeight="1" s="50">
      <c r="R66" s="94">
        <f>IF(A66="","",COUNTIF(Dependencies!$B$5:$B$300,A66))</f>
        <v/>
      </c>
      <c r="S66" s="94">
        <f>IF(A66="","",COUNTIF(Dependencies!$F$5:$F$300,A66))</f>
        <v/>
      </c>
      <c r="T66" s="94">
        <f>IF(A66="","",IF(AND(OR(I66="Implemented",I66="Verified"),J66=""),"⚠ Sem link de código",IF(AND(I66="Verified",K66=""),"⚠ Sem evidência",IF(OR(P66="Sim",D66="TBD (owner pending)"),"◐ Proprietário pendente",IF(R66+S66=0,"○ Sem relações","✔ OK")))))</f>
        <v/>
      </c>
    </row>
    <row r="67" ht="15" customHeight="1" s="50">
      <c r="R67" s="94">
        <f>IF(A67="","",COUNTIF(Dependencies!$B$5:$B$300,A67))</f>
        <v/>
      </c>
      <c r="S67" s="94">
        <f>IF(A67="","",COUNTIF(Dependencies!$F$5:$F$300,A67))</f>
        <v/>
      </c>
      <c r="T67" s="94">
        <f>IF(A67="","",IF(AND(OR(I67="Implemented",I67="Verified"),J67=""),"⚠ Sem link de código",IF(AND(I67="Verified",K67=""),"⚠ Sem evidência",IF(OR(P67="Sim",D67="TBD (owner pending)"),"◐ Proprietário pendente",IF(R67+S67=0,"○ Sem relações","✔ OK")))))</f>
        <v/>
      </c>
    </row>
    <row r="68" ht="15" customHeight="1" s="50">
      <c r="R68" s="94">
        <f>IF(A68="","",COUNTIF(Dependencies!$B$5:$B$300,A68))</f>
        <v/>
      </c>
      <c r="S68" s="94">
        <f>IF(A68="","",COUNTIF(Dependencies!$F$5:$F$300,A68))</f>
        <v/>
      </c>
      <c r="T68" s="94">
        <f>IF(A68="","",IF(AND(OR(I68="Implemented",I68="Verified"),J68=""),"⚠ Sem link de código",IF(AND(I68="Verified",K68=""),"⚠ Sem evidência",IF(OR(P68="Sim",D68="TBD (owner pending)"),"◐ Proprietário pendente",IF(R68+S68=0,"○ Sem relações","✔ OK")))))</f>
        <v/>
      </c>
    </row>
    <row r="69" ht="15" customHeight="1" s="50">
      <c r="R69" s="94">
        <f>IF(A69="","",COUNTIF(Dependencies!$B$5:$B$300,A69))</f>
        <v/>
      </c>
      <c r="S69" s="94">
        <f>IF(A69="","",COUNTIF(Dependencies!$F$5:$F$300,A69))</f>
        <v/>
      </c>
      <c r="T69" s="94">
        <f>IF(A69="","",IF(AND(OR(I69="Implemented",I69="Verified"),J69=""),"⚠ Sem link de código",IF(AND(I69="Verified",K69=""),"⚠ Sem evidência",IF(OR(P69="Sim",D69="TBD (owner pending)"),"◐ Proprietário pendente",IF(R69+S69=0,"○ Sem relações","✔ OK")))))</f>
        <v/>
      </c>
    </row>
    <row r="70" ht="15" customHeight="1" s="50">
      <c r="R70" s="94">
        <f>IF(A70="","",COUNTIF(Dependencies!$B$5:$B$300,A70))</f>
        <v/>
      </c>
      <c r="S70" s="94">
        <f>IF(A70="","",COUNTIF(Dependencies!$F$5:$F$300,A70))</f>
        <v/>
      </c>
      <c r="T70" s="94">
        <f>IF(A70="","",IF(AND(OR(I70="Implemented",I70="Verified"),J70=""),"⚠ Sem link de código",IF(AND(I70="Verified",K70=""),"⚠ Sem evidência",IF(OR(P70="Sim",D70="TBD (owner pending)"),"◐ Proprietário pendente",IF(R70+S70=0,"○ Sem relações","✔ OK")))))</f>
        <v/>
      </c>
    </row>
    <row r="71" ht="15" customHeight="1" s="50">
      <c r="R71" s="94">
        <f>IF(A71="","",COUNTIF(Dependencies!$B$5:$B$300,A71))</f>
        <v/>
      </c>
      <c r="S71" s="94">
        <f>IF(A71="","",COUNTIF(Dependencies!$F$5:$F$300,A71))</f>
        <v/>
      </c>
      <c r="T71" s="94">
        <f>IF(A71="","",IF(AND(OR(I71="Implemented",I71="Verified"),J71=""),"⚠ Sem link de código",IF(AND(I71="Verified",K71=""),"⚠ Sem evidência",IF(OR(P71="Sim",D71="TBD (owner pending)"),"◐ Proprietário pendente",IF(R71+S71=0,"○ Sem relações","✔ OK")))))</f>
        <v/>
      </c>
    </row>
    <row r="72" ht="15" customHeight="1" s="50">
      <c r="R72" s="94">
        <f>IF(A72="","",COUNTIF(Dependencies!$B$5:$B$300,A72))</f>
        <v/>
      </c>
      <c r="S72" s="94">
        <f>IF(A72="","",COUNTIF(Dependencies!$F$5:$F$300,A72))</f>
        <v/>
      </c>
      <c r="T72" s="94">
        <f>IF(A72="","",IF(AND(OR(I72="Implemented",I72="Verified"),J72=""),"⚠ Sem link de código",IF(AND(I72="Verified",K72=""),"⚠ Sem evidência",IF(OR(P72="Sim",D72="TBD (owner pending)"),"◐ Proprietário pendente",IF(R72+S72=0,"○ Sem relações","✔ OK")))))</f>
        <v/>
      </c>
    </row>
    <row r="73" ht="15" customHeight="1" s="50">
      <c r="R73" s="94">
        <f>IF(A73="","",COUNTIF(Dependencies!$B$5:$B$300,A73))</f>
        <v/>
      </c>
      <c r="S73" s="94">
        <f>IF(A73="","",COUNTIF(Dependencies!$F$5:$F$300,A73))</f>
        <v/>
      </c>
      <c r="T73" s="94">
        <f>IF(A73="","",IF(AND(OR(I73="Implemented",I73="Verified"),J73=""),"⚠ Sem link de código",IF(AND(I73="Verified",K73=""),"⚠ Sem evidência",IF(OR(P73="Sim",D73="TBD (owner pending)"),"◐ Proprietário pendente",IF(R73+S73=0,"○ Sem relações","✔ OK")))))</f>
        <v/>
      </c>
    </row>
    <row r="74" ht="15" customHeight="1" s="50">
      <c r="R74" s="94">
        <f>IF(A74="","",COUNTIF(Dependencies!$B$5:$B$300,A74))</f>
        <v/>
      </c>
      <c r="S74" s="94">
        <f>IF(A74="","",COUNTIF(Dependencies!$F$5:$F$300,A74))</f>
        <v/>
      </c>
      <c r="T74" s="94">
        <f>IF(A74="","",IF(AND(OR(I74="Implemented",I74="Verified"),J74=""),"⚠ Sem link de código",IF(AND(I74="Verified",K74=""),"⚠ Sem evidência",IF(OR(P74="Sim",D74="TBD (owner pending)"),"◐ Proprietário pendente",IF(R74+S74=0,"○ Sem relações","✔ OK")))))</f>
        <v/>
      </c>
    </row>
    <row r="75" ht="15" customHeight="1" s="50">
      <c r="R75" s="94">
        <f>IF(A75="","",COUNTIF(Dependencies!$B$5:$B$300,A75))</f>
        <v/>
      </c>
      <c r="S75" s="94">
        <f>IF(A75="","",COUNTIF(Dependencies!$F$5:$F$300,A75))</f>
        <v/>
      </c>
      <c r="T75" s="94">
        <f>IF(A75="","",IF(AND(OR(I75="Implemented",I75="Verified"),J75=""),"⚠ Sem link de código",IF(AND(I75="Verified",K75=""),"⚠ Sem evidência",IF(OR(P75="Sim",D75="TBD (owner pending)"),"◐ Proprietário pendente",IF(R75+S75=0,"○ Sem relações","✔ OK")))))</f>
        <v/>
      </c>
    </row>
    <row r="76" ht="15" customHeight="1" s="50">
      <c r="R76" s="94">
        <f>IF(A76="","",COUNTIF(Dependencies!$B$5:$B$300,A76))</f>
        <v/>
      </c>
      <c r="S76" s="94">
        <f>IF(A76="","",COUNTIF(Dependencies!$F$5:$F$300,A76))</f>
        <v/>
      </c>
      <c r="T76" s="94">
        <f>IF(A76="","",IF(AND(OR(I76="Implemented",I76="Verified"),J76=""),"⚠ Sem link de código",IF(AND(I76="Verified",K76=""),"⚠ Sem evidência",IF(OR(P76="Sim",D76="TBD (owner pending)"),"◐ Proprietário pendente",IF(R76+S76=0,"○ Sem relações","✔ OK")))))</f>
        <v/>
      </c>
    </row>
    <row r="77" ht="15" customHeight="1" s="50">
      <c r="R77" s="94">
        <f>IF(A77="","",COUNTIF(Dependencies!$B$5:$B$300,A77))</f>
        <v/>
      </c>
      <c r="S77" s="94">
        <f>IF(A77="","",COUNTIF(Dependencies!$F$5:$F$300,A77))</f>
        <v/>
      </c>
      <c r="T77" s="94">
        <f>IF(A77="","",IF(AND(OR(I77="Implemented",I77="Verified"),J77=""),"⚠ Sem link de código",IF(AND(I77="Verified",K77=""),"⚠ Sem evidência",IF(OR(P77="Sim",D77="TBD (owner pending)"),"◐ Proprietário pendente",IF(R77+S77=0,"○ Sem relações","✔ OK")))))</f>
        <v/>
      </c>
    </row>
    <row r="78" ht="15" customHeight="1" s="50">
      <c r="R78" s="94">
        <f>IF(A78="","",COUNTIF(Dependencies!$B$5:$B$300,A78))</f>
        <v/>
      </c>
      <c r="S78" s="94">
        <f>IF(A78="","",COUNTIF(Dependencies!$F$5:$F$300,A78))</f>
        <v/>
      </c>
      <c r="T78" s="94">
        <f>IF(A78="","",IF(AND(OR(I78="Implemented",I78="Verified"),J78=""),"⚠ Sem link de código",IF(AND(I78="Verified",K78=""),"⚠ Sem evidência",IF(OR(P78="Sim",D78="TBD (owner pending)"),"◐ Proprietário pendente",IF(R78+S78=0,"○ Sem relações","✔ OK")))))</f>
        <v/>
      </c>
    </row>
    <row r="79" ht="15" customHeight="1" s="50">
      <c r="R79" s="94">
        <f>IF(A79="","",COUNTIF(Dependencies!$B$5:$B$300,A79))</f>
        <v/>
      </c>
      <c r="S79" s="94">
        <f>IF(A79="","",COUNTIF(Dependencies!$F$5:$F$300,A79))</f>
        <v/>
      </c>
      <c r="T79" s="94">
        <f>IF(A79="","",IF(AND(OR(I79="Implemented",I79="Verified"),J79=""),"⚠ Sem link de código",IF(AND(I79="Verified",K79=""),"⚠ Sem evidência",IF(OR(P79="Sim",D79="TBD (owner pending)"),"◐ Proprietário pendente",IF(R79+S79=0,"○ Sem relações","✔ OK")))))</f>
        <v/>
      </c>
    </row>
    <row r="80" ht="15" customHeight="1" s="50">
      <c r="R80" s="94">
        <f>IF(A80="","",COUNTIF(Dependencies!$B$5:$B$300,A80))</f>
        <v/>
      </c>
      <c r="S80" s="94">
        <f>IF(A80="","",COUNTIF(Dependencies!$F$5:$F$300,A80))</f>
        <v/>
      </c>
      <c r="T80" s="94">
        <f>IF(A80="","",IF(AND(OR(I80="Implemented",I80="Verified"),J80=""),"⚠ Sem link de código",IF(AND(I80="Verified",K80=""),"⚠ Sem evidência",IF(OR(P80="Sim",D80="TBD (owner pending)"),"◐ Proprietário pendente",IF(R80+S80=0,"○ Sem relações","✔ OK")))))</f>
        <v/>
      </c>
    </row>
    <row r="81" ht="15" customHeight="1" s="50">
      <c r="R81" s="94">
        <f>IF(A81="","",COUNTIF(Dependencies!$B$5:$B$300,A81))</f>
        <v/>
      </c>
      <c r="S81" s="94">
        <f>IF(A81="","",COUNTIF(Dependencies!$F$5:$F$300,A81))</f>
        <v/>
      </c>
      <c r="T81" s="94">
        <f>IF(A81="","",IF(AND(OR(I81="Implemented",I81="Verified"),J81=""),"⚠ Sem link de código",IF(AND(I81="Verified",K81=""),"⚠ Sem evidência",IF(OR(P81="Sim",D81="TBD (owner pending)"),"◐ Proprietário pendente",IF(R81+S81=0,"○ Sem relações","✔ OK")))))</f>
        <v/>
      </c>
    </row>
    <row r="82" ht="15" customHeight="1" s="50">
      <c r="R82" s="94">
        <f>IF(A82="","",COUNTIF(Dependencies!$B$5:$B$300,A82))</f>
        <v/>
      </c>
      <c r="S82" s="94">
        <f>IF(A82="","",COUNTIF(Dependencies!$F$5:$F$300,A82))</f>
        <v/>
      </c>
      <c r="T82" s="94">
        <f>IF(A82="","",IF(AND(OR(I82="Implemented",I82="Verified"),J82=""),"⚠ Sem link de código",IF(AND(I82="Verified",K82=""),"⚠ Sem evidência",IF(OR(P82="Sim",D82="TBD (owner pending)"),"◐ Proprietário pendente",IF(R82+S82=0,"○ Sem relações","✔ OK")))))</f>
        <v/>
      </c>
    </row>
    <row r="83" ht="15" customHeight="1" s="50">
      <c r="R83" s="94">
        <f>IF(A83="","",COUNTIF(Dependencies!$B$5:$B$300,A83))</f>
        <v/>
      </c>
      <c r="S83" s="94">
        <f>IF(A83="","",COUNTIF(Dependencies!$F$5:$F$300,A83))</f>
        <v/>
      </c>
      <c r="T83" s="94">
        <f>IF(A83="","",IF(AND(OR(I83="Implemented",I83="Verified"),J83=""),"⚠ Sem link de código",IF(AND(I83="Verified",K83=""),"⚠ Sem evidência",IF(OR(P83="Sim",D83="TBD (owner pending)"),"◐ Proprietário pendente",IF(R83+S83=0,"○ Sem relações","✔ OK")))))</f>
        <v/>
      </c>
    </row>
    <row r="84" ht="15" customHeight="1" s="50">
      <c r="R84" s="94">
        <f>IF(A84="","",COUNTIF(Dependencies!$B$5:$B$300,A84))</f>
        <v/>
      </c>
      <c r="S84" s="94">
        <f>IF(A84="","",COUNTIF(Dependencies!$F$5:$F$300,A84))</f>
        <v/>
      </c>
      <c r="T84" s="94">
        <f>IF(A84="","",IF(AND(OR(I84="Implemented",I84="Verified"),J84=""),"⚠ Sem link de código",IF(AND(I84="Verified",K84=""),"⚠ Sem evidência",IF(OR(P84="Sim",D84="TBD (owner pending)"),"◐ Proprietário pendente",IF(R84+S84=0,"○ Sem relações","✔ OK")))))</f>
        <v/>
      </c>
    </row>
    <row r="85" ht="15" customHeight="1" s="50">
      <c r="R85" s="94">
        <f>IF(A85="","",COUNTIF(Dependencies!$B$5:$B$300,A85))</f>
        <v/>
      </c>
      <c r="S85" s="94">
        <f>IF(A85="","",COUNTIF(Dependencies!$F$5:$F$300,A85))</f>
        <v/>
      </c>
      <c r="T85" s="94">
        <f>IF(A85="","",IF(AND(OR(I85="Implemented",I85="Verified"),J85=""),"⚠ Sem link de código",IF(AND(I85="Verified",K85=""),"⚠ Sem evidência",IF(OR(P85="Sim",D85="TBD (owner pending)"),"◐ Proprietário pendente",IF(R85+S85=0,"○ Sem relações","✔ OK")))))</f>
        <v/>
      </c>
    </row>
    <row r="86" ht="15" customHeight="1" s="50">
      <c r="R86" s="94">
        <f>IF(A86="","",COUNTIF(Dependencies!$B$5:$B$300,A86))</f>
        <v/>
      </c>
      <c r="S86" s="94">
        <f>IF(A86="","",COUNTIF(Dependencies!$F$5:$F$300,A86))</f>
        <v/>
      </c>
      <c r="T86" s="94">
        <f>IF(A86="","",IF(AND(OR(I86="Implemented",I86="Verified"),J86=""),"⚠ Sem link de código",IF(AND(I86="Verified",K86=""),"⚠ Sem evidência",IF(OR(P86="Sim",D86="TBD (owner pending)"),"◐ Proprietário pendente",IF(R86+S86=0,"○ Sem relações","✔ OK")))))</f>
        <v/>
      </c>
    </row>
    <row r="87" ht="15" customHeight="1" s="50">
      <c r="R87" s="94">
        <f>IF(A87="","",COUNTIF(Dependencies!$B$5:$B$300,A87))</f>
        <v/>
      </c>
      <c r="S87" s="94">
        <f>IF(A87="","",COUNTIF(Dependencies!$F$5:$F$300,A87))</f>
        <v/>
      </c>
      <c r="T87" s="94">
        <f>IF(A87="","",IF(AND(OR(I87="Implemented",I87="Verified"),J87=""),"⚠ Sem link de código",IF(AND(I87="Verified",K87=""),"⚠ Sem evidência",IF(OR(P87="Sim",D87="TBD (owner pending)"),"◐ Proprietário pendente",IF(R87+S87=0,"○ Sem relações","✔ OK")))))</f>
        <v/>
      </c>
    </row>
    <row r="88" ht="15" customHeight="1" s="50">
      <c r="R88" s="94">
        <f>IF(A88="","",COUNTIF(Dependencies!$B$5:$B$300,A88))</f>
        <v/>
      </c>
      <c r="S88" s="94">
        <f>IF(A88="","",COUNTIF(Dependencies!$F$5:$F$300,A88))</f>
        <v/>
      </c>
      <c r="T88" s="94">
        <f>IF(A88="","",IF(AND(OR(I88="Implemented",I88="Verified"),J88=""),"⚠ Sem link de código",IF(AND(I88="Verified",K88=""),"⚠ Sem evidência",IF(OR(P88="Sim",D88="TBD (owner pending)"),"◐ Proprietário pendente",IF(R88+S88=0,"○ Sem relações","✔ OK")))))</f>
        <v/>
      </c>
    </row>
    <row r="89" ht="15" customHeight="1" s="50">
      <c r="R89" s="94">
        <f>IF(A89="","",COUNTIF(Dependencies!$B$5:$B$300,A89))</f>
        <v/>
      </c>
      <c r="S89" s="94">
        <f>IF(A89="","",COUNTIF(Dependencies!$F$5:$F$300,A89))</f>
        <v/>
      </c>
      <c r="T89" s="94">
        <f>IF(A89="","",IF(AND(OR(I89="Implemented",I89="Verified"),J89=""),"⚠ Sem link de código",IF(AND(I89="Verified",K89=""),"⚠ Sem evidência",IF(OR(P89="Sim",D89="TBD (owner pending)"),"◐ Proprietário pendente",IF(R89+S89=0,"○ Sem relações","✔ OK")))))</f>
        <v/>
      </c>
    </row>
    <row r="90" ht="15" customHeight="1" s="50">
      <c r="R90" s="94">
        <f>IF(A90="","",COUNTIF(Dependencies!$B$5:$B$300,A90))</f>
        <v/>
      </c>
      <c r="S90" s="94">
        <f>IF(A90="","",COUNTIF(Dependencies!$F$5:$F$300,A90))</f>
        <v/>
      </c>
      <c r="T90" s="94">
        <f>IF(A90="","",IF(AND(OR(I90="Implemented",I90="Verified"),J90=""),"⚠ Sem link de código",IF(AND(I90="Verified",K90=""),"⚠ Sem evidência",IF(OR(P90="Sim",D90="TBD (owner pending)"),"◐ Proprietário pendente",IF(R90+S90=0,"○ Sem relações","✔ OK")))))</f>
        <v/>
      </c>
    </row>
    <row r="91" ht="15" customHeight="1" s="50">
      <c r="R91" s="94">
        <f>IF(A91="","",COUNTIF(Dependencies!$B$5:$B$300,A91))</f>
        <v/>
      </c>
      <c r="S91" s="94">
        <f>IF(A91="","",COUNTIF(Dependencies!$F$5:$F$300,A91))</f>
        <v/>
      </c>
      <c r="T91" s="94">
        <f>IF(A91="","",IF(AND(OR(I91="Implemented",I91="Verified"),J91=""),"⚠ Sem link de código",IF(AND(I91="Verified",K91=""),"⚠ Sem evidência",IF(OR(P91="Sim",D91="TBD (owner pending)"),"◐ Proprietário pendente",IF(R91+S91=0,"○ Sem relações","✔ OK")))))</f>
        <v/>
      </c>
    </row>
    <row r="92" ht="15" customHeight="1" s="50">
      <c r="R92" s="94">
        <f>IF(A92="","",COUNTIF(Dependencies!$B$5:$B$300,A92))</f>
        <v/>
      </c>
      <c r="S92" s="94">
        <f>IF(A92="","",COUNTIF(Dependencies!$F$5:$F$300,A92))</f>
        <v/>
      </c>
      <c r="T92" s="94">
        <f>IF(A92="","",IF(AND(OR(I92="Implemented",I92="Verified"),J92=""),"⚠ Sem link de código",IF(AND(I92="Verified",K92=""),"⚠ Sem evidência",IF(OR(P92="Sim",D92="TBD (owner pending)"),"◐ Proprietário pendente",IF(R92+S92=0,"○ Sem relações","✔ OK")))))</f>
        <v/>
      </c>
    </row>
    <row r="93" ht="15" customHeight="1" s="50">
      <c r="R93" s="94">
        <f>IF(A93="","",COUNTIF(Dependencies!$B$5:$B$300,A93))</f>
        <v/>
      </c>
      <c r="S93" s="94">
        <f>IF(A93="","",COUNTIF(Dependencies!$F$5:$F$300,A93))</f>
        <v/>
      </c>
      <c r="T93" s="94">
        <f>IF(A93="","",IF(AND(OR(I93="Implemented",I93="Verified"),J93=""),"⚠ Sem link de código",IF(AND(I93="Verified",K93=""),"⚠ Sem evidência",IF(OR(P93="Sim",D93="TBD (owner pending)"),"◐ Proprietário pendente",IF(R93+S93=0,"○ Sem relações","✔ OK")))))</f>
        <v/>
      </c>
    </row>
    <row r="94" ht="15" customHeight="1" s="50">
      <c r="R94" s="94">
        <f>IF(A94="","",COUNTIF(Dependencies!$B$5:$B$300,A94))</f>
        <v/>
      </c>
      <c r="S94" s="94">
        <f>IF(A94="","",COUNTIF(Dependencies!$F$5:$F$300,A94))</f>
        <v/>
      </c>
      <c r="T94" s="94">
        <f>IF(A94="","",IF(AND(OR(I94="Implemented",I94="Verified"),J94=""),"⚠ Sem link de código",IF(AND(I94="Verified",K94=""),"⚠ Sem evidência",IF(OR(P94="Sim",D94="TBD (owner pending)"),"◐ Proprietário pendente",IF(R94+S94=0,"○ Sem relações","✔ OK")))))</f>
        <v/>
      </c>
    </row>
    <row r="95" ht="15" customHeight="1" s="50">
      <c r="R95" s="94">
        <f>IF(A95="","",COUNTIF(Dependencies!$B$5:$B$300,A95))</f>
        <v/>
      </c>
      <c r="S95" s="94">
        <f>IF(A95="","",COUNTIF(Dependencies!$F$5:$F$300,A95))</f>
        <v/>
      </c>
      <c r="T95" s="94">
        <f>IF(A95="","",IF(AND(OR(I95="Implemented",I95="Verified"),J95=""),"⚠ Sem link de código",IF(AND(I95="Verified",K95=""),"⚠ Sem evidência",IF(OR(P95="Sim",D95="TBD (owner pending)"),"◐ Proprietário pendente",IF(R95+S95=0,"○ Sem relações","✔ OK")))))</f>
        <v/>
      </c>
    </row>
    <row r="96" ht="15" customHeight="1" s="50">
      <c r="R96" s="94">
        <f>IF(A96="","",COUNTIF(Dependencies!$B$5:$B$300,A96))</f>
        <v/>
      </c>
      <c r="S96" s="94">
        <f>IF(A96="","",COUNTIF(Dependencies!$F$5:$F$300,A96))</f>
        <v/>
      </c>
      <c r="T96" s="94">
        <f>IF(A96="","",IF(AND(OR(I96="Implemented",I96="Verified"),J96=""),"⚠ Sem link de código",IF(AND(I96="Verified",K96=""),"⚠ Sem evidência",IF(OR(P96="Sim",D96="TBD (owner pending)"),"◐ Proprietário pendente",IF(R96+S96=0,"○ Sem relações","✔ OK")))))</f>
        <v/>
      </c>
    </row>
    <row r="97" ht="15" customHeight="1" s="50">
      <c r="R97" s="94">
        <f>IF(A97="","",COUNTIF(Dependencies!$B$5:$B$300,A97))</f>
        <v/>
      </c>
      <c r="S97" s="94">
        <f>IF(A97="","",COUNTIF(Dependencies!$F$5:$F$300,A97))</f>
        <v/>
      </c>
      <c r="T97" s="94">
        <f>IF(A97="","",IF(AND(OR(I97="Implemented",I97="Verified"),J97=""),"⚠ Sem link de código",IF(AND(I97="Verified",K97=""),"⚠ Sem evidência",IF(OR(P97="Sim",D97="TBD (owner pending)"),"◐ Proprietário pendente",IF(R97+S97=0,"○ Sem relações","✔ OK")))))</f>
        <v/>
      </c>
    </row>
    <row r="98" ht="15" customHeight="1" s="50">
      <c r="R98" s="94">
        <f>IF(A98="","",COUNTIF(Dependencies!$B$5:$B$300,A98))</f>
        <v/>
      </c>
      <c r="S98" s="94">
        <f>IF(A98="","",COUNTIF(Dependencies!$F$5:$F$300,A98))</f>
        <v/>
      </c>
      <c r="T98" s="94">
        <f>IF(A98="","",IF(AND(OR(I98="Implemented",I98="Verified"),J98=""),"⚠ Sem link de código",IF(AND(I98="Verified",K98=""),"⚠ Sem evidência",IF(OR(P98="Sim",D98="TBD (owner pending)"),"◐ Proprietário pendente",IF(R98+S98=0,"○ Sem relações","✔ OK")))))</f>
        <v/>
      </c>
    </row>
    <row r="99" ht="15" customHeight="1" s="50">
      <c r="R99" s="94">
        <f>IF(A99="","",COUNTIF(Dependencies!$B$5:$B$300,A99))</f>
        <v/>
      </c>
      <c r="S99" s="94">
        <f>IF(A99="","",COUNTIF(Dependencies!$F$5:$F$300,A99))</f>
        <v/>
      </c>
      <c r="T99" s="94">
        <f>IF(A99="","",IF(AND(OR(I99="Implemented",I99="Verified"),J99=""),"⚠ Sem link de código",IF(AND(I99="Verified",K99=""),"⚠ Sem evidência",IF(OR(P99="Sim",D99="TBD (owner pending)"),"◐ Proprietário pendente",IF(R99+S99=0,"○ Sem relações","✔ OK")))))</f>
        <v/>
      </c>
    </row>
    <row r="100" ht="15" customHeight="1" s="50">
      <c r="R100" s="94">
        <f>IF(A100="","",COUNTIF(Dependencies!$B$5:$B$300,A100))</f>
        <v/>
      </c>
      <c r="S100" s="94">
        <f>IF(A100="","",COUNTIF(Dependencies!$F$5:$F$300,A100))</f>
        <v/>
      </c>
      <c r="T100" s="94">
        <f>IF(A100="","",IF(AND(OR(I100="Implemented",I100="Verified"),J100=""),"⚠ Sem link de código",IF(AND(I100="Verified",K100=""),"⚠ Sem evidência",IF(OR(P100="Sim",D100="TBD (owner pending)"),"◐ Proprietário pendente",IF(R100+S100=0,"○ Sem relações","✔ OK")))))</f>
        <v/>
      </c>
    </row>
    <row r="101" ht="15" customHeight="1" s="50">
      <c r="R101" s="94">
        <f>IF(A101="","",COUNTIF(Dependencies!$B$5:$B$300,A101))</f>
        <v/>
      </c>
      <c r="S101" s="94">
        <f>IF(A101="","",COUNTIF(Dependencies!$F$5:$F$300,A101))</f>
        <v/>
      </c>
      <c r="T101" s="94">
        <f>IF(A101="","",IF(AND(OR(I101="Implemented",I101="Verified"),J101=""),"⚠ Sem link de código",IF(AND(I101="Verified",K101=""),"⚠ Sem evidência",IF(OR(P101="Sim",D101="TBD (owner pending)"),"◐ Proprietário pendente",IF(R101+S101=0,"○ Sem relações","✔ OK")))))</f>
        <v/>
      </c>
    </row>
    <row r="102" ht="15" customHeight="1" s="50">
      <c r="R102" s="94">
        <f>IF(A102="","",COUNTIF(Dependencies!$B$5:$B$300,A102))</f>
        <v/>
      </c>
      <c r="S102" s="94">
        <f>IF(A102="","",COUNTIF(Dependencies!$F$5:$F$300,A102))</f>
        <v/>
      </c>
      <c r="T102" s="94">
        <f>IF(A102="","",IF(AND(OR(I102="Implemented",I102="Verified"),J102=""),"⚠ Sem link de código",IF(AND(I102="Verified",K102=""),"⚠ Sem evidência",IF(OR(P102="Sim",D102="TBD (owner pending)"),"◐ Proprietário pendente",IF(R102+S102=0,"○ Sem relações","✔ OK")))))</f>
        <v/>
      </c>
    </row>
    <row r="103" ht="15" customHeight="1" s="50">
      <c r="R103" s="94">
        <f>IF(A103="","",COUNTIF(Dependencies!$B$5:$B$300,A103))</f>
        <v/>
      </c>
      <c r="S103" s="94">
        <f>IF(A103="","",COUNTIF(Dependencies!$F$5:$F$300,A103))</f>
        <v/>
      </c>
      <c r="T103" s="94">
        <f>IF(A103="","",IF(AND(OR(I103="Implemented",I103="Verified"),J103=""),"⚠ Sem link de código",IF(AND(I103="Verified",K103=""),"⚠ Sem evidência",IF(OR(P103="Sim",D103="TBD (owner pending)"),"◐ Proprietário pendente",IF(R103+S103=0,"○ Sem relações","✔ OK")))))</f>
        <v/>
      </c>
    </row>
    <row r="104" ht="15" customHeight="1" s="50">
      <c r="R104" s="94">
        <f>IF(A104="","",COUNTIF(Dependencies!$B$5:$B$300,A104))</f>
        <v/>
      </c>
      <c r="S104" s="94">
        <f>IF(A104="","",COUNTIF(Dependencies!$F$5:$F$300,A104))</f>
        <v/>
      </c>
      <c r="T104" s="94">
        <f>IF(A104="","",IF(AND(OR(I104="Implemented",I104="Verified"),J104=""),"⚠ Sem link de código",IF(AND(I104="Verified",K104=""),"⚠ Sem evidência",IF(OR(P104="Sim",D104="TBD (owner pending)"),"◐ Proprietário pendente",IF(R104+S104=0,"○ Sem relações","✔ OK")))))</f>
        <v/>
      </c>
    </row>
    <row r="105" ht="15" customHeight="1" s="50">
      <c r="R105" s="94">
        <f>IF(A105="","",COUNTIF(Dependencies!$B$5:$B$300,A105))</f>
        <v/>
      </c>
      <c r="S105" s="94">
        <f>IF(A105="","",COUNTIF(Dependencies!$F$5:$F$300,A105))</f>
        <v/>
      </c>
      <c r="T105" s="94">
        <f>IF(A105="","",IF(AND(OR(I105="Implemented",I105="Verified"),J105=""),"⚠ Sem link de código",IF(AND(I105="Verified",K105=""),"⚠ Sem evidência",IF(OR(P105="Sim",D105="TBD (owner pending)"),"◐ Proprietário pendente",IF(R105+S105=0,"○ Sem relações","✔ OK")))))</f>
        <v/>
      </c>
    </row>
    <row r="106" ht="15" customHeight="1" s="50">
      <c r="R106" s="94">
        <f>IF(A106="","",COUNTIF(Dependencies!$B$5:$B$300,A106))</f>
        <v/>
      </c>
      <c r="S106" s="94">
        <f>IF(A106="","",COUNTIF(Dependencies!$F$5:$F$300,A106))</f>
        <v/>
      </c>
      <c r="T106" s="94">
        <f>IF(A106="","",IF(AND(OR(I106="Implemented",I106="Verified"),J106=""),"⚠ Sem link de código",IF(AND(I106="Verified",K106=""),"⚠ Sem evidência",IF(OR(P106="Sim",D106="TBD (owner pending)"),"◐ Proprietário pendente",IF(R106+S106=0,"○ Sem relações","✔ OK")))))</f>
        <v/>
      </c>
    </row>
    <row r="107" ht="15" customHeight="1" s="50">
      <c r="R107" s="94">
        <f>IF(A107="","",COUNTIF(Dependencies!$B$5:$B$300,A107))</f>
        <v/>
      </c>
      <c r="S107" s="94">
        <f>IF(A107="","",COUNTIF(Dependencies!$F$5:$F$300,A107))</f>
        <v/>
      </c>
      <c r="T107" s="94">
        <f>IF(A107="","",IF(AND(OR(I107="Implemented",I107="Verified"),J107=""),"⚠ Sem link de código",IF(AND(I107="Verified",K107=""),"⚠ Sem evidência",IF(OR(P107="Sim",D107="TBD (owner pending)"),"◐ Proprietário pendente",IF(R107+S107=0,"○ Sem relações","✔ OK")))))</f>
        <v/>
      </c>
    </row>
    <row r="108" ht="15" customHeight="1" s="50">
      <c r="R108" s="94">
        <f>IF(A108="","",COUNTIF(Dependencies!$B$5:$B$300,A108))</f>
        <v/>
      </c>
      <c r="S108" s="94">
        <f>IF(A108="","",COUNTIF(Dependencies!$F$5:$F$300,A108))</f>
        <v/>
      </c>
      <c r="T108" s="94">
        <f>IF(A108="","",IF(AND(OR(I108="Implemented",I108="Verified"),J108=""),"⚠ Sem link de código",IF(AND(I108="Verified",K108=""),"⚠ Sem evidência",IF(OR(P108="Sim",D108="TBD (owner pending)"),"◐ Proprietário pendente",IF(R108+S108=0,"○ Sem relações","✔ OK")))))</f>
        <v/>
      </c>
    </row>
    <row r="109" ht="15" customHeight="1" s="50">
      <c r="R109" s="94">
        <f>IF(A109="","",COUNTIF(Dependencies!$B$5:$B$300,A109))</f>
        <v/>
      </c>
      <c r="S109" s="94">
        <f>IF(A109="","",COUNTIF(Dependencies!$F$5:$F$300,A109))</f>
        <v/>
      </c>
      <c r="T109" s="94">
        <f>IF(A109="","",IF(AND(OR(I109="Implemented",I109="Verified"),J109=""),"⚠ Sem link de código",IF(AND(I109="Verified",K109=""),"⚠ Sem evidência",IF(OR(P109="Sim",D109="TBD (owner pending)"),"◐ Proprietário pendente",IF(R109+S109=0,"○ Sem relações","✔ OK")))))</f>
        <v/>
      </c>
    </row>
    <row r="110" ht="15" customHeight="1" s="50">
      <c r="R110" s="94">
        <f>IF(A110="","",COUNTIF(Dependencies!$B$5:$B$300,A110))</f>
        <v/>
      </c>
      <c r="S110" s="94">
        <f>IF(A110="","",COUNTIF(Dependencies!$F$5:$F$300,A110))</f>
        <v/>
      </c>
      <c r="T110" s="94">
        <f>IF(A110="","",IF(AND(OR(I110="Implemented",I110="Verified"),J110=""),"⚠ Sem link de código",IF(AND(I110="Verified",K110=""),"⚠ Sem evidência",IF(OR(P110="Sim",D110="TBD (owner pending)"),"◐ Proprietário pendente",IF(R110+S110=0,"○ Sem relações","✔ OK")))))</f>
        <v/>
      </c>
    </row>
    <row r="111" ht="15" customHeight="1" s="50">
      <c r="R111" s="94">
        <f>IF(A111="","",COUNTIF(Dependencies!$B$5:$B$300,A111))</f>
        <v/>
      </c>
      <c r="S111" s="94">
        <f>IF(A111="","",COUNTIF(Dependencies!$F$5:$F$300,A111))</f>
        <v/>
      </c>
      <c r="T111" s="94">
        <f>IF(A111="","",IF(AND(OR(I111="Implemented",I111="Verified"),J111=""),"⚠ Sem link de código",IF(AND(I111="Verified",K111=""),"⚠ Sem evidência",IF(OR(P111="Sim",D111="TBD (owner pending)"),"◐ Proprietário pendente",IF(R111+S111=0,"○ Sem relações","✔ OK")))))</f>
        <v/>
      </c>
    </row>
    <row r="112" ht="15" customHeight="1" s="50">
      <c r="R112" s="94">
        <f>IF(A112="","",COUNTIF(Dependencies!$B$5:$B$300,A112))</f>
        <v/>
      </c>
      <c r="S112" s="94">
        <f>IF(A112="","",COUNTIF(Dependencies!$F$5:$F$300,A112))</f>
        <v/>
      </c>
      <c r="T112" s="94">
        <f>IF(A112="","",IF(AND(OR(I112="Implemented",I112="Verified"),J112=""),"⚠ Sem link de código",IF(AND(I112="Verified",K112=""),"⚠ Sem evidência",IF(OR(P112="Sim",D112="TBD (owner pending)"),"◐ Proprietário pendente",IF(R112+S112=0,"○ Sem relações","✔ OK")))))</f>
        <v/>
      </c>
    </row>
    <row r="113" ht="15" customHeight="1" s="50">
      <c r="R113" s="94">
        <f>IF(A113="","",COUNTIF(Dependencies!$B$5:$B$300,A113))</f>
        <v/>
      </c>
      <c r="S113" s="94">
        <f>IF(A113="","",COUNTIF(Dependencies!$F$5:$F$300,A113))</f>
        <v/>
      </c>
      <c r="T113" s="94">
        <f>IF(A113="","",IF(AND(OR(I113="Implemented",I113="Verified"),J113=""),"⚠ Sem link de código",IF(AND(I113="Verified",K113=""),"⚠ Sem evidência",IF(OR(P113="Sim",D113="TBD (owner pending)"),"◐ Proprietário pendente",IF(R113+S113=0,"○ Sem relações","✔ OK")))))</f>
        <v/>
      </c>
    </row>
    <row r="114" ht="15" customHeight="1" s="50">
      <c r="R114" s="94">
        <f>IF(A114="","",COUNTIF(Dependencies!$B$5:$B$300,A114))</f>
        <v/>
      </c>
      <c r="S114" s="94">
        <f>IF(A114="","",COUNTIF(Dependencies!$F$5:$F$300,A114))</f>
        <v/>
      </c>
      <c r="T114" s="94">
        <f>IF(A114="","",IF(AND(OR(I114="Implemented",I114="Verified"),J114=""),"⚠ Sem link de código",IF(AND(I114="Verified",K114=""),"⚠ Sem evidência",IF(OR(P114="Sim",D114="TBD (owner pending)"),"◐ Proprietário pendente",IF(R114+S114=0,"○ Sem relações","✔ OK")))))</f>
        <v/>
      </c>
    </row>
    <row r="115" ht="15" customHeight="1" s="50">
      <c r="R115" s="94">
        <f>IF(A115="","",COUNTIF(Dependencies!$B$5:$B$300,A115))</f>
        <v/>
      </c>
      <c r="S115" s="94">
        <f>IF(A115="","",COUNTIF(Dependencies!$F$5:$F$300,A115))</f>
        <v/>
      </c>
      <c r="T115" s="94">
        <f>IF(A115="","",IF(AND(OR(I115="Implemented",I115="Verified"),J115=""),"⚠ Sem link de código",IF(AND(I115="Verified",K115=""),"⚠ Sem evidência",IF(OR(P115="Sim",D115="TBD (owner pending)"),"◐ Proprietário pendente",IF(R115+S115=0,"○ Sem relações","✔ OK")))))</f>
        <v/>
      </c>
    </row>
    <row r="116" ht="15" customHeight="1" s="50">
      <c r="R116" s="94">
        <f>IF(A116="","",COUNTIF(Dependencies!$B$5:$B$300,A116))</f>
        <v/>
      </c>
      <c r="S116" s="94">
        <f>IF(A116="","",COUNTIF(Dependencies!$F$5:$F$300,A116))</f>
        <v/>
      </c>
      <c r="T116" s="94">
        <f>IF(A116="","",IF(AND(OR(I116="Implemented",I116="Verified"),J116=""),"⚠ Sem link de código",IF(AND(I116="Verified",K116=""),"⚠ Sem evidência",IF(OR(P116="Sim",D116="TBD (owner pending)"),"◐ Proprietário pendente",IF(R116+S116=0,"○ Sem relações","✔ OK")))))</f>
        <v/>
      </c>
    </row>
    <row r="117" ht="15" customHeight="1" s="50">
      <c r="R117" s="94">
        <f>IF(A117="","",COUNTIF(Dependencies!$B$5:$B$300,A117))</f>
        <v/>
      </c>
      <c r="S117" s="94">
        <f>IF(A117="","",COUNTIF(Dependencies!$F$5:$F$300,A117))</f>
        <v/>
      </c>
      <c r="T117" s="94">
        <f>IF(A117="","",IF(AND(OR(I117="Implemented",I117="Verified"),J117=""),"⚠ Sem link de código",IF(AND(I117="Verified",K117=""),"⚠ Sem evidência",IF(OR(P117="Sim",D117="TBD (owner pending)"),"◐ Proprietário pendente",IF(R117+S117=0,"○ Sem relações","✔ OK")))))</f>
        <v/>
      </c>
    </row>
    <row r="118" ht="15" customHeight="1" s="50">
      <c r="R118" s="94">
        <f>IF(A118="","",COUNTIF(Dependencies!$B$5:$B$300,A118))</f>
        <v/>
      </c>
      <c r="S118" s="94">
        <f>IF(A118="","",COUNTIF(Dependencies!$F$5:$F$300,A118))</f>
        <v/>
      </c>
      <c r="T118" s="94">
        <f>IF(A118="","",IF(AND(OR(I118="Implemented",I118="Verified"),J118=""),"⚠ Sem link de código",IF(AND(I118="Verified",K118=""),"⚠ Sem evidência",IF(OR(P118="Sim",D118="TBD (owner pending)"),"◐ Proprietário pendente",IF(R118+S118=0,"○ Sem relações","✔ OK")))))</f>
        <v/>
      </c>
    </row>
    <row r="119" ht="15" customHeight="1" s="50">
      <c r="R119" s="94">
        <f>IF(A119="","",COUNTIF(Dependencies!$B$5:$B$300,A119))</f>
        <v/>
      </c>
      <c r="S119" s="94">
        <f>IF(A119="","",COUNTIF(Dependencies!$F$5:$F$300,A119))</f>
        <v/>
      </c>
      <c r="T119" s="94">
        <f>IF(A119="","",IF(AND(OR(I119="Implemented",I119="Verified"),J119=""),"⚠ Sem link de código",IF(AND(I119="Verified",K119=""),"⚠ Sem evidência",IF(OR(P119="Sim",D119="TBD (owner pending)"),"◐ Proprietário pendente",IF(R119+S119=0,"○ Sem relações","✔ OK")))))</f>
        <v/>
      </c>
    </row>
    <row r="120" ht="15" customHeight="1" s="50">
      <c r="R120" s="94">
        <f>IF(A120="","",COUNTIF(Dependencies!$B$5:$B$300,A120))</f>
        <v/>
      </c>
      <c r="S120" s="94">
        <f>IF(A120="","",COUNTIF(Dependencies!$F$5:$F$300,A120))</f>
        <v/>
      </c>
      <c r="T120" s="94">
        <f>IF(A120="","",IF(AND(OR(I120="Implemented",I120="Verified"),J120=""),"⚠ Sem link de código",IF(AND(I120="Verified",K120=""),"⚠ Sem evidência",IF(OR(P120="Sim",D120="TBD (owner pending)"),"◐ Proprietário pendente",IF(R120+S120=0,"○ Sem relações","✔ OK")))))</f>
        <v/>
      </c>
    </row>
    <row r="121" ht="15" customHeight="1" s="50">
      <c r="R121" s="94">
        <f>IF(A121="","",COUNTIF(Dependencies!$B$5:$B$300,A121))</f>
        <v/>
      </c>
      <c r="S121" s="94">
        <f>IF(A121="","",COUNTIF(Dependencies!$F$5:$F$300,A121))</f>
        <v/>
      </c>
      <c r="T121" s="94">
        <f>IF(A121="","",IF(AND(OR(I121="Implemented",I121="Verified"),J121=""),"⚠ Sem link de código",IF(AND(I121="Verified",K121=""),"⚠ Sem evidência",IF(OR(P121="Sim",D121="TBD (owner pending)"),"◐ Proprietário pendente",IF(R121+S121=0,"○ Sem relações","✔ OK")))))</f>
        <v/>
      </c>
    </row>
    <row r="122" ht="15" customHeight="1" s="50">
      <c r="R122" s="94">
        <f>IF(A122="","",COUNTIF(Dependencies!$B$5:$B$300,A122))</f>
        <v/>
      </c>
      <c r="S122" s="94">
        <f>IF(A122="","",COUNTIF(Dependencies!$F$5:$F$300,A122))</f>
        <v/>
      </c>
      <c r="T122" s="94">
        <f>IF(A122="","",IF(AND(OR(I122="Implemented",I122="Verified"),J122=""),"⚠ Sem link de código",IF(AND(I122="Verified",K122=""),"⚠ Sem evidência",IF(OR(P122="Sim",D122="TBD (owner pending)"),"◐ Proprietário pendente",IF(R122+S122=0,"○ Sem relações","✔ OK")))))</f>
        <v/>
      </c>
    </row>
    <row r="123" ht="15" customHeight="1" s="50">
      <c r="R123" s="94">
        <f>IF(A123="","",COUNTIF(Dependencies!$B$5:$B$300,A123))</f>
        <v/>
      </c>
      <c r="S123" s="94">
        <f>IF(A123="","",COUNTIF(Dependencies!$F$5:$F$300,A123))</f>
        <v/>
      </c>
      <c r="T123" s="94">
        <f>IF(A123="","",IF(AND(OR(I123="Implemented",I123="Verified"),J123=""),"⚠ Sem link de código",IF(AND(I123="Verified",K123=""),"⚠ Sem evidência",IF(OR(P123="Sim",D123="TBD (owner pending)"),"◐ Proprietário pendente",IF(R123+S123=0,"○ Sem relações","✔ OK")))))</f>
        <v/>
      </c>
    </row>
    <row r="124" ht="15" customHeight="1" s="50">
      <c r="R124" s="94">
        <f>IF(A124="","",COUNTIF(Dependencies!$B$5:$B$300,A124))</f>
        <v/>
      </c>
      <c r="S124" s="94">
        <f>IF(A124="","",COUNTIF(Dependencies!$F$5:$F$300,A124))</f>
        <v/>
      </c>
      <c r="T124" s="94">
        <f>IF(A124="","",IF(AND(OR(I124="Implemented",I124="Verified"),J124=""),"⚠ Sem link de código",IF(AND(I124="Verified",K124=""),"⚠ Sem evidência",IF(OR(P124="Sim",D124="TBD (owner pending)"),"◐ Proprietário pendente",IF(R124+S124=0,"○ Sem relações","✔ OK")))))</f>
        <v/>
      </c>
    </row>
    <row r="125" ht="15" customHeight="1" s="50">
      <c r="R125" s="94">
        <f>IF(A125="","",COUNTIF(Dependencies!$B$5:$B$300,A125))</f>
        <v/>
      </c>
      <c r="S125" s="94">
        <f>IF(A125="","",COUNTIF(Dependencies!$F$5:$F$300,A125))</f>
        <v/>
      </c>
      <c r="T125" s="94">
        <f>IF(A125="","",IF(AND(OR(I125="Implemented",I125="Verified"),J125=""),"⚠ Sem link de código",IF(AND(I125="Verified",K125=""),"⚠ Sem evidência",IF(OR(P125="Sim",D125="TBD (owner pending)"),"◐ Proprietário pendente",IF(R125+S125=0,"○ Sem relações","✔ OK")))))</f>
        <v/>
      </c>
    </row>
    <row r="126" ht="15" customHeight="1" s="50">
      <c r="R126" s="94">
        <f>IF(A126="","",COUNTIF(Dependencies!$B$5:$B$300,A126))</f>
        <v/>
      </c>
      <c r="S126" s="94">
        <f>IF(A126="","",COUNTIF(Dependencies!$F$5:$F$300,A126))</f>
        <v/>
      </c>
      <c r="T126" s="94">
        <f>IF(A126="","",IF(AND(OR(I126="Implemented",I126="Verified"),J126=""),"⚠ Sem link de código",IF(AND(I126="Verified",K126=""),"⚠ Sem evidência",IF(OR(P126="Sim",D126="TBD (owner pending)"),"◐ Proprietário pendente",IF(R126+S126=0,"○ Sem relações","✔ OK")))))</f>
        <v/>
      </c>
    </row>
    <row r="127" ht="15" customHeight="1" s="50">
      <c r="R127" s="94">
        <f>IF(A127="","",COUNTIF(Dependencies!$B$5:$B$300,A127))</f>
        <v/>
      </c>
      <c r="S127" s="94">
        <f>IF(A127="","",COUNTIF(Dependencies!$F$5:$F$300,A127))</f>
        <v/>
      </c>
      <c r="T127" s="94">
        <f>IF(A127="","",IF(AND(OR(I127="Implemented",I127="Verified"),J127=""),"⚠ Sem link de código",IF(AND(I127="Verified",K127=""),"⚠ Sem evidência",IF(OR(P127="Sim",D127="TBD (owner pending)"),"◐ Proprietário pendente",IF(R127+S127=0,"○ Sem relações","✔ OK")))))</f>
        <v/>
      </c>
    </row>
    <row r="128" ht="15" customHeight="1" s="50">
      <c r="R128" s="94">
        <f>IF(A128="","",COUNTIF(Dependencies!$B$5:$B$300,A128))</f>
        <v/>
      </c>
      <c r="S128" s="94">
        <f>IF(A128="","",COUNTIF(Dependencies!$F$5:$F$300,A128))</f>
        <v/>
      </c>
      <c r="T128" s="94">
        <f>IF(A128="","",IF(AND(OR(I128="Implemented",I128="Verified"),J128=""),"⚠ Sem link de código",IF(AND(I128="Verified",K128=""),"⚠ Sem evidência",IF(OR(P128="Sim",D128="TBD (owner pending)"),"◐ Proprietário pendente",IF(R128+S128=0,"○ Sem relações","✔ OK")))))</f>
        <v/>
      </c>
    </row>
    <row r="129" ht="15" customHeight="1" s="50">
      <c r="R129" s="94">
        <f>IF(A129="","",COUNTIF(Dependencies!$B$5:$B$300,A129))</f>
        <v/>
      </c>
      <c r="S129" s="94">
        <f>IF(A129="","",COUNTIF(Dependencies!$F$5:$F$300,A129))</f>
        <v/>
      </c>
      <c r="T129" s="94">
        <f>IF(A129="","",IF(AND(OR(I129="Implemented",I129="Verified"),J129=""),"⚠ Sem link de código",IF(AND(I129="Verified",K129=""),"⚠ Sem evidência",IF(OR(P129="Sim",D129="TBD (owner pending)"),"◐ Proprietário pendente",IF(R129+S129=0,"○ Sem relações","✔ OK")))))</f>
        <v/>
      </c>
    </row>
    <row r="130" ht="15" customHeight="1" s="50">
      <c r="R130" s="94">
        <f>IF(A130="","",COUNTIF(Dependencies!$B$5:$B$300,A130))</f>
        <v/>
      </c>
      <c r="S130" s="94">
        <f>IF(A130="","",COUNTIF(Dependencies!$F$5:$F$300,A130))</f>
        <v/>
      </c>
      <c r="T130" s="94">
        <f>IF(A130="","",IF(AND(OR(I130="Implemented",I130="Verified"),J130=""),"⚠ Sem link de código",IF(AND(I130="Verified",K130=""),"⚠ Sem evidência",IF(OR(P130="Sim",D130="TBD (owner pending)"),"◐ Proprietário pendente",IF(R130+S130=0,"○ Sem relações","✔ OK")))))</f>
        <v/>
      </c>
    </row>
    <row r="131" ht="15" customHeight="1" s="50">
      <c r="R131" s="94">
        <f>IF(A131="","",COUNTIF(Dependencies!$B$5:$B$300,A131))</f>
        <v/>
      </c>
      <c r="S131" s="94">
        <f>IF(A131="","",COUNTIF(Dependencies!$F$5:$F$300,A131))</f>
        <v/>
      </c>
      <c r="T131" s="94">
        <f>IF(A131="","",IF(AND(OR(I131="Implemented",I131="Verified"),J131=""),"⚠ Sem link de código",IF(AND(I131="Verified",K131=""),"⚠ Sem evidência",IF(OR(P131="Sim",D131="TBD (owner pending)"),"◐ Proprietário pendente",IF(R131+S131=0,"○ Sem relações","✔ OK")))))</f>
        <v/>
      </c>
    </row>
    <row r="132" ht="15" customHeight="1" s="50">
      <c r="R132" s="94">
        <f>IF(A132="","",COUNTIF(Dependencies!$B$5:$B$300,A132))</f>
        <v/>
      </c>
      <c r="S132" s="94">
        <f>IF(A132="","",COUNTIF(Dependencies!$F$5:$F$300,A132))</f>
        <v/>
      </c>
      <c r="T132" s="94">
        <f>IF(A132="","",IF(AND(OR(I132="Implemented",I132="Verified"),J132=""),"⚠ Sem link de código",IF(AND(I132="Verified",K132=""),"⚠ Sem evidência",IF(OR(P132="Sim",D132="TBD (owner pending)"),"◐ Proprietário pendente",IF(R132+S132=0,"○ Sem relações","✔ OK")))))</f>
        <v/>
      </c>
    </row>
    <row r="133" ht="15" customHeight="1" s="50">
      <c r="R133" s="94">
        <f>IF(A133="","",COUNTIF(Dependencies!$B$5:$B$300,A133))</f>
        <v/>
      </c>
      <c r="S133" s="94">
        <f>IF(A133="","",COUNTIF(Dependencies!$F$5:$F$300,A133))</f>
        <v/>
      </c>
      <c r="T133" s="94">
        <f>IF(A133="","",IF(AND(OR(I133="Implemented",I133="Verified"),J133=""),"⚠ Sem link de código",IF(AND(I133="Verified",K133=""),"⚠ Sem evidência",IF(OR(P133="Sim",D133="TBD (owner pending)"),"◐ Proprietário pendente",IF(R133+S133=0,"○ Sem relações","✔ OK")))))</f>
        <v/>
      </c>
    </row>
    <row r="134" ht="15" customHeight="1" s="50">
      <c r="R134" s="94">
        <f>IF(A134="","",COUNTIF(Dependencies!$B$5:$B$300,A134))</f>
        <v/>
      </c>
      <c r="S134" s="94">
        <f>IF(A134="","",COUNTIF(Dependencies!$F$5:$F$300,A134))</f>
        <v/>
      </c>
      <c r="T134" s="94">
        <f>IF(A134="","",IF(AND(OR(I134="Implemented",I134="Verified"),J134=""),"⚠ Sem link de código",IF(AND(I134="Verified",K134=""),"⚠ Sem evidência",IF(OR(P134="Sim",D134="TBD (owner pending)"),"◐ Proprietário pendente",IF(R134+S134=0,"○ Sem relações","✔ OK")))))</f>
        <v/>
      </c>
    </row>
    <row r="135" ht="15" customHeight="1" s="50">
      <c r="R135" s="94">
        <f>IF(A135="","",COUNTIF(Dependencies!$B$5:$B$300,A135))</f>
        <v/>
      </c>
      <c r="S135" s="94">
        <f>IF(A135="","",COUNTIF(Dependencies!$F$5:$F$300,A135))</f>
        <v/>
      </c>
      <c r="T135" s="94">
        <f>IF(A135="","",IF(AND(OR(I135="Implemented",I135="Verified"),J135=""),"⚠ Sem link de código",IF(AND(I135="Verified",K135=""),"⚠ Sem evidência",IF(OR(P135="Sim",D135="TBD (owner pending)"),"◐ Proprietário pendente",IF(R135+S135=0,"○ Sem relações","✔ OK")))))</f>
        <v/>
      </c>
    </row>
    <row r="136" ht="15" customHeight="1" s="50">
      <c r="R136" s="94">
        <f>IF(A136="","",COUNTIF(Dependencies!$B$5:$B$300,A136))</f>
        <v/>
      </c>
      <c r="S136" s="94">
        <f>IF(A136="","",COUNTIF(Dependencies!$F$5:$F$300,A136))</f>
        <v/>
      </c>
      <c r="T136" s="94">
        <f>IF(A136="","",IF(AND(OR(I136="Implemented",I136="Verified"),J136=""),"⚠ Sem link de código",IF(AND(I136="Verified",K136=""),"⚠ Sem evidência",IF(OR(P136="Sim",D136="TBD (owner pending)"),"◐ Proprietário pendente",IF(R136+S136=0,"○ Sem relações","✔ OK")))))</f>
        <v/>
      </c>
    </row>
    <row r="137" ht="15" customHeight="1" s="50">
      <c r="R137" s="94">
        <f>IF(A137="","",COUNTIF(Dependencies!$B$5:$B$300,A137))</f>
        <v/>
      </c>
      <c r="S137" s="94">
        <f>IF(A137="","",COUNTIF(Dependencies!$F$5:$F$300,A137))</f>
        <v/>
      </c>
      <c r="T137" s="94">
        <f>IF(A137="","",IF(AND(OR(I137="Implemented",I137="Verified"),J137=""),"⚠ Sem link de código",IF(AND(I137="Verified",K137=""),"⚠ Sem evidência",IF(OR(P137="Sim",D137="TBD (owner pending)"),"◐ Proprietário pendente",IF(R137+S137=0,"○ Sem relações","✔ OK")))))</f>
        <v/>
      </c>
    </row>
    <row r="138" ht="15" customHeight="1" s="50">
      <c r="R138" s="94">
        <f>IF(A138="","",COUNTIF(Dependencies!$B$5:$B$300,A138))</f>
        <v/>
      </c>
      <c r="S138" s="94">
        <f>IF(A138="","",COUNTIF(Dependencies!$F$5:$F$300,A138))</f>
        <v/>
      </c>
      <c r="T138" s="94">
        <f>IF(A138="","",IF(AND(OR(I138="Implemented",I138="Verified"),J138=""),"⚠ Sem link de código",IF(AND(I138="Verified",K138=""),"⚠ Sem evidência",IF(OR(P138="Sim",D138="TBD (owner pending)"),"◐ Proprietário pendente",IF(R138+S138=0,"○ Sem relações","✔ OK")))))</f>
        <v/>
      </c>
    </row>
    <row r="139" ht="15" customHeight="1" s="50">
      <c r="R139" s="94">
        <f>IF(A139="","",COUNTIF(Dependencies!$B$5:$B$300,A139))</f>
        <v/>
      </c>
      <c r="S139" s="94">
        <f>IF(A139="","",COUNTIF(Dependencies!$F$5:$F$300,A139))</f>
        <v/>
      </c>
      <c r="T139" s="94">
        <f>IF(A139="","",IF(AND(OR(I139="Implemented",I139="Verified"),J139=""),"⚠ Sem link de código",IF(AND(I139="Verified",K139=""),"⚠ Sem evidência",IF(OR(P139="Sim",D139="TBD (owner pending)"),"◐ Proprietário pendente",IF(R139+S139=0,"○ Sem relações","✔ OK")))))</f>
        <v/>
      </c>
    </row>
    <row r="140" ht="15" customHeight="1" s="50">
      <c r="R140" s="94">
        <f>IF(A140="","",COUNTIF(Dependencies!$B$5:$B$300,A140))</f>
        <v/>
      </c>
      <c r="S140" s="94">
        <f>IF(A140="","",COUNTIF(Dependencies!$F$5:$F$300,A140))</f>
        <v/>
      </c>
      <c r="T140" s="94">
        <f>IF(A140="","",IF(AND(OR(I140="Implemented",I140="Verified"),J140=""),"⚠ Sem link de código",IF(AND(I140="Verified",K140=""),"⚠ Sem evidência",IF(OR(P140="Sim",D140="TBD (owner pending)"),"◐ Proprietário pendente",IF(R140+S140=0,"○ Sem relações","✔ OK")))))</f>
        <v/>
      </c>
    </row>
    <row r="141" ht="15" customHeight="1" s="50">
      <c r="R141" s="94">
        <f>IF(A141="","",COUNTIF(Dependencies!$B$5:$B$300,A141))</f>
        <v/>
      </c>
      <c r="S141" s="94">
        <f>IF(A141="","",COUNTIF(Dependencies!$F$5:$F$300,A141))</f>
        <v/>
      </c>
      <c r="T141" s="94">
        <f>IF(A141="","",IF(AND(OR(I141="Implemented",I141="Verified"),J141=""),"⚠ Sem link de código",IF(AND(I141="Verified",K141=""),"⚠ Sem evidência",IF(OR(P141="Sim",D141="TBD (owner pending)"),"◐ Proprietário pendente",IF(R141+S141=0,"○ Sem relações","✔ OK")))))</f>
        <v/>
      </c>
    </row>
    <row r="142" ht="15" customHeight="1" s="50">
      <c r="R142" s="94">
        <f>IF(A142="","",COUNTIF(Dependencies!$B$5:$B$300,A142))</f>
        <v/>
      </c>
      <c r="S142" s="94">
        <f>IF(A142="","",COUNTIF(Dependencies!$F$5:$F$300,A142))</f>
        <v/>
      </c>
      <c r="T142" s="94">
        <f>IF(A142="","",IF(AND(OR(I142="Implemented",I142="Verified"),J142=""),"⚠ Sem link de código",IF(AND(I142="Verified",K142=""),"⚠ Sem evidência",IF(OR(P142="Sim",D142="TBD (owner pending)"),"◐ Proprietário pendente",IF(R142+S142=0,"○ Sem relações","✔ OK")))))</f>
        <v/>
      </c>
    </row>
    <row r="143" ht="15" customHeight="1" s="50">
      <c r="R143" s="94">
        <f>IF(A143="","",COUNTIF(Dependencies!$B$5:$B$300,A143))</f>
        <v/>
      </c>
      <c r="S143" s="94">
        <f>IF(A143="","",COUNTIF(Dependencies!$F$5:$F$300,A143))</f>
        <v/>
      </c>
      <c r="T143" s="94">
        <f>IF(A143="","",IF(AND(OR(I143="Implemented",I143="Verified"),J143=""),"⚠ Sem link de código",IF(AND(I143="Verified",K143=""),"⚠ Sem evidência",IF(OR(P143="Sim",D143="TBD (owner pending)"),"◐ Proprietário pendente",IF(R143+S143=0,"○ Sem relações","✔ OK")))))</f>
        <v/>
      </c>
    </row>
    <row r="144" ht="15" customHeight="1" s="50">
      <c r="R144" s="94">
        <f>IF(A144="","",COUNTIF(Dependencies!$B$5:$B$300,A144))</f>
        <v/>
      </c>
      <c r="S144" s="94">
        <f>IF(A144="","",COUNTIF(Dependencies!$F$5:$F$300,A144))</f>
        <v/>
      </c>
      <c r="T144" s="94">
        <f>IF(A144="","",IF(AND(OR(I144="Implemented",I144="Verified"),J144=""),"⚠ Sem link de código",IF(AND(I144="Verified",K144=""),"⚠ Sem evidência",IF(OR(P144="Sim",D144="TBD (owner pending)"),"◐ Proprietário pendente",IF(R144+S144=0,"○ Sem relações","✔ OK")))))</f>
        <v/>
      </c>
    </row>
    <row r="145" ht="15" customHeight="1" s="50">
      <c r="R145" s="94">
        <f>IF(A145="","",COUNTIF(Dependencies!$B$5:$B$300,A145))</f>
        <v/>
      </c>
      <c r="S145" s="94">
        <f>IF(A145="","",COUNTIF(Dependencies!$F$5:$F$300,A145))</f>
        <v/>
      </c>
      <c r="T145" s="94">
        <f>IF(A145="","",IF(AND(OR(I145="Implemented",I145="Verified"),J145=""),"⚠ Sem link de código",IF(AND(I145="Verified",K145=""),"⚠ Sem evidência",IF(OR(P145="Sim",D145="TBD (owner pending)"),"◐ Proprietário pendente",IF(R145+S145=0,"○ Sem relações","✔ OK")))))</f>
        <v/>
      </c>
    </row>
    <row r="146" ht="15" customHeight="1" s="50">
      <c r="R146" s="94">
        <f>IF(A146="","",COUNTIF(Dependencies!$B$5:$B$300,A146))</f>
        <v/>
      </c>
      <c r="S146" s="94">
        <f>IF(A146="","",COUNTIF(Dependencies!$F$5:$F$300,A146))</f>
        <v/>
      </c>
      <c r="T146" s="94">
        <f>IF(A146="","",IF(AND(OR(I146="Implemented",I146="Verified"),J146=""),"⚠ Sem link de código",IF(AND(I146="Verified",K146=""),"⚠ Sem evidência",IF(OR(P146="Sim",D146="TBD (owner pending)"),"◐ Proprietário pendente",IF(R146+S146=0,"○ Sem relações","✔ OK")))))</f>
        <v/>
      </c>
    </row>
    <row r="147" ht="15" customHeight="1" s="50">
      <c r="R147" s="94">
        <f>IF(A147="","",COUNTIF(Dependencies!$B$5:$B$300,A147))</f>
        <v/>
      </c>
      <c r="S147" s="94">
        <f>IF(A147="","",COUNTIF(Dependencies!$F$5:$F$300,A147))</f>
        <v/>
      </c>
      <c r="T147" s="94">
        <f>IF(A147="","",IF(AND(OR(I147="Implemented",I147="Verified"),J147=""),"⚠ Sem link de código",IF(AND(I147="Verified",K147=""),"⚠ Sem evidência",IF(OR(P147="Sim",D147="TBD (owner pending)"),"◐ Proprietário pendente",IF(R147+S147=0,"○ Sem relações","✔ OK")))))</f>
        <v/>
      </c>
    </row>
    <row r="148" ht="15" customHeight="1" s="50">
      <c r="R148" s="94">
        <f>IF(A148="","",COUNTIF(Dependencies!$B$5:$B$300,A148))</f>
        <v/>
      </c>
      <c r="S148" s="94">
        <f>IF(A148="","",COUNTIF(Dependencies!$F$5:$F$300,A148))</f>
        <v/>
      </c>
      <c r="T148" s="94">
        <f>IF(A148="","",IF(AND(OR(I148="Implemented",I148="Verified"),J148=""),"⚠ Sem link de código",IF(AND(I148="Verified",K148=""),"⚠ Sem evidência",IF(OR(P148="Sim",D148="TBD (owner pending)"),"◐ Proprietário pendente",IF(R148+S148=0,"○ Sem relações","✔ OK")))))</f>
        <v/>
      </c>
    </row>
    <row r="149" ht="15" customHeight="1" s="50">
      <c r="R149" s="94">
        <f>IF(A149="","",COUNTIF(Dependencies!$B$5:$B$300,A149))</f>
        <v/>
      </c>
      <c r="S149" s="94">
        <f>IF(A149="","",COUNTIF(Dependencies!$F$5:$F$300,A149))</f>
        <v/>
      </c>
      <c r="T149" s="94">
        <f>IF(A149="","",IF(AND(OR(I149="Implemented",I149="Verified"),J149=""),"⚠ Sem link de código",IF(AND(I149="Verified",K149=""),"⚠ Sem evidência",IF(OR(P149="Sim",D149="TBD (owner pending)"),"◐ Proprietário pendente",IF(R149+S149=0,"○ Sem relações","✔ OK")))))</f>
        <v/>
      </c>
    </row>
    <row r="150" ht="15" customHeight="1" s="50">
      <c r="R150" s="94">
        <f>IF(A150="","",COUNTIF(Dependencies!$B$5:$B$300,A150))</f>
        <v/>
      </c>
      <c r="S150" s="94">
        <f>IF(A150="","",COUNTIF(Dependencies!$F$5:$F$300,A150))</f>
        <v/>
      </c>
      <c r="T150" s="94">
        <f>IF(A150="","",IF(AND(OR(I150="Implemented",I150="Verified"),J150=""),"⚠ Sem link de código",IF(AND(I150="Verified",K150=""),"⚠ Sem evidência",IF(OR(P150="Sim",D150="TBD (owner pending)"),"◐ Proprietário pendente",IF(R150+S150=0,"○ Sem relações","✔ OK")))))</f>
        <v/>
      </c>
    </row>
    <row r="151" ht="15" customHeight="1" s="50">
      <c r="R151" s="94">
        <f>IF(A151="","",COUNTIF(Dependencies!$B$5:$B$300,A151))</f>
        <v/>
      </c>
      <c r="S151" s="94">
        <f>IF(A151="","",COUNTIF(Dependencies!$F$5:$F$300,A151))</f>
        <v/>
      </c>
      <c r="T151" s="94">
        <f>IF(A151="","",IF(AND(OR(I151="Implemented",I151="Verified"),J151=""),"⚠ Sem link de código",IF(AND(I151="Verified",K151=""),"⚠ Sem evidência",IF(OR(P151="Sim",D151="TBD (owner pending)"),"◐ Proprietário pendente",IF(R151+S151=0,"○ Sem relações","✔ OK")))))</f>
        <v/>
      </c>
    </row>
    <row r="152" ht="15" customHeight="1" s="50">
      <c r="R152" s="94">
        <f>IF(A152="","",COUNTIF(Dependencies!$B$5:$B$300,A152))</f>
        <v/>
      </c>
      <c r="S152" s="94">
        <f>IF(A152="","",COUNTIF(Dependencies!$F$5:$F$300,A152))</f>
        <v/>
      </c>
      <c r="T152" s="94">
        <f>IF(A152="","",IF(AND(OR(I152="Implemented",I152="Verified"),J152=""),"⚠ Sem link de código",IF(AND(I152="Verified",K152=""),"⚠ Sem evidência",IF(OR(P152="Sim",D152="TBD (owner pending)"),"◐ Proprietário pendente",IF(R152+S152=0,"○ Sem relações","✔ OK")))))</f>
        <v/>
      </c>
    </row>
    <row r="153" ht="15" customHeight="1" s="50">
      <c r="R153" s="94">
        <f>IF(A153="","",COUNTIF(Dependencies!$B$5:$B$300,A153))</f>
        <v/>
      </c>
      <c r="S153" s="94">
        <f>IF(A153="","",COUNTIF(Dependencies!$F$5:$F$300,A153))</f>
        <v/>
      </c>
      <c r="T153" s="94">
        <f>IF(A153="","",IF(AND(OR(I153="Implemented",I153="Verified"),J153=""),"⚠ Sem link de código",IF(AND(I153="Verified",K153=""),"⚠ Sem evidência",IF(OR(P153="Sim",D153="TBD (owner pending)"),"◐ Proprietário pendente",IF(R153+S153=0,"○ Sem relações","✔ OK")))))</f>
        <v/>
      </c>
    </row>
    <row r="154" ht="15" customHeight="1" s="50">
      <c r="R154" s="94">
        <f>IF(A154="","",COUNTIF(Dependencies!$B$5:$B$300,A154))</f>
        <v/>
      </c>
      <c r="S154" s="94">
        <f>IF(A154="","",COUNTIF(Dependencies!$F$5:$F$300,A154))</f>
        <v/>
      </c>
      <c r="T154" s="94">
        <f>IF(A154="","",IF(AND(OR(I154="Implemented",I154="Verified"),J154=""),"⚠ Sem link de código",IF(AND(I154="Verified",K154=""),"⚠ Sem evidência",IF(OR(P154="Sim",D154="TBD (owner pending)"),"◐ Proprietário pendente",IF(R154+S154=0,"○ Sem relações","✔ OK")))))</f>
        <v/>
      </c>
    </row>
    <row r="155" ht="15" customHeight="1" s="50">
      <c r="R155" s="94">
        <f>IF(A155="","",COUNTIF(Dependencies!$B$5:$B$300,A155))</f>
        <v/>
      </c>
      <c r="S155" s="94">
        <f>IF(A155="","",COUNTIF(Dependencies!$F$5:$F$300,A155))</f>
        <v/>
      </c>
      <c r="T155" s="94">
        <f>IF(A155="","",IF(AND(OR(I155="Implemented",I155="Verified"),J155=""),"⚠ Sem link de código",IF(AND(I155="Verified",K155=""),"⚠ Sem evidência",IF(OR(P155="Sim",D155="TBD (owner pending)"),"◐ Proprietário pendente",IF(R155+S155=0,"○ Sem relações","✔ OK")))))</f>
        <v/>
      </c>
    </row>
    <row r="156" ht="15" customHeight="1" s="50">
      <c r="R156" s="94">
        <f>IF(A156="","",COUNTIF(Dependencies!$B$5:$B$300,A156))</f>
        <v/>
      </c>
      <c r="S156" s="94">
        <f>IF(A156="","",COUNTIF(Dependencies!$F$5:$F$300,A156))</f>
        <v/>
      </c>
      <c r="T156" s="94">
        <f>IF(A156="","",IF(AND(OR(I156="Implemented",I156="Verified"),J156=""),"⚠ Sem link de código",IF(AND(I156="Verified",K156=""),"⚠ Sem evidência",IF(OR(P156="Sim",D156="TBD (owner pending)"),"◐ Proprietário pendente",IF(R156+S156=0,"○ Sem relações","✔ OK")))))</f>
        <v/>
      </c>
    </row>
    <row r="157" ht="15" customHeight="1" s="50">
      <c r="R157" s="94">
        <f>IF(A157="","",COUNTIF(Dependencies!$B$5:$B$300,A157))</f>
        <v/>
      </c>
      <c r="S157" s="94">
        <f>IF(A157="","",COUNTIF(Dependencies!$F$5:$F$300,A157))</f>
        <v/>
      </c>
      <c r="T157" s="94">
        <f>IF(A157="","",IF(AND(OR(I157="Implemented",I157="Verified"),J157=""),"⚠ Sem link de código",IF(AND(I157="Verified",K157=""),"⚠ Sem evidência",IF(OR(P157="Sim",D157="TBD (owner pending)"),"◐ Proprietário pendente",IF(R157+S157=0,"○ Sem relações","✔ OK")))))</f>
        <v/>
      </c>
    </row>
    <row r="158" ht="15" customHeight="1" s="50">
      <c r="R158" s="94">
        <f>IF(A158="","",COUNTIF(Dependencies!$B$5:$B$300,A158))</f>
        <v/>
      </c>
      <c r="S158" s="94">
        <f>IF(A158="","",COUNTIF(Dependencies!$F$5:$F$300,A158))</f>
        <v/>
      </c>
      <c r="T158" s="94">
        <f>IF(A158="","",IF(AND(OR(I158="Implemented",I158="Verified"),J158=""),"⚠ Sem link de código",IF(AND(I158="Verified",K158=""),"⚠ Sem evidência",IF(OR(P158="Sim",D158="TBD (owner pending)"),"◐ Proprietário pendente",IF(R158+S158=0,"○ Sem relações","✔ OK")))))</f>
        <v/>
      </c>
    </row>
    <row r="159" ht="15" customHeight="1" s="50">
      <c r="R159" s="94">
        <f>IF(A159="","",COUNTIF(Dependencies!$B$5:$B$300,A159))</f>
        <v/>
      </c>
      <c r="S159" s="94">
        <f>IF(A159="","",COUNTIF(Dependencies!$F$5:$F$300,A159))</f>
        <v/>
      </c>
      <c r="T159" s="94">
        <f>IF(A159="","",IF(AND(OR(I159="Implemented",I159="Verified"),J159=""),"⚠ Sem link de código",IF(AND(I159="Verified",K159=""),"⚠ Sem evidência",IF(OR(P159="Sim",D159="TBD (owner pending)"),"◐ Proprietário pendente",IF(R159+S159=0,"○ Sem relações","✔ OK")))))</f>
        <v/>
      </c>
    </row>
    <row r="160" ht="15" customHeight="1" s="50">
      <c r="R160" s="94">
        <f>IF(A160="","",COUNTIF(Dependencies!$B$5:$B$300,A160))</f>
        <v/>
      </c>
      <c r="S160" s="94">
        <f>IF(A160="","",COUNTIF(Dependencies!$F$5:$F$300,A160))</f>
        <v/>
      </c>
      <c r="T160" s="94">
        <f>IF(A160="","",IF(AND(OR(I160="Implemented",I160="Verified"),J160=""),"⚠ Sem link de código",IF(AND(I160="Verified",K160=""),"⚠ Sem evidência",IF(OR(P160="Sim",D160="TBD (owner pending)"),"◐ Proprietário pendente",IF(R160+S160=0,"○ Sem relações","✔ OK")))))</f>
        <v/>
      </c>
    </row>
    <row r="161" ht="15" customHeight="1" s="50">
      <c r="R161" s="94">
        <f>IF(A161="","",COUNTIF(Dependencies!$B$5:$B$300,A161))</f>
        <v/>
      </c>
      <c r="S161" s="94">
        <f>IF(A161="","",COUNTIF(Dependencies!$F$5:$F$300,A161))</f>
        <v/>
      </c>
      <c r="T161" s="94">
        <f>IF(A161="","",IF(AND(OR(I161="Implemented",I161="Verified"),J161=""),"⚠ Sem link de código",IF(AND(I161="Verified",K161=""),"⚠ Sem evidência",IF(OR(P161="Sim",D161="TBD (owner pending)"),"◐ Proprietário pendente",IF(R161+S161=0,"○ Sem relações","✔ OK")))))</f>
        <v/>
      </c>
    </row>
    <row r="162" ht="15" customHeight="1" s="50">
      <c r="R162" s="94">
        <f>IF(A162="","",COUNTIF(Dependencies!$B$5:$B$300,A162))</f>
        <v/>
      </c>
      <c r="S162" s="94">
        <f>IF(A162="","",COUNTIF(Dependencies!$F$5:$F$300,A162))</f>
        <v/>
      </c>
      <c r="T162" s="94">
        <f>IF(A162="","",IF(AND(OR(I162="Implemented",I162="Verified"),J162=""),"⚠ Sem link de código",IF(AND(I162="Verified",K162=""),"⚠ Sem evidência",IF(OR(P162="Sim",D162="TBD (owner pending)"),"◐ Proprietário pendente",IF(R162+S162=0,"○ Sem relações","✔ OK")))))</f>
        <v/>
      </c>
    </row>
    <row r="163" ht="15" customHeight="1" s="50">
      <c r="R163" s="94">
        <f>IF(A163="","",COUNTIF(Dependencies!$B$5:$B$300,A163))</f>
        <v/>
      </c>
      <c r="S163" s="94">
        <f>IF(A163="","",COUNTIF(Dependencies!$F$5:$F$300,A163))</f>
        <v/>
      </c>
      <c r="T163" s="94">
        <f>IF(A163="","",IF(AND(OR(I163="Implemented",I163="Verified"),J163=""),"⚠ Sem link de código",IF(AND(I163="Verified",K163=""),"⚠ Sem evidência",IF(OR(P163="Sim",D163="TBD (owner pending)"),"◐ Proprietário pendente",IF(R163+S163=0,"○ Sem relações","✔ OK")))))</f>
        <v/>
      </c>
    </row>
    <row r="164" ht="15" customHeight="1" s="50">
      <c r="R164" s="94">
        <f>IF(A164="","",COUNTIF(Dependencies!$B$5:$B$300,A164))</f>
        <v/>
      </c>
      <c r="S164" s="94">
        <f>IF(A164="","",COUNTIF(Dependencies!$F$5:$F$300,A164))</f>
        <v/>
      </c>
      <c r="T164" s="94">
        <f>IF(A164="","",IF(AND(OR(I164="Implemented",I164="Verified"),J164=""),"⚠ Sem link de código",IF(AND(I164="Verified",K164=""),"⚠ Sem evidência",IF(OR(P164="Sim",D164="TBD (owner pending)"),"◐ Proprietário pendente",IF(R164+S164=0,"○ Sem relações","✔ OK")))))</f>
        <v/>
      </c>
    </row>
    <row r="165" ht="15" customHeight="1" s="50">
      <c r="R165" s="94">
        <f>IF(A165="","",COUNTIF(Dependencies!$B$5:$B$300,A165))</f>
        <v/>
      </c>
      <c r="S165" s="94">
        <f>IF(A165="","",COUNTIF(Dependencies!$F$5:$F$300,A165))</f>
        <v/>
      </c>
      <c r="T165" s="94">
        <f>IF(A165="","",IF(AND(OR(I165="Implemented",I165="Verified"),J165=""),"⚠ Sem link de código",IF(AND(I165="Verified",K165=""),"⚠ Sem evidência",IF(OR(P165="Sim",D165="TBD (owner pending)"),"◐ Proprietário pendente",IF(R165+S165=0,"○ Sem relações","✔ OK")))))</f>
        <v/>
      </c>
    </row>
    <row r="166" ht="15" customHeight="1" s="50">
      <c r="R166" s="94">
        <f>IF(A166="","",COUNTIF(Dependencies!$B$5:$B$300,A166))</f>
        <v/>
      </c>
      <c r="S166" s="94">
        <f>IF(A166="","",COUNTIF(Dependencies!$F$5:$F$300,A166))</f>
        <v/>
      </c>
      <c r="T166" s="94">
        <f>IF(A166="","",IF(AND(OR(I166="Implemented",I166="Verified"),J166=""),"⚠ Sem link de código",IF(AND(I166="Verified",K166=""),"⚠ Sem evidência",IF(OR(P166="Sim",D166="TBD (owner pending)"),"◐ Proprietário pendente",IF(R166+S166=0,"○ Sem relações","✔ OK")))))</f>
        <v/>
      </c>
    </row>
    <row r="167" ht="15" customHeight="1" s="50">
      <c r="R167" s="94">
        <f>IF(A167="","",COUNTIF(Dependencies!$B$5:$B$300,A167))</f>
        <v/>
      </c>
      <c r="S167" s="94">
        <f>IF(A167="","",COUNTIF(Dependencies!$F$5:$F$300,A167))</f>
        <v/>
      </c>
      <c r="T167" s="94">
        <f>IF(A167="","",IF(AND(OR(I167="Implemented",I167="Verified"),J167=""),"⚠ Sem link de código",IF(AND(I167="Verified",K167=""),"⚠ Sem evidência",IF(OR(P167="Sim",D167="TBD (owner pending)"),"◐ Proprietário pendente",IF(R167+S167=0,"○ Sem relações","✔ OK")))))</f>
        <v/>
      </c>
    </row>
    <row r="168" ht="15" customHeight="1" s="50">
      <c r="R168" s="94">
        <f>IF(A168="","",COUNTIF(Dependencies!$B$5:$B$300,A168))</f>
        <v/>
      </c>
      <c r="S168" s="94">
        <f>IF(A168="","",COUNTIF(Dependencies!$F$5:$F$300,A168))</f>
        <v/>
      </c>
      <c r="T168" s="94">
        <f>IF(A168="","",IF(AND(OR(I168="Implemented",I168="Verified"),J168=""),"⚠ Sem link de código",IF(AND(I168="Verified",K168=""),"⚠ Sem evidência",IF(OR(P168="Sim",D168="TBD (owner pending)"),"◐ Proprietário pendente",IF(R168+S168=0,"○ Sem relações","✔ OK")))))</f>
        <v/>
      </c>
    </row>
    <row r="169" ht="15" customHeight="1" s="50">
      <c r="R169" s="94">
        <f>IF(A169="","",COUNTIF(Dependencies!$B$5:$B$300,A169))</f>
        <v/>
      </c>
      <c r="S169" s="94">
        <f>IF(A169="","",COUNTIF(Dependencies!$F$5:$F$300,A169))</f>
        <v/>
      </c>
      <c r="T169" s="94">
        <f>IF(A169="","",IF(AND(OR(I169="Implemented",I169="Verified"),J169=""),"⚠ Sem link de código",IF(AND(I169="Verified",K169=""),"⚠ Sem evidência",IF(OR(P169="Sim",D169="TBD (owner pending)"),"◐ Proprietário pendente",IF(R169+S169=0,"○ Sem relações","✔ OK")))))</f>
        <v/>
      </c>
    </row>
    <row r="170" ht="15" customHeight="1" s="50">
      <c r="R170" s="94">
        <f>IF(A170="","",COUNTIF(Dependencies!$B$5:$B$300,A170))</f>
        <v/>
      </c>
      <c r="S170" s="94">
        <f>IF(A170="","",COUNTIF(Dependencies!$F$5:$F$300,A170))</f>
        <v/>
      </c>
      <c r="T170" s="94">
        <f>IF(A170="","",IF(AND(OR(I170="Implemented",I170="Verified"),J170=""),"⚠ Sem link de código",IF(AND(I170="Verified",K170=""),"⚠ Sem evidência",IF(OR(P170="Sim",D170="TBD (owner pending)"),"◐ Proprietário pendente",IF(R170+S170=0,"○ Sem relações","✔ OK")))))</f>
        <v/>
      </c>
    </row>
    <row r="171" ht="15" customHeight="1" s="50">
      <c r="R171" s="94">
        <f>IF(A171="","",COUNTIF(Dependencies!$B$5:$B$300,A171))</f>
        <v/>
      </c>
      <c r="S171" s="94">
        <f>IF(A171="","",COUNTIF(Dependencies!$F$5:$F$300,A171))</f>
        <v/>
      </c>
      <c r="T171" s="94">
        <f>IF(A171="","",IF(AND(OR(I171="Implemented",I171="Verified"),J171=""),"⚠ Sem link de código",IF(AND(I171="Verified",K171=""),"⚠ Sem evidência",IF(OR(P171="Sim",D171="TBD (owner pending)"),"◐ Proprietário pendente",IF(R171+S171=0,"○ Sem relações","✔ OK")))))</f>
        <v/>
      </c>
    </row>
    <row r="172" ht="15" customHeight="1" s="50">
      <c r="R172" s="94">
        <f>IF(A172="","",COUNTIF(Dependencies!$B$5:$B$300,A172))</f>
        <v/>
      </c>
      <c r="S172" s="94">
        <f>IF(A172="","",COUNTIF(Dependencies!$F$5:$F$300,A172))</f>
        <v/>
      </c>
      <c r="T172" s="94">
        <f>IF(A172="","",IF(AND(OR(I172="Implemented",I172="Verified"),J172=""),"⚠ Sem link de código",IF(AND(I172="Verified",K172=""),"⚠ Sem evidência",IF(OR(P172="Sim",D172="TBD (owner pending)"),"◐ Proprietário pendente",IF(R172+S172=0,"○ Sem relações","✔ OK")))))</f>
        <v/>
      </c>
    </row>
    <row r="173" ht="15" customHeight="1" s="50">
      <c r="R173" s="94">
        <f>IF(A173="","",COUNTIF(Dependencies!$B$5:$B$300,A173))</f>
        <v/>
      </c>
      <c r="S173" s="94">
        <f>IF(A173="","",COUNTIF(Dependencies!$F$5:$F$300,A173))</f>
        <v/>
      </c>
      <c r="T173" s="94">
        <f>IF(A173="","",IF(AND(OR(I173="Implemented",I173="Verified"),J173=""),"⚠ Sem link de código",IF(AND(I173="Verified",K173=""),"⚠ Sem evidência",IF(OR(P173="Sim",D173="TBD (owner pending)"),"◐ Proprietário pendente",IF(R173+S173=0,"○ Sem relações","✔ OK")))))</f>
        <v/>
      </c>
    </row>
    <row r="174" ht="15" customHeight="1" s="50">
      <c r="R174" s="94">
        <f>IF(A174="","",COUNTIF(Dependencies!$B$5:$B$300,A174))</f>
        <v/>
      </c>
      <c r="S174" s="94">
        <f>IF(A174="","",COUNTIF(Dependencies!$F$5:$F$300,A174))</f>
        <v/>
      </c>
      <c r="T174" s="94">
        <f>IF(A174="","",IF(AND(OR(I174="Implemented",I174="Verified"),J174=""),"⚠ Sem link de código",IF(AND(I174="Verified",K174=""),"⚠ Sem evidência",IF(OR(P174="Sim",D174="TBD (owner pending)"),"◐ Proprietário pendente",IF(R174+S174=0,"○ Sem relações","✔ OK")))))</f>
        <v/>
      </c>
    </row>
    <row r="175" ht="15" customHeight="1" s="50">
      <c r="R175" s="94">
        <f>IF(A175="","",COUNTIF(Dependencies!$B$5:$B$300,A175))</f>
        <v/>
      </c>
      <c r="S175" s="94">
        <f>IF(A175="","",COUNTIF(Dependencies!$F$5:$F$300,A175))</f>
        <v/>
      </c>
      <c r="T175" s="94">
        <f>IF(A175="","",IF(AND(OR(I175="Implemented",I175="Verified"),J175=""),"⚠ Sem link de código",IF(AND(I175="Verified",K175=""),"⚠ Sem evidência",IF(OR(P175="Sim",D175="TBD (owner pending)"),"◐ Proprietário pendente",IF(R175+S175=0,"○ Sem relações","✔ OK")))))</f>
        <v/>
      </c>
    </row>
    <row r="176" ht="15" customHeight="1" s="50">
      <c r="R176" s="94">
        <f>IF(A176="","",COUNTIF(Dependencies!$B$5:$B$300,A176))</f>
        <v/>
      </c>
      <c r="S176" s="94">
        <f>IF(A176="","",COUNTIF(Dependencies!$F$5:$F$300,A176))</f>
        <v/>
      </c>
      <c r="T176" s="94">
        <f>IF(A176="","",IF(AND(OR(I176="Implemented",I176="Verified"),J176=""),"⚠ Sem link de código",IF(AND(I176="Verified",K176=""),"⚠ Sem evidência",IF(OR(P176="Sim",D176="TBD (owner pending)"),"◐ Proprietário pendente",IF(R176+S176=0,"○ Sem relações","✔ OK")))))</f>
        <v/>
      </c>
    </row>
    <row r="177" ht="15" customHeight="1" s="50">
      <c r="R177" s="94">
        <f>IF(A177="","",COUNTIF(Dependencies!$B$5:$B$300,A177))</f>
        <v/>
      </c>
      <c r="S177" s="94">
        <f>IF(A177="","",COUNTIF(Dependencies!$F$5:$F$300,A177))</f>
        <v/>
      </c>
      <c r="T177" s="94">
        <f>IF(A177="","",IF(AND(OR(I177="Implemented",I177="Verified"),J177=""),"⚠ Sem link de código",IF(AND(I177="Verified",K177=""),"⚠ Sem evidência",IF(OR(P177="Sim",D177="TBD (owner pending)"),"◐ Proprietário pendente",IF(R177+S177=0,"○ Sem relações","✔ OK")))))</f>
        <v/>
      </c>
    </row>
    <row r="178" ht="15" customHeight="1" s="50">
      <c r="R178" s="94">
        <f>IF(A178="","",COUNTIF(Dependencies!$B$5:$B$300,A178))</f>
        <v/>
      </c>
      <c r="S178" s="94">
        <f>IF(A178="","",COUNTIF(Dependencies!$F$5:$F$300,A178))</f>
        <v/>
      </c>
      <c r="T178" s="94">
        <f>IF(A178="","",IF(AND(OR(I178="Implemented",I178="Verified"),J178=""),"⚠ Sem link de código",IF(AND(I178="Verified",K178=""),"⚠ Sem evidência",IF(OR(P178="Sim",D178="TBD (owner pending)"),"◐ Proprietário pendente",IF(R178+S178=0,"○ Sem relações","✔ OK")))))</f>
        <v/>
      </c>
    </row>
    <row r="179" ht="15" customHeight="1" s="50">
      <c r="R179" s="94">
        <f>IF(A179="","",COUNTIF(Dependencies!$B$5:$B$300,A179))</f>
        <v/>
      </c>
      <c r="S179" s="94">
        <f>IF(A179="","",COUNTIF(Dependencies!$F$5:$F$300,A179))</f>
        <v/>
      </c>
      <c r="T179" s="94">
        <f>IF(A179="","",IF(AND(OR(I179="Implemented",I179="Verified"),J179=""),"⚠ Sem link de código",IF(AND(I179="Verified",K179=""),"⚠ Sem evidência",IF(OR(P179="Sim",D179="TBD (owner pending)"),"◐ Proprietário pendente",IF(R179+S179=0,"○ Sem relações","✔ OK")))))</f>
        <v/>
      </c>
    </row>
    <row r="180" ht="15" customHeight="1" s="50">
      <c r="R180" s="94">
        <f>IF(A180="","",COUNTIF(Dependencies!$B$5:$B$300,A180))</f>
        <v/>
      </c>
      <c r="S180" s="94">
        <f>IF(A180="","",COUNTIF(Dependencies!$F$5:$F$300,A180))</f>
        <v/>
      </c>
      <c r="T180" s="94">
        <f>IF(A180="","",IF(AND(OR(I180="Implemented",I180="Verified"),J180=""),"⚠ Sem link de código",IF(AND(I180="Verified",K180=""),"⚠ Sem evidência",IF(OR(P180="Sim",D180="TBD (owner pending)"),"◐ Proprietário pendente",IF(R180+S180=0,"○ Sem relações","✔ OK")))))</f>
        <v/>
      </c>
    </row>
    <row r="181" ht="15" customHeight="1" s="50">
      <c r="R181" s="94">
        <f>IF(A181="","",COUNTIF(Dependencies!$B$5:$B$300,A181))</f>
        <v/>
      </c>
      <c r="S181" s="94">
        <f>IF(A181="","",COUNTIF(Dependencies!$F$5:$F$300,A181))</f>
        <v/>
      </c>
      <c r="T181" s="94">
        <f>IF(A181="","",IF(AND(OR(I181="Implemented",I181="Verified"),J181=""),"⚠ Sem link de código",IF(AND(I181="Verified",K181=""),"⚠ Sem evidência",IF(OR(P181="Sim",D181="TBD (owner pending)"),"◐ Proprietário pendente",IF(R181+S181=0,"○ Sem relações","✔ OK")))))</f>
        <v/>
      </c>
    </row>
    <row r="182" ht="15" customHeight="1" s="50">
      <c r="R182" s="94">
        <f>IF(A182="","",COUNTIF(Dependencies!$B$5:$B$300,A182))</f>
        <v/>
      </c>
      <c r="S182" s="94">
        <f>IF(A182="","",COUNTIF(Dependencies!$F$5:$F$300,A182))</f>
        <v/>
      </c>
      <c r="T182" s="94">
        <f>IF(A182="","",IF(AND(OR(I182="Implemented",I182="Verified"),J182=""),"⚠ Sem link de código",IF(AND(I182="Verified",K182=""),"⚠ Sem evidência",IF(OR(P182="Sim",D182="TBD (owner pending)"),"◐ Proprietário pendente",IF(R182+S182=0,"○ Sem relações","✔ OK")))))</f>
        <v/>
      </c>
    </row>
    <row r="183" ht="15" customHeight="1" s="50">
      <c r="R183" s="94">
        <f>IF(A183="","",COUNTIF(Dependencies!$B$5:$B$300,A183))</f>
        <v/>
      </c>
      <c r="S183" s="94">
        <f>IF(A183="","",COUNTIF(Dependencies!$F$5:$F$300,A183))</f>
        <v/>
      </c>
      <c r="T183" s="94">
        <f>IF(A183="","",IF(AND(OR(I183="Implemented",I183="Verified"),J183=""),"⚠ Sem link de código",IF(AND(I183="Verified",K183=""),"⚠ Sem evidência",IF(OR(P183="Sim",D183="TBD (owner pending)"),"◐ Proprietário pendente",IF(R183+S183=0,"○ Sem relações","✔ OK")))))</f>
        <v/>
      </c>
    </row>
    <row r="184" ht="15" customHeight="1" s="50">
      <c r="R184" s="94">
        <f>IF(A184="","",COUNTIF(Dependencies!$B$5:$B$300,A184))</f>
        <v/>
      </c>
      <c r="S184" s="94">
        <f>IF(A184="","",COUNTIF(Dependencies!$F$5:$F$300,A184))</f>
        <v/>
      </c>
      <c r="T184" s="94">
        <f>IF(A184="","",IF(AND(OR(I184="Implemented",I184="Verified"),J184=""),"⚠ Sem link de código",IF(AND(I184="Verified",K184=""),"⚠ Sem evidência",IF(OR(P184="Sim",D184="TBD (owner pending)"),"◐ Proprietário pendente",IF(R184+S184=0,"○ Sem relações","✔ OK")))))</f>
        <v/>
      </c>
    </row>
    <row r="185" ht="15" customHeight="1" s="50">
      <c r="R185" s="94">
        <f>IF(A185="","",COUNTIF(Dependencies!$B$5:$B$300,A185))</f>
        <v/>
      </c>
      <c r="S185" s="94">
        <f>IF(A185="","",COUNTIF(Dependencies!$F$5:$F$300,A185))</f>
        <v/>
      </c>
      <c r="T185" s="94">
        <f>IF(A185="","",IF(AND(OR(I185="Implemented",I185="Verified"),J185=""),"⚠ Sem link de código",IF(AND(I185="Verified",K185=""),"⚠ Sem evidência",IF(OR(P185="Sim",D185="TBD (owner pending)"),"◐ Proprietário pendente",IF(R185+S185=0,"○ Sem relações","✔ OK")))))</f>
        <v/>
      </c>
    </row>
    <row r="186" ht="15" customHeight="1" s="50">
      <c r="R186" s="94">
        <f>IF(A186="","",COUNTIF(Dependencies!$B$5:$B$300,A186))</f>
        <v/>
      </c>
      <c r="S186" s="94">
        <f>IF(A186="","",COUNTIF(Dependencies!$F$5:$F$300,A186))</f>
        <v/>
      </c>
      <c r="T186" s="94">
        <f>IF(A186="","",IF(AND(OR(I186="Implemented",I186="Verified"),J186=""),"⚠ Sem link de código",IF(AND(I186="Verified",K186=""),"⚠ Sem evidência",IF(OR(P186="Sim",D186="TBD (owner pending)"),"◐ Proprietário pendente",IF(R186+S186=0,"○ Sem relações","✔ OK")))))</f>
        <v/>
      </c>
    </row>
    <row r="187" ht="15" customHeight="1" s="50">
      <c r="R187" s="94">
        <f>IF(A187="","",COUNTIF(Dependencies!$B$5:$B$300,A187))</f>
        <v/>
      </c>
      <c r="S187" s="94">
        <f>IF(A187="","",COUNTIF(Dependencies!$F$5:$F$300,A187))</f>
        <v/>
      </c>
      <c r="T187" s="94">
        <f>IF(A187="","",IF(AND(OR(I187="Implemented",I187="Verified"),J187=""),"⚠ Sem link de código",IF(AND(I187="Verified",K187=""),"⚠ Sem evidência",IF(OR(P187="Sim",D187="TBD (owner pending)"),"◐ Proprietário pendente",IF(R187+S187=0,"○ Sem relações","✔ OK")))))</f>
        <v/>
      </c>
    </row>
    <row r="188" ht="15" customHeight="1" s="50">
      <c r="R188" s="94">
        <f>IF(A188="","",COUNTIF(Dependencies!$B$5:$B$300,A188))</f>
        <v/>
      </c>
      <c r="S188" s="94">
        <f>IF(A188="","",COUNTIF(Dependencies!$F$5:$F$300,A188))</f>
        <v/>
      </c>
      <c r="T188" s="94">
        <f>IF(A188="","",IF(AND(OR(I188="Implemented",I188="Verified"),J188=""),"⚠ Sem link de código",IF(AND(I188="Verified",K188=""),"⚠ Sem evidência",IF(OR(P188="Sim",D188="TBD (owner pending)"),"◐ Proprietário pendente",IF(R188+S188=0,"○ Sem relações","✔ OK")))))</f>
        <v/>
      </c>
    </row>
    <row r="189" ht="15" customHeight="1" s="50">
      <c r="R189" s="94">
        <f>IF(A189="","",COUNTIF(Dependencies!$B$5:$B$300,A189))</f>
        <v/>
      </c>
      <c r="S189" s="94">
        <f>IF(A189="","",COUNTIF(Dependencies!$F$5:$F$300,A189))</f>
        <v/>
      </c>
      <c r="T189" s="94">
        <f>IF(A189="","",IF(AND(OR(I189="Implemented",I189="Verified"),J189=""),"⚠ Sem link de código",IF(AND(I189="Verified",K189=""),"⚠ Sem evidência",IF(OR(P189="Sim",D189="TBD (owner pending)"),"◐ Proprietário pendente",IF(R189+S189=0,"○ Sem relações","✔ OK")))))</f>
        <v/>
      </c>
    </row>
    <row r="190" ht="15" customHeight="1" s="50">
      <c r="R190" s="94">
        <f>IF(A190="","",COUNTIF(Dependencies!$B$5:$B$300,A190))</f>
        <v/>
      </c>
      <c r="S190" s="94">
        <f>IF(A190="","",COUNTIF(Dependencies!$F$5:$F$300,A190))</f>
        <v/>
      </c>
      <c r="T190" s="94">
        <f>IF(A190="","",IF(AND(OR(I190="Implemented",I190="Verified"),J190=""),"⚠ Sem link de código",IF(AND(I190="Verified",K190=""),"⚠ Sem evidência",IF(OR(P190="Sim",D190="TBD (owner pending)"),"◐ Proprietário pendente",IF(R190+S190=0,"○ Sem relações","✔ OK")))))</f>
        <v/>
      </c>
    </row>
    <row r="191" ht="15" customHeight="1" s="50">
      <c r="R191" s="94">
        <f>IF(A191="","",COUNTIF(Dependencies!$B$5:$B$300,A191))</f>
        <v/>
      </c>
      <c r="S191" s="94">
        <f>IF(A191="","",COUNTIF(Dependencies!$F$5:$F$300,A191))</f>
        <v/>
      </c>
      <c r="T191" s="94">
        <f>IF(A191="","",IF(AND(OR(I191="Implemented",I191="Verified"),J191=""),"⚠ Sem link de código",IF(AND(I191="Verified",K191=""),"⚠ Sem evidência",IF(OR(P191="Sim",D191="TBD (owner pending)"),"◐ Proprietário pendente",IF(R191+S191=0,"○ Sem relações","✔ OK")))))</f>
        <v/>
      </c>
    </row>
    <row r="192" ht="15" customHeight="1" s="50">
      <c r="R192" s="94">
        <f>IF(A192="","",COUNTIF(Dependencies!$B$5:$B$300,A192))</f>
        <v/>
      </c>
      <c r="S192" s="94">
        <f>IF(A192="","",COUNTIF(Dependencies!$F$5:$F$300,A192))</f>
        <v/>
      </c>
      <c r="T192" s="94">
        <f>IF(A192="","",IF(AND(OR(I192="Implemented",I192="Verified"),J192=""),"⚠ Sem link de código",IF(AND(I192="Verified",K192=""),"⚠ Sem evidência",IF(OR(P192="Sim",D192="TBD (owner pending)"),"◐ Proprietário pendente",IF(R192+S192=0,"○ Sem relações","✔ OK")))))</f>
        <v/>
      </c>
    </row>
    <row r="193" ht="15" customHeight="1" s="50">
      <c r="R193" s="94">
        <f>IF(A193="","",COUNTIF(Dependencies!$B$5:$B$300,A193))</f>
        <v/>
      </c>
      <c r="S193" s="94">
        <f>IF(A193="","",COUNTIF(Dependencies!$F$5:$F$300,A193))</f>
        <v/>
      </c>
      <c r="T193" s="94">
        <f>IF(A193="","",IF(AND(OR(I193="Implemented",I193="Verified"),J193=""),"⚠ Sem link de código",IF(AND(I193="Verified",K193=""),"⚠ Sem evidência",IF(OR(P193="Sim",D193="TBD (owner pending)"),"◐ Proprietário pendente",IF(R193+S193=0,"○ Sem relações","✔ OK")))))</f>
        <v/>
      </c>
    </row>
    <row r="194" ht="15" customHeight="1" s="50">
      <c r="R194" s="94">
        <f>IF(A194="","",COUNTIF(Dependencies!$B$5:$B$300,A194))</f>
        <v/>
      </c>
      <c r="S194" s="94">
        <f>IF(A194="","",COUNTIF(Dependencies!$F$5:$F$300,A194))</f>
        <v/>
      </c>
      <c r="T194" s="94">
        <f>IF(A194="","",IF(AND(OR(I194="Implemented",I194="Verified"),J194=""),"⚠ Sem link de código",IF(AND(I194="Verified",K194=""),"⚠ Sem evidência",IF(OR(P194="Sim",D194="TBD (owner pending)"),"◐ Proprietário pendente",IF(R194+S194=0,"○ Sem relações","✔ OK")))))</f>
        <v/>
      </c>
    </row>
    <row r="195" ht="15" customHeight="1" s="50">
      <c r="R195" s="94">
        <f>IF(A195="","",COUNTIF(Dependencies!$B$5:$B$300,A195))</f>
        <v/>
      </c>
      <c r="S195" s="94">
        <f>IF(A195="","",COUNTIF(Dependencies!$F$5:$F$300,A195))</f>
        <v/>
      </c>
      <c r="T195" s="94">
        <f>IF(A195="","",IF(AND(OR(I195="Implemented",I195="Verified"),J195=""),"⚠ Sem link de código",IF(AND(I195="Verified",K195=""),"⚠ Sem evidência",IF(OR(P195="Sim",D195="TBD (owner pending)"),"◐ Proprietário pendente",IF(R195+S195=0,"○ Sem relações","✔ OK")))))</f>
        <v/>
      </c>
    </row>
    <row r="196" ht="15" customHeight="1" s="50">
      <c r="R196" s="94">
        <f>IF(A196="","",COUNTIF(Dependencies!$B$5:$B$300,A196))</f>
        <v/>
      </c>
      <c r="S196" s="94">
        <f>IF(A196="","",COUNTIF(Dependencies!$F$5:$F$300,A196))</f>
        <v/>
      </c>
      <c r="T196" s="94">
        <f>IF(A196="","",IF(AND(OR(I196="Implemented",I196="Verified"),J196=""),"⚠ Sem link de código",IF(AND(I196="Verified",K196=""),"⚠ Sem evidência",IF(OR(P196="Sim",D196="TBD (owner pending)"),"◐ Proprietário pendente",IF(R196+S196=0,"○ Sem relações","✔ OK")))))</f>
        <v/>
      </c>
    </row>
    <row r="197" ht="15" customHeight="1" s="50">
      <c r="R197" s="94">
        <f>IF(A197="","",COUNTIF(Dependencies!$B$5:$B$300,A197))</f>
        <v/>
      </c>
      <c r="S197" s="94">
        <f>IF(A197="","",COUNTIF(Dependencies!$F$5:$F$300,A197))</f>
        <v/>
      </c>
      <c r="T197" s="94">
        <f>IF(A197="","",IF(AND(OR(I197="Implemented",I197="Verified"),J197=""),"⚠ Sem link de código",IF(AND(I197="Verified",K197=""),"⚠ Sem evidência",IF(OR(P197="Sim",D197="TBD (owner pending)"),"◐ Proprietário pendente",IF(R197+S197=0,"○ Sem relações","✔ OK")))))</f>
        <v/>
      </c>
    </row>
    <row r="198" ht="15" customHeight="1" s="50">
      <c r="R198" s="94">
        <f>IF(A198="","",COUNTIF(Dependencies!$B$5:$B$300,A198))</f>
        <v/>
      </c>
      <c r="S198" s="94">
        <f>IF(A198="","",COUNTIF(Dependencies!$F$5:$F$300,A198))</f>
        <v/>
      </c>
      <c r="T198" s="94">
        <f>IF(A198="","",IF(AND(OR(I198="Implemented",I198="Verified"),J198=""),"⚠ Sem link de código",IF(AND(I198="Verified",K198=""),"⚠ Sem evidência",IF(OR(P198="Sim",D198="TBD (owner pending)"),"◐ Proprietário pendente",IF(R198+S198=0,"○ Sem relações","✔ OK")))))</f>
        <v/>
      </c>
    </row>
    <row r="199" ht="15" customHeight="1" s="50">
      <c r="R199" s="94">
        <f>IF(A199="","",COUNTIF(Dependencies!$B$5:$B$300,A199))</f>
        <v/>
      </c>
      <c r="S199" s="94">
        <f>IF(A199="","",COUNTIF(Dependencies!$F$5:$F$300,A199))</f>
        <v/>
      </c>
      <c r="T199" s="94">
        <f>IF(A199="","",IF(AND(OR(I199="Implemented",I199="Verified"),J199=""),"⚠ Sem link de código",IF(AND(I199="Verified",K199=""),"⚠ Sem evidência",IF(OR(P199="Sim",D199="TBD (owner pending)"),"◐ Proprietário pendente",IF(R199+S199=0,"○ Sem relações","✔ OK")))))</f>
        <v/>
      </c>
    </row>
    <row r="200" ht="15" customHeight="1" s="50">
      <c r="R200" s="94">
        <f>IF(A200="","",COUNTIF(Dependencies!$B$5:$B$300,A200))</f>
        <v/>
      </c>
      <c r="S200" s="94">
        <f>IF(A200="","",COUNTIF(Dependencies!$F$5:$F$300,A200))</f>
        <v/>
      </c>
      <c r="T200" s="94">
        <f>IF(A200="","",IF(AND(OR(I200="Implemented",I200="Verified"),J200=""),"⚠ Sem link de código",IF(AND(I200="Verified",K200=""),"⚠ Sem evidência",IF(OR(P200="Sim",D200="TBD (owner pending)"),"◐ Proprietário pendente",IF(R200+S200=0,"○ Sem relações","✔ OK")))))</f>
        <v/>
      </c>
    </row>
  </sheetData>
  <autoFilter ref="A4:T200"/>
  <conditionalFormatting sqref="I5:I200">
    <cfRule type="cellIs" rank="0" priority="2" equalAverage="0" operator="equal" aboveAverage="0" dxfId="11" text="" percent="0" bottom="0">
      <formula>"Planned"</formula>
    </cfRule>
    <cfRule type="cellIs" rank="0" priority="3" equalAverage="0" operator="equal" aboveAverage="0" dxfId="29" text="" percent="0" bottom="0">
      <formula>"Partial"</formula>
    </cfRule>
    <cfRule type="cellIs" rank="0" priority="4" equalAverage="0" operator="equal" aboveAverage="0" dxfId="13" text="" percent="0" bottom="0">
      <formula>"Implemented"</formula>
    </cfRule>
    <cfRule type="cellIs" rank="0" priority="5" equalAverage="0" operator="equal" aboveAverage="0" dxfId="15" text="" percent="0" bottom="0">
      <formula>"Verified"</formula>
    </cfRule>
  </conditionalFormatting>
  <conditionalFormatting sqref="T5:T200">
    <cfRule type="expression" rank="0" priority="6" equalAverage="0" aboveAverage="0" dxfId="30" text="" percent="0" bottom="0">
      <formula>LEFT($T5,1)="⚠"</formula>
    </cfRule>
    <cfRule type="expression" rank="0" priority="7" equalAverage="0" aboveAverage="0" dxfId="31" text="" percent="0" bottom="0">
      <formula>LEFT($T5,1)="◐"</formula>
    </cfRule>
    <cfRule type="expression" rank="0" priority="8" equalAverage="0" aboveAverage="0" dxfId="32" text="" percent="0" bottom="0">
      <formula>LEFT($T5,1)="○"</formula>
    </cfRule>
    <cfRule type="expression" rank="0" priority="9" equalAverage="0" aboveAverage="0" dxfId="33" text="" percent="0" bottom="0">
      <formula>LEFT($T5,1)="✔"</formula>
    </cfRule>
  </conditionalFormatting>
  <conditionalFormatting sqref="N5:N200">
    <cfRule type="cellIs" rank="0" priority="10" equalAverage="0" operator="equal" aboveAverage="0" dxfId="30" text="" percent="0" bottom="0">
      <formula>"P0"</formula>
    </cfRule>
    <cfRule type="cellIs" rank="0" priority="11" equalAverage="0" operator="equal" aboveAverage="0" dxfId="31" text="" percent="0" bottom="0">
      <formula>"P1"</formula>
    </cfRule>
    <cfRule type="cellIs" rank="0" priority="12" equalAverage="0" operator="equal" aboveAverage="0" dxfId="32" text="" percent="0" bottom="0">
      <formula>"P2"</formula>
    </cfRule>
  </conditionalFormatting>
  <conditionalFormatting sqref="P5:P200">
    <cfRule type="cellIs" rank="0" priority="13" equalAverage="0" operator="equal" aboveAverage="0" dxfId="19" text="" percent="0" bottom="0">
      <formula>"Sim"</formula>
    </cfRule>
  </conditionalFormatting>
  <conditionalFormatting sqref="R5:S200">
    <cfRule type="dataBar" priority="14">
      <dataBar minLength="10" maxLength="90" showValue="1">
        <cfvo type="num" val="0"/>
        <cfvo type="max" val="0"/>
        <color rgb="FF7FB2E5"/>
      </dataBar>
    </cfRule>
  </conditionalFormatting>
  <dataValidations count="8">
    <dataValidation sqref="C5:C200" showDropDown="0" showInputMessage="0" showErrorMessage="1" allowBlank="1" type="list" errorStyle="stop" operator="between">
      <formula1>"DomainConstant,Enum,Policy"</formula1>
      <formula2>0</formula2>
    </dataValidation>
    <dataValidation sqref="D5:D200" showDropDown="0" showInputMessage="0" showErrorMessage="1" allowBlank="1" type="list" errorStyle="stop" operator="between">
      <formula1>Listas!$P$5:$P$16</formula1>
      <formula2>0</formula2>
    </dataValidation>
    <dataValidation sqref="I5:I200" showDropDown="0" showInputMessage="0" showErrorMessage="1" allowBlank="1" type="list" errorStyle="stop" operator="between">
      <formula1>Listas!$L$5:$L$8</formula1>
      <formula2>0</formula2>
    </dataValidation>
    <dataValidation sqref="L5:L200" showDropDown="0" showInputMessage="0" showErrorMessage="1" allowBlank="1" type="list" errorStyle="stop" operator="between">
      <formula1>Listas!$N$5:$N$9</formula1>
      <formula2>0</formula2>
    </dataValidation>
    <dataValidation sqref="M5:M200" showDropDown="0" showInputMessage="0" showErrorMessage="1" allowBlank="1" type="list" errorStyle="stop" operator="between">
      <formula1>Fases!$A$5:$A$14</formula1>
      <formula2>0</formula2>
    </dataValidation>
    <dataValidation sqref="N5:N200" showDropDown="0" showInputMessage="0" showErrorMessage="1" allowBlank="1" type="list" errorStyle="stop" operator="between">
      <formula1>"P0,P1,P2"</formula1>
      <formula2>0</formula2>
    </dataValidation>
    <dataValidation sqref="O5:O200" showDropDown="0" showInputMessage="0" showErrorMessage="1" allowBlank="1" type="list" errorStyle="stop" operator="between">
      <formula1>Roadmap!$A$6:$A$200</formula1>
      <formula2>0</formula2>
    </dataValidation>
    <dataValidation sqref="P5:P200" showDropDown="0" showInputMessage="0" showErrorMessage="1" allowBlank="1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8A70"/>
    <outlinePr summaryBelow="1" summaryRight="1"/>
    <pageSetUpPr fitToPage="1"/>
  </sheetPr>
  <dimension ref="A1:T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49" min="1" max="1"/>
    <col width="34" customWidth="1" style="49" min="2" max="2"/>
    <col width="15" customWidth="1" style="49" min="3" max="3"/>
    <col width="20" customWidth="1" style="49" min="4" max="4"/>
    <col width="16" customWidth="1" style="49" min="5" max="5"/>
    <col width="60" customWidth="1" style="49" min="6" max="6"/>
    <col width="32" customWidth="1" style="49" min="7" max="7"/>
    <col width="30" customWidth="1" style="49" min="8" max="8"/>
    <col width="16" customWidth="1" style="49" min="9" max="9"/>
    <col width="28" customWidth="1" style="49" min="10" max="10"/>
    <col width="40" customWidth="1" style="49" min="11" max="11"/>
    <col width="26" customWidth="1" style="49" min="12" max="12"/>
    <col width="12" customWidth="1" style="49" min="13" max="13"/>
    <col width="10" customWidth="1" style="49" min="14" max="14"/>
    <col width="12" customWidth="1" style="49" min="15" max="15"/>
    <col width="14" customWidth="1" style="49" min="16" max="16"/>
    <col width="38" customWidth="1" style="49" min="17" max="17"/>
    <col width="11" customWidth="1" style="49" min="18" max="19"/>
    <col width="24" customWidth="1" style="49" min="20" max="20"/>
  </cols>
  <sheetData>
    <row r="1" ht="25.5" customHeight="1" s="50">
      <c r="A1" s="90" t="inlineStr">
        <is>
          <t>Metrics &amp; Formulas — definições canônicas de indicadores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</row>
    <row r="2" ht="15" customHeight="1" s="50">
      <c r="A2" s="60" t="inlineStr">
        <is>
          <t>Cada métrica tem UMA definição canônica; dashboards compõem métricas, não recalculam. Linhas iniciais são PROPOSTAS, não afirmam que já existem no código. Colunas cinza são calculadas.</t>
        </is>
      </c>
    </row>
    <row r="3" ht="43.25" customHeight="1" s="50">
      <c r="F3" s="91" t="inlineStr">
        <is>
          <t>Regra ou fórmula formal, testável.</t>
        </is>
      </c>
      <c r="G3" s="91" t="inlineStr">
        <is>
          <t>Ledger, PostgreSQL, subledger…</t>
        </is>
      </c>
      <c r="J3" s="91" t="inlineStr">
        <is>
          <t>Link ao código real. Vazio se não existir.</t>
        </is>
      </c>
      <c r="K3" s="91" t="inlineStr">
        <is>
          <t>Testes de cálculo, reconciliação, atualização.</t>
        </is>
      </c>
      <c r="P3" s="91" t="inlineStr">
        <is>
          <t>Sim = proprietário ainda indefinido (ver Decisões pendentes).</t>
        </is>
      </c>
      <c r="R3" s="91" t="inlineStr">
        <is>
          <t>Calculado a partir da aba Dependencies.</t>
        </is>
      </c>
      <c r="T3" s="91" t="inlineStr">
        <is>
          <t>Calculado: sinaliza lacunas.</t>
        </is>
      </c>
    </row>
    <row r="4" ht="43.5" customHeight="1" s="50">
      <c r="A4" s="92" t="inlineStr">
        <is>
          <t>ID</t>
        </is>
      </c>
      <c r="B4" s="92" t="inlineStr">
        <is>
          <t>Name (EN)</t>
        </is>
      </c>
      <c r="C4" s="92" t="inlineStr">
        <is>
          <t>Type</t>
        </is>
      </c>
      <c r="D4" s="92" t="inlineStr">
        <is>
          <t>Parent Module</t>
        </is>
      </c>
      <c r="E4" s="92" t="inlineStr">
        <is>
          <t>Submodule</t>
        </is>
      </c>
      <c r="F4" s="92" t="inlineStr">
        <is>
          <t>Definition / Formula</t>
        </is>
      </c>
      <c r="G4" s="92" t="inlineStr">
        <is>
          <t>Data Source</t>
        </is>
      </c>
      <c r="H4" s="92" t="inlineStr">
        <is>
          <t>Dimensions &amp; Filters</t>
        </is>
      </c>
      <c r="I4" s="92" t="inlineStr">
        <is>
          <t>Implementation Status</t>
        </is>
      </c>
      <c r="J4" s="92" t="inlineStr">
        <is>
          <t>Code Link</t>
        </is>
      </c>
      <c r="K4" s="92" t="inlineStr">
        <is>
          <t>Tests / Evidence</t>
        </is>
      </c>
      <c r="L4" s="92" t="inlineStr">
        <is>
          <t>Authority Level</t>
        </is>
      </c>
      <c r="M4" s="92" t="inlineStr">
        <is>
          <t>Repository Phase</t>
        </is>
      </c>
      <c r="N4" s="92" t="inlineStr">
        <is>
          <t>Priority</t>
        </is>
      </c>
      <c r="O4" s="92" t="inlineStr">
        <is>
          <t>Roadmap Item</t>
        </is>
      </c>
      <c r="P4" s="92" t="inlineStr">
        <is>
          <t>Ownership Decision Pending</t>
        </is>
      </c>
      <c r="Q4" s="92" t="inlineStr">
        <is>
          <t>Notes / Source</t>
        </is>
      </c>
      <c r="R4" s="92" t="inlineStr">
        <is>
          <t>Depends on (#)</t>
        </is>
      </c>
      <c r="S4" s="92" t="inlineStr">
        <is>
          <t>Used by (#)</t>
        </is>
      </c>
      <c r="T4" s="92" t="inlineStr">
        <is>
          <t>Health</t>
        </is>
      </c>
    </row>
    <row r="5" ht="55.2" customHeight="1" s="50">
      <c r="A5" s="93" t="inlineStr">
        <is>
          <t>METRIC-001</t>
        </is>
      </c>
      <c r="B5" s="93" t="inlineStr">
        <is>
          <t>Posted revenue by period</t>
        </is>
      </c>
      <c r="C5" s="93" t="inlineStr">
        <is>
          <t>Metric</t>
        </is>
      </c>
      <c r="D5" s="93" t="inlineStr">
        <is>
          <t>accounting</t>
        </is>
      </c>
      <c r="E5" s="93" t="inlineStr">
        <is>
          <t>reports</t>
        </is>
      </c>
      <c r="F5" s="93" t="inlineStr">
        <is>
          <t>Net credit movement on revenue-class accounts for posted entries dated within [period_start, period_end]; excludes drafts and fully reversed entries; shown in presentation currency using the fx rule in force.</t>
        </is>
      </c>
      <c r="G5" s="93" t="inlineStr">
        <is>
          <t>Authoritative ledger balances → reports read model</t>
        </is>
      </c>
      <c r="H5" s="93" t="inlineStr">
        <is>
          <t>Organization, period, currency, account group</t>
        </is>
      </c>
      <c r="I5" s="93" t="inlineStr">
        <is>
          <t>Planned</t>
        </is>
      </c>
      <c r="J5" s="93" t="n"/>
      <c r="K5" s="93" t="inlineStr">
        <is>
          <t>Expected: reconciles to ledger balances for the same period; excluded states covered by tests.</t>
        </is>
      </c>
      <c r="L5" s="93" t="inlineStr">
        <is>
          <t>Derived read model</t>
        </is>
      </c>
      <c r="M5" s="93" t="inlineStr">
        <is>
          <t>A1</t>
        </is>
      </c>
      <c r="N5" s="93" t="inlineStr">
        <is>
          <t>P1</t>
        </is>
      </c>
      <c r="O5" s="93" t="inlineStr">
        <is>
          <t>RM-024</t>
        </is>
      </c>
      <c r="P5" s="93" t="inlineStr">
        <is>
          <t>Não</t>
        </is>
      </c>
      <c r="Q5" s="93" t="inlineStr">
        <is>
          <t>Proposed by review — existence in code not asserted.</t>
        </is>
      </c>
      <c r="R5" s="94">
        <f>IF(A5="","",COUNTIF(Dependencies!$B$5:$B$300,A5))</f>
        <v/>
      </c>
      <c r="S5" s="94">
        <f>IF(A5="","",COUNTIF(Dependencies!$F$5:$F$300,A5))</f>
        <v/>
      </c>
      <c r="T5" s="94">
        <f>IF(A5="","",IF(AND(OR(I5="Implemented",I5="Verified"),J5=""),"⚠ Sem link de código",IF(AND(I5="Verified",K5=""),"⚠ Sem evidência",IF(OR(P5="Sim",D5="TBD (owner pending)"),"◐ Proprietário pendente",IF(R5+S5=0,"○ Sem relações","✔ OK")))))</f>
        <v/>
      </c>
    </row>
    <row r="6" ht="41.75" customHeight="1" s="50">
      <c r="A6" s="93" t="inlineStr">
        <is>
          <t>METRIC-002</t>
        </is>
      </c>
      <c r="B6" s="93" t="inlineStr">
        <is>
          <t>Accounts receivable aging</t>
        </is>
      </c>
      <c r="C6" s="93" t="inlineStr">
        <is>
          <t>Metric</t>
        </is>
      </c>
      <c r="D6" s="93" t="inlineStr">
        <is>
          <t>accounting</t>
        </is>
      </c>
      <c r="E6" s="93" t="inlineStr">
        <is>
          <t>reports</t>
        </is>
      </c>
      <c r="F6" s="93" t="inlineStr">
        <is>
          <t>Open receivable balance grouped in buckets as of a reference date (current, 1–30, 31–60, 61–90, 90+ days past due). Bucket edges are policy, not constants.</t>
        </is>
      </c>
      <c r="G6" s="93" t="inlineStr">
        <is>
          <t>Receivables subledger, reconciled to the ledger control account</t>
        </is>
      </c>
      <c r="H6" s="93" t="inlineStr">
        <is>
          <t>Organization, customer, currency, as-of date</t>
        </is>
      </c>
      <c r="I6" s="93" t="inlineStr">
        <is>
          <t>Planned</t>
        </is>
      </c>
      <c r="J6" s="93" t="n"/>
      <c r="K6" s="93" t="inlineStr">
        <is>
          <t>Expected: bucket totals equal the open receivable balance; reconciles to the control account.</t>
        </is>
      </c>
      <c r="L6" s="93" t="inlineStr">
        <is>
          <t>Derived read model</t>
        </is>
      </c>
      <c r="M6" s="93" t="inlineStr">
        <is>
          <t>A1</t>
        </is>
      </c>
      <c r="N6" s="93" t="inlineStr">
        <is>
          <t>P1</t>
        </is>
      </c>
      <c r="O6" s="93" t="inlineStr">
        <is>
          <t>RM-024</t>
        </is>
      </c>
      <c r="P6" s="93" t="inlineStr">
        <is>
          <t>Não</t>
        </is>
      </c>
      <c r="Q6" s="93" t="inlineStr">
        <is>
          <t>Proposed by review — existence in code not asserted.</t>
        </is>
      </c>
      <c r="R6" s="94">
        <f>IF(A6="","",COUNTIF(Dependencies!$B$5:$B$300,A6))</f>
        <v/>
      </c>
      <c r="S6" s="94">
        <f>IF(A6="","",COUNTIF(Dependencies!$F$5:$F$300,A6))</f>
        <v/>
      </c>
      <c r="T6" s="94">
        <f>IF(A6="","",IF(AND(OR(I6="Implemented",I6="Verified"),J6=""),"⚠ Sem link de código",IF(AND(I6="Verified",K6=""),"⚠ Sem evidência",IF(OR(P6="Sim",D6="TBD (owner pending)"),"◐ Proprietário pendente",IF(R6+S6=0,"○ Sem relações","✔ OK")))))</f>
        <v/>
      </c>
    </row>
    <row r="7" ht="28.35" customHeight="1" s="50">
      <c r="A7" s="93" t="inlineStr">
        <is>
          <t>METRIC-003</t>
        </is>
      </c>
      <c r="B7" s="93" t="inlineStr">
        <is>
          <t>Overdue receivables</t>
        </is>
      </c>
      <c r="C7" s="93" t="inlineStr">
        <is>
          <t>Metric</t>
        </is>
      </c>
      <c r="D7" s="93" t="inlineStr">
        <is>
          <t>accounting</t>
        </is>
      </c>
      <c r="E7" s="93" t="inlineStr">
        <is>
          <t>reports</t>
        </is>
      </c>
      <c r="F7" s="93" t="inlineStr">
        <is>
          <t>Sum of open receivable balance with due date before the as-of date. Must equal the past-due buckets of METRIC-002.</t>
        </is>
      </c>
      <c r="G7" s="93" t="inlineStr">
        <is>
          <t>Receivables subledger</t>
        </is>
      </c>
      <c r="H7" s="93" t="inlineStr">
        <is>
          <t>Organization, customer, currency, as-of date</t>
        </is>
      </c>
      <c r="I7" s="93" t="inlineStr">
        <is>
          <t>Planned</t>
        </is>
      </c>
      <c r="J7" s="93" t="n"/>
      <c r="K7" s="93" t="inlineStr">
        <is>
          <t>Expected: equality test against METRIC-002 past-due buckets.</t>
        </is>
      </c>
      <c r="L7" s="93" t="inlineStr">
        <is>
          <t>Derived read model</t>
        </is>
      </c>
      <c r="M7" s="93" t="inlineStr">
        <is>
          <t>A1</t>
        </is>
      </c>
      <c r="N7" s="93" t="inlineStr">
        <is>
          <t>P1</t>
        </is>
      </c>
      <c r="O7" s="93" t="inlineStr">
        <is>
          <t>RM-024</t>
        </is>
      </c>
      <c r="P7" s="93" t="inlineStr">
        <is>
          <t>Não</t>
        </is>
      </c>
      <c r="Q7" s="93" t="inlineStr">
        <is>
          <t>Proposed by review — existence in code not asserted.</t>
        </is>
      </c>
      <c r="R7" s="94">
        <f>IF(A7="","",COUNTIF(Dependencies!$B$5:$B$300,A7))</f>
        <v/>
      </c>
      <c r="S7" s="94">
        <f>IF(A7="","",COUNTIF(Dependencies!$F$5:$F$300,A7))</f>
        <v/>
      </c>
      <c r="T7" s="94">
        <f>IF(A7="","",IF(AND(OR(I7="Implemented",I7="Verified"),J7=""),"⚠ Sem link de código",IF(AND(I7="Verified",K7=""),"⚠ Sem evidência",IF(OR(P7="Sim",D7="TBD (owner pending)"),"◐ Proprietário pendente",IF(R7+S7=0,"○ Sem relações","✔ OK")))))</f>
        <v/>
      </c>
    </row>
    <row r="8" ht="28.35" customHeight="1" s="50">
      <c r="A8" s="93" t="inlineStr">
        <is>
          <t>METRIC-004</t>
        </is>
      </c>
      <c r="B8" s="93" t="inlineStr">
        <is>
          <t>Available balance</t>
        </is>
      </c>
      <c r="C8" s="93" t="inlineStr">
        <is>
          <t>Metric</t>
        </is>
      </c>
      <c r="D8" s="93" t="inlineStr">
        <is>
          <t>accounting</t>
        </is>
      </c>
      <c r="E8" s="93" t="inlineStr">
        <is>
          <t>bank</t>
        </is>
      </c>
      <c r="F8" s="93" t="inlineStr">
        <is>
          <t>Ledger balance of cash and bank accounts minus uncleared or held outflows. Treatment of holds to be formalized.</t>
        </is>
      </c>
      <c r="G8" s="93" t="inlineStr">
        <is>
          <t>Ledger balances; bank reconciliation state</t>
        </is>
      </c>
      <c r="H8" s="93" t="inlineStr">
        <is>
          <t>Organization, account, currency, as-of instant</t>
        </is>
      </c>
      <c r="I8" s="93" t="inlineStr">
        <is>
          <t>Planned</t>
        </is>
      </c>
      <c r="J8" s="93" t="n"/>
      <c r="K8" s="93" t="inlineStr">
        <is>
          <t>Expected: reconciles to bank statements after reconciliation; holds rule tested.</t>
        </is>
      </c>
      <c r="L8" s="93" t="inlineStr">
        <is>
          <t>Derived read model</t>
        </is>
      </c>
      <c r="M8" s="93" t="inlineStr">
        <is>
          <t>A1</t>
        </is>
      </c>
      <c r="N8" s="93" t="inlineStr">
        <is>
          <t>P1</t>
        </is>
      </c>
      <c r="O8" s="93" t="inlineStr">
        <is>
          <t>RM-024</t>
        </is>
      </c>
      <c r="P8" s="93" t="inlineStr">
        <is>
          <t>Não</t>
        </is>
      </c>
      <c r="Q8" s="93" t="inlineStr">
        <is>
          <t>Proposed by review — existence in code not asserted.</t>
        </is>
      </c>
      <c r="R8" s="94">
        <f>IF(A8="","",COUNTIF(Dependencies!$B$5:$B$300,A8))</f>
        <v/>
      </c>
      <c r="S8" s="94">
        <f>IF(A8="","",COUNTIF(Dependencies!$F$5:$F$300,A8))</f>
        <v/>
      </c>
      <c r="T8" s="94">
        <f>IF(A8="","",IF(AND(OR(I8="Implemented",I8="Verified"),J8=""),"⚠ Sem link de código",IF(AND(I8="Verified",K8=""),"⚠ Sem evidência",IF(OR(P8="Sim",D8="TBD (owner pending)"),"◐ Proprietário pendente",IF(R8+S8=0,"○ Sem relações","✔ OK")))))</f>
        <v/>
      </c>
    </row>
    <row r="9" ht="28.35" customHeight="1" s="50">
      <c r="A9" s="93" t="inlineStr">
        <is>
          <t>METRIC-005</t>
        </is>
      </c>
      <c r="B9" s="93" t="inlineStr">
        <is>
          <t>Gross margin</t>
        </is>
      </c>
      <c r="C9" s="93" t="inlineStr">
        <is>
          <t>Metric</t>
        </is>
      </c>
      <c r="D9" s="93" t="inlineStr">
        <is>
          <t>accounting</t>
        </is>
      </c>
      <c r="E9" s="93" t="inlineStr">
        <is>
          <t>reports</t>
        </is>
      </c>
      <c r="F9" s="93" t="inlineStr">
        <is>
          <t>(Revenue − cost of sales) ÷ Revenue, stored as a fraction. Returns empty (not zero) when revenue is zero.</t>
        </is>
      </c>
      <c r="G9" s="93" t="inlineStr">
        <is>
          <t>Ledger balances → reports read model</t>
        </is>
      </c>
      <c r="H9" s="93" t="inlineStr">
        <is>
          <t>Organization, period, currency, segment</t>
        </is>
      </c>
      <c r="I9" s="93" t="inlineStr">
        <is>
          <t>Planned</t>
        </is>
      </c>
      <c r="J9" s="93" t="n"/>
      <c r="K9" s="93" t="inlineStr">
        <is>
          <t>Expected: zero-revenue guard; matches the income statement for the same period.</t>
        </is>
      </c>
      <c r="L9" s="93" t="inlineStr">
        <is>
          <t>Derived read model</t>
        </is>
      </c>
      <c r="M9" s="93" t="inlineStr">
        <is>
          <t>A1</t>
        </is>
      </c>
      <c r="N9" s="93" t="inlineStr">
        <is>
          <t>P2</t>
        </is>
      </c>
      <c r="O9" s="93" t="inlineStr">
        <is>
          <t>RM-024</t>
        </is>
      </c>
      <c r="P9" s="93" t="inlineStr">
        <is>
          <t>Não</t>
        </is>
      </c>
      <c r="Q9" s="93" t="inlineStr">
        <is>
          <t>Proposed by review — existence in code not asserted.</t>
        </is>
      </c>
      <c r="R9" s="94">
        <f>IF(A9="","",COUNTIF(Dependencies!$B$5:$B$300,A9))</f>
        <v/>
      </c>
      <c r="S9" s="94">
        <f>IF(A9="","",COUNTIF(Dependencies!$F$5:$F$300,A9))</f>
        <v/>
      </c>
      <c r="T9" s="94">
        <f>IF(A9="","",IF(AND(OR(I9="Implemented",I9="Verified"),J9=""),"⚠ Sem link de código",IF(AND(I9="Verified",K9=""),"⚠ Sem evidência",IF(OR(P9="Sim",D9="TBD (owner pending)"),"◐ Proprietário pendente",IF(R9+S9=0,"○ Sem relações","✔ OK")))))</f>
        <v/>
      </c>
    </row>
    <row r="10" ht="41.75" customHeight="1" s="50">
      <c r="A10" s="93" t="inlineStr">
        <is>
          <t>METRIC-006</t>
        </is>
      </c>
      <c r="B10" s="93" t="inlineStr">
        <is>
          <t>Budget variance</t>
        </is>
      </c>
      <c r="C10" s="93" t="inlineStr">
        <is>
          <t>Metric</t>
        </is>
      </c>
      <c r="D10" s="93" t="inlineStr">
        <is>
          <t>accounting</t>
        </is>
      </c>
      <c r="E10" s="93" t="inlineStr">
        <is>
          <t>reports</t>
        </is>
      </c>
      <c r="F10" s="93" t="inlineStr">
        <is>
          <t>Actual − budget per account and period; percentage = variance ÷ budget, empty when budget is zero. Ownership may move to a future budget module.</t>
        </is>
      </c>
      <c r="G10" s="93" t="inlineStr">
        <is>
          <t>Ledger actuals + budget data (source to be defined)</t>
        </is>
      </c>
      <c r="H10" s="93" t="inlineStr">
        <is>
          <t>Organization, account, period, budget version</t>
        </is>
      </c>
      <c r="I10" s="93" t="inlineStr">
        <is>
          <t>Planned</t>
        </is>
      </c>
      <c r="J10" s="93" t="n"/>
      <c r="K10" s="93" t="inlineStr">
        <is>
          <t>Expected: variance sums to total actual − total budget; zero-budget guard.</t>
        </is>
      </c>
      <c r="L10" s="93" t="inlineStr">
        <is>
          <t>Derived read model</t>
        </is>
      </c>
      <c r="M10" s="93" t="inlineStr">
        <is>
          <t>A1</t>
        </is>
      </c>
      <c r="N10" s="93" t="inlineStr">
        <is>
          <t>P2</t>
        </is>
      </c>
      <c r="O10" s="93" t="inlineStr">
        <is>
          <t>RM-024</t>
        </is>
      </c>
      <c r="P10" s="93" t="inlineStr">
        <is>
          <t>Sim</t>
        </is>
      </c>
      <c r="Q10" s="93" t="inlineStr">
        <is>
          <t>Proposed by review — existence in code not asserted. Owner undecided — see DEC-001.</t>
        </is>
      </c>
      <c r="R10" s="94">
        <f>IF(A10="","",COUNTIF(Dependencies!$B$5:$B$300,A10))</f>
        <v/>
      </c>
      <c r="S10" s="94">
        <f>IF(A10="","",COUNTIF(Dependencies!$F$5:$F$300,A10))</f>
        <v/>
      </c>
      <c r="T10" s="94">
        <f>IF(A10="","",IF(AND(OR(I10="Implemented",I10="Verified"),J10=""),"⚠ Sem link de código",IF(AND(I10="Verified",K10=""),"⚠ Sem evidência",IF(OR(P10="Sim",D10="TBD (owner pending)"),"◐ Proprietário pendente",IF(R10+S10=0,"○ Sem relações","✔ OK")))))</f>
        <v/>
      </c>
    </row>
    <row r="11" ht="15" customHeight="1" s="50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4">
        <f>IF(A11="","",COUNTIF(Dependencies!$B$5:$B$300,A11))</f>
        <v/>
      </c>
      <c r="S11" s="94">
        <f>IF(A11="","",COUNTIF(Dependencies!$F$5:$F$300,A11))</f>
        <v/>
      </c>
      <c r="T11" s="94">
        <f>IF(A11="","",IF(AND(OR(I11="Implemented",I11="Verified"),J11=""),"⚠ Sem link de código",IF(AND(I11="Verified",K11=""),"⚠ Sem evidência",IF(OR(P11="Sim",D11="TBD (owner pending)"),"◐ Proprietário pendente",IF(R11+S11=0,"○ Sem relações","✔ OK")))))</f>
        <v/>
      </c>
    </row>
    <row r="12" ht="15" customHeight="1" s="50">
      <c r="A12" s="93" t="n"/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3" t="n"/>
      <c r="R12" s="94">
        <f>IF(A12="","",COUNTIF(Dependencies!$B$5:$B$300,A12))</f>
        <v/>
      </c>
      <c r="S12" s="94">
        <f>IF(A12="","",COUNTIF(Dependencies!$F$5:$F$300,A12))</f>
        <v/>
      </c>
      <c r="T12" s="94">
        <f>IF(A12="","",IF(AND(OR(I12="Implemented",I12="Verified"),J12=""),"⚠ Sem link de código",IF(AND(I12="Verified",K12=""),"⚠ Sem evidência",IF(OR(P12="Sim",D12="TBD (owner pending)"),"◐ Proprietário pendente",IF(R12+S12=0,"○ Sem relações","✔ OK")))))</f>
        <v/>
      </c>
    </row>
    <row r="13" ht="15" customHeight="1" s="50">
      <c r="A13" s="93" t="n"/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4">
        <f>IF(A13="","",COUNTIF(Dependencies!$B$5:$B$300,A13))</f>
        <v/>
      </c>
      <c r="S13" s="94">
        <f>IF(A13="","",COUNTIF(Dependencies!$F$5:$F$300,A13))</f>
        <v/>
      </c>
      <c r="T13" s="94">
        <f>IF(A13="","",IF(AND(OR(I13="Implemented",I13="Verified"),J13=""),"⚠ Sem link de código",IF(AND(I13="Verified",K13=""),"⚠ Sem evidência",IF(OR(P13="Sim",D13="TBD (owner pending)"),"◐ Proprietário pendente",IF(R13+S13=0,"○ Sem relações","✔ OK")))))</f>
        <v/>
      </c>
    </row>
    <row r="14" ht="15" customHeight="1" s="50">
      <c r="A14" s="93" t="n"/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3" t="n"/>
      <c r="R14" s="94">
        <f>IF(A14="","",COUNTIF(Dependencies!$B$5:$B$300,A14))</f>
        <v/>
      </c>
      <c r="S14" s="94">
        <f>IF(A14="","",COUNTIF(Dependencies!$F$5:$F$300,A14))</f>
        <v/>
      </c>
      <c r="T14" s="94">
        <f>IF(A14="","",IF(AND(OR(I14="Implemented",I14="Verified"),J14=""),"⚠ Sem link de código",IF(AND(I14="Verified",K14=""),"⚠ Sem evidência",IF(OR(P14="Sim",D14="TBD (owner pending)"),"◐ Proprietário pendente",IF(R14+S14=0,"○ Sem relações","✔ OK")))))</f>
        <v/>
      </c>
    </row>
    <row r="15" ht="15" customHeight="1" s="50">
      <c r="A15" s="93" t="n"/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  <c r="K15" s="93" t="n"/>
      <c r="L15" s="93" t="n"/>
      <c r="M15" s="93" t="n"/>
      <c r="N15" s="93" t="n"/>
      <c r="O15" s="93" t="n"/>
      <c r="P15" s="93" t="n"/>
      <c r="Q15" s="93" t="n"/>
      <c r="R15" s="94">
        <f>IF(A15="","",COUNTIF(Dependencies!$B$5:$B$300,A15))</f>
        <v/>
      </c>
      <c r="S15" s="94">
        <f>IF(A15="","",COUNTIF(Dependencies!$F$5:$F$300,A15))</f>
        <v/>
      </c>
      <c r="T15" s="94">
        <f>IF(A15="","",IF(AND(OR(I15="Implemented",I15="Verified"),J15=""),"⚠ Sem link de código",IF(AND(I15="Verified",K15=""),"⚠ Sem evidência",IF(OR(P15="Sim",D15="TBD (owner pending)"),"◐ Proprietário pendente",IF(R15+S15=0,"○ Sem relações","✔ OK")))))</f>
        <v/>
      </c>
    </row>
    <row r="16" ht="15" customHeight="1" s="50">
      <c r="A16" s="93" t="n"/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4">
        <f>IF(A16="","",COUNTIF(Dependencies!$B$5:$B$300,A16))</f>
        <v/>
      </c>
      <c r="S16" s="94">
        <f>IF(A16="","",COUNTIF(Dependencies!$F$5:$F$300,A16))</f>
        <v/>
      </c>
      <c r="T16" s="94">
        <f>IF(A16="","",IF(AND(OR(I16="Implemented",I16="Verified"),J16=""),"⚠ Sem link de código",IF(AND(I16="Verified",K16=""),"⚠ Sem evidência",IF(OR(P16="Sim",D16="TBD (owner pending)"),"◐ Proprietário pendente",IF(R16+S16=0,"○ Sem relações","✔ OK")))))</f>
        <v/>
      </c>
    </row>
    <row r="17" ht="15" customHeight="1" s="50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4">
        <f>IF(A17="","",COUNTIF(Dependencies!$B$5:$B$300,A17))</f>
        <v/>
      </c>
      <c r="S17" s="94">
        <f>IF(A17="","",COUNTIF(Dependencies!$F$5:$F$300,A17))</f>
        <v/>
      </c>
      <c r="T17" s="94">
        <f>IF(A17="","",IF(AND(OR(I17="Implemented",I17="Verified"),J17=""),"⚠ Sem link de código",IF(AND(I17="Verified",K17=""),"⚠ Sem evidência",IF(OR(P17="Sim",D17="TBD (owner pending)"),"◐ Proprietário pendente",IF(R17+S17=0,"○ Sem relações","✔ OK")))))</f>
        <v/>
      </c>
    </row>
    <row r="18" ht="15" customHeight="1" s="50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3" t="n"/>
      <c r="R18" s="94">
        <f>IF(A18="","",COUNTIF(Dependencies!$B$5:$B$300,A18))</f>
        <v/>
      </c>
      <c r="S18" s="94">
        <f>IF(A18="","",COUNTIF(Dependencies!$F$5:$F$300,A18))</f>
        <v/>
      </c>
      <c r="T18" s="94">
        <f>IF(A18="","",IF(AND(OR(I18="Implemented",I18="Verified"),J18=""),"⚠ Sem link de código",IF(AND(I18="Verified",K18=""),"⚠ Sem evidência",IF(OR(P18="Sim",D18="TBD (owner pending)"),"◐ Proprietário pendente",IF(R18+S18=0,"○ Sem relações","✔ OK")))))</f>
        <v/>
      </c>
    </row>
    <row r="19" ht="15" customHeight="1" s="50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4">
        <f>IF(A19="","",COUNTIF(Dependencies!$B$5:$B$300,A19))</f>
        <v/>
      </c>
      <c r="S19" s="94">
        <f>IF(A19="","",COUNTIF(Dependencies!$F$5:$F$300,A19))</f>
        <v/>
      </c>
      <c r="T19" s="94">
        <f>IF(A19="","",IF(AND(OR(I19="Implemented",I19="Verified"),J19=""),"⚠ Sem link de código",IF(AND(I19="Verified",K19=""),"⚠ Sem evidência",IF(OR(P19="Sim",D19="TBD (owner pending)"),"◐ Proprietário pendente",IF(R19+S19=0,"○ Sem relações","✔ OK")))))</f>
        <v/>
      </c>
    </row>
    <row r="20" ht="15" customHeight="1" s="5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4">
        <f>IF(A20="","",COUNTIF(Dependencies!$B$5:$B$300,A20))</f>
        <v/>
      </c>
      <c r="S20" s="94">
        <f>IF(A20="","",COUNTIF(Dependencies!$F$5:$F$300,A20))</f>
        <v/>
      </c>
      <c r="T20" s="94">
        <f>IF(A20="","",IF(AND(OR(I20="Implemented",I20="Verified"),J20=""),"⚠ Sem link de código",IF(AND(I20="Verified",K20=""),"⚠ Sem evidência",IF(OR(P20="Sim",D20="TBD (owner pending)"),"◐ Proprietário pendente",IF(R20+S20=0,"○ Sem relações","✔ OK")))))</f>
        <v/>
      </c>
    </row>
    <row r="21" ht="15" customHeight="1" s="50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4">
        <f>IF(A21="","",COUNTIF(Dependencies!$B$5:$B$300,A21))</f>
        <v/>
      </c>
      <c r="S21" s="94">
        <f>IF(A21="","",COUNTIF(Dependencies!$F$5:$F$300,A21))</f>
        <v/>
      </c>
      <c r="T21" s="94">
        <f>IF(A21="","",IF(AND(OR(I21="Implemented",I21="Verified"),J21=""),"⚠ Sem link de código",IF(AND(I21="Verified",K21=""),"⚠ Sem evidência",IF(OR(P21="Sim",D21="TBD (owner pending)"),"◐ Proprietário pendente",IF(R21+S21=0,"○ Sem relações","✔ OK")))))</f>
        <v/>
      </c>
    </row>
    <row r="22" ht="15" customHeight="1" s="50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4">
        <f>IF(A22="","",COUNTIF(Dependencies!$B$5:$B$300,A22))</f>
        <v/>
      </c>
      <c r="S22" s="94">
        <f>IF(A22="","",COUNTIF(Dependencies!$F$5:$F$300,A22))</f>
        <v/>
      </c>
      <c r="T22" s="94">
        <f>IF(A22="","",IF(AND(OR(I22="Implemented",I22="Verified"),J22=""),"⚠ Sem link de código",IF(AND(I22="Verified",K22=""),"⚠ Sem evidência",IF(OR(P22="Sim",D22="TBD (owner pending)"),"◐ Proprietário pendente",IF(R22+S22=0,"○ Sem relações","✔ OK")))))</f>
        <v/>
      </c>
    </row>
    <row r="23" ht="15" customHeight="1" s="50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4">
        <f>IF(A23="","",COUNTIF(Dependencies!$B$5:$B$300,A23))</f>
        <v/>
      </c>
      <c r="S23" s="94">
        <f>IF(A23="","",COUNTIF(Dependencies!$F$5:$F$300,A23))</f>
        <v/>
      </c>
      <c r="T23" s="94">
        <f>IF(A23="","",IF(AND(OR(I23="Implemented",I23="Verified"),J23=""),"⚠ Sem link de código",IF(AND(I23="Verified",K23=""),"⚠ Sem evidência",IF(OR(P23="Sim",D23="TBD (owner pending)"),"◐ Proprietário pendente",IF(R23+S23=0,"○ Sem relações","✔ OK")))))</f>
        <v/>
      </c>
    </row>
    <row r="24" ht="15" customHeight="1" s="50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>
        <f>IF(A24="","",COUNTIF(Dependencies!$B$5:$B$300,A24))</f>
        <v/>
      </c>
      <c r="S24" s="94">
        <f>IF(A24="","",COUNTIF(Dependencies!$F$5:$F$300,A24))</f>
        <v/>
      </c>
      <c r="T24" s="94">
        <f>IF(A24="","",IF(AND(OR(I24="Implemented",I24="Verified"),J24=""),"⚠ Sem link de código",IF(AND(I24="Verified",K24=""),"⚠ Sem evidência",IF(OR(P24="Sim",D24="TBD (owner pending)"),"◐ Proprietário pendente",IF(R24+S24=0,"○ Sem relações","✔ OK")))))</f>
        <v/>
      </c>
    </row>
    <row r="25" ht="15" customHeight="1" s="50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4">
        <f>IF(A25="","",COUNTIF(Dependencies!$B$5:$B$300,A25))</f>
        <v/>
      </c>
      <c r="S25" s="94">
        <f>IF(A25="","",COUNTIF(Dependencies!$F$5:$F$300,A25))</f>
        <v/>
      </c>
      <c r="T25" s="94">
        <f>IF(A25="","",IF(AND(OR(I25="Implemented",I25="Verified"),J25=""),"⚠ Sem link de código",IF(AND(I25="Verified",K25=""),"⚠ Sem evidência",IF(OR(P25="Sim",D25="TBD (owner pending)"),"◐ Proprietário pendente",IF(R25+S25=0,"○ Sem relações","✔ OK")))))</f>
        <v/>
      </c>
    </row>
    <row r="26" ht="15" customHeight="1" s="50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4">
        <f>IF(A26="","",COUNTIF(Dependencies!$B$5:$B$300,A26))</f>
        <v/>
      </c>
      <c r="S26" s="94">
        <f>IF(A26="","",COUNTIF(Dependencies!$F$5:$F$300,A26))</f>
        <v/>
      </c>
      <c r="T26" s="94">
        <f>IF(A26="","",IF(AND(OR(I26="Implemented",I26="Verified"),J26=""),"⚠ Sem link de código",IF(AND(I26="Verified",K26=""),"⚠ Sem evidência",IF(OR(P26="Sim",D26="TBD (owner pending)"),"◐ Proprietário pendente",IF(R26+S26=0,"○ Sem relações","✔ OK")))))</f>
        <v/>
      </c>
    </row>
    <row r="27" ht="15" customHeight="1" s="50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4">
        <f>IF(A27="","",COUNTIF(Dependencies!$B$5:$B$300,A27))</f>
        <v/>
      </c>
      <c r="S27" s="94">
        <f>IF(A27="","",COUNTIF(Dependencies!$F$5:$F$300,A27))</f>
        <v/>
      </c>
      <c r="T27" s="94">
        <f>IF(A27="","",IF(AND(OR(I27="Implemented",I27="Verified"),J27=""),"⚠ Sem link de código",IF(AND(I27="Verified",K27=""),"⚠ Sem evidência",IF(OR(P27="Sim",D27="TBD (owner pending)"),"◐ Proprietário pendente",IF(R27+S27=0,"○ Sem relações","✔ OK")))))</f>
        <v/>
      </c>
    </row>
    <row r="28" ht="15" customHeight="1" s="50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4">
        <f>IF(A28="","",COUNTIF(Dependencies!$B$5:$B$300,A28))</f>
        <v/>
      </c>
      <c r="S28" s="94">
        <f>IF(A28="","",COUNTIF(Dependencies!$F$5:$F$300,A28))</f>
        <v/>
      </c>
      <c r="T28" s="94">
        <f>IF(A28="","",IF(AND(OR(I28="Implemented",I28="Verified"),J28=""),"⚠ Sem link de código",IF(AND(I28="Verified",K28=""),"⚠ Sem evidência",IF(OR(P28="Sim",D28="TBD (owner pending)"),"◐ Proprietário pendente",IF(R28+S28=0,"○ Sem relações","✔ OK")))))</f>
        <v/>
      </c>
    </row>
    <row r="29" ht="15" customHeight="1" s="50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4">
        <f>IF(A29="","",COUNTIF(Dependencies!$B$5:$B$300,A29))</f>
        <v/>
      </c>
      <c r="S29" s="94">
        <f>IF(A29="","",COUNTIF(Dependencies!$F$5:$F$300,A29))</f>
        <v/>
      </c>
      <c r="T29" s="94">
        <f>IF(A29="","",IF(AND(OR(I29="Implemented",I29="Verified"),J29=""),"⚠ Sem link de código",IF(AND(I29="Verified",K29=""),"⚠ Sem evidência",IF(OR(P29="Sim",D29="TBD (owner pending)"),"◐ Proprietário pendente",IF(R29+S29=0,"○ Sem relações","✔ OK")))))</f>
        <v/>
      </c>
    </row>
    <row r="30" ht="15" customHeight="1" s="50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4">
        <f>IF(A30="","",COUNTIF(Dependencies!$B$5:$B$300,A30))</f>
        <v/>
      </c>
      <c r="S30" s="94">
        <f>IF(A30="","",COUNTIF(Dependencies!$F$5:$F$300,A30))</f>
        <v/>
      </c>
      <c r="T30" s="94">
        <f>IF(A30="","",IF(AND(OR(I30="Implemented",I30="Verified"),J30=""),"⚠ Sem link de código",IF(AND(I30="Verified",K30=""),"⚠ Sem evidência",IF(OR(P30="Sim",D30="TBD (owner pending)"),"◐ Proprietário pendente",IF(R30+S30=0,"○ Sem relações","✔ OK")))))</f>
        <v/>
      </c>
    </row>
    <row r="31" ht="15" customHeight="1" s="50">
      <c r="A31" s="93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4">
        <f>IF(A31="","",COUNTIF(Dependencies!$B$5:$B$300,A31))</f>
        <v/>
      </c>
      <c r="S31" s="94">
        <f>IF(A31="","",COUNTIF(Dependencies!$F$5:$F$300,A31))</f>
        <v/>
      </c>
      <c r="T31" s="94">
        <f>IF(A31="","",IF(AND(OR(I31="Implemented",I31="Verified"),J31=""),"⚠ Sem link de código",IF(AND(I31="Verified",K31=""),"⚠ Sem evidência",IF(OR(P31="Sim",D31="TBD (owner pending)"),"◐ Proprietário pendente",IF(R31+S31=0,"○ Sem relações","✔ OK")))))</f>
        <v/>
      </c>
    </row>
    <row r="32" ht="15" customHeight="1" s="50">
      <c r="A32" s="93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4">
        <f>IF(A32="","",COUNTIF(Dependencies!$B$5:$B$300,A32))</f>
        <v/>
      </c>
      <c r="S32" s="94">
        <f>IF(A32="","",COUNTIF(Dependencies!$F$5:$F$300,A32))</f>
        <v/>
      </c>
      <c r="T32" s="94">
        <f>IF(A32="","",IF(AND(OR(I32="Implemented",I32="Verified"),J32=""),"⚠ Sem link de código",IF(AND(I32="Verified",K32=""),"⚠ Sem evidência",IF(OR(P32="Sim",D32="TBD (owner pending)"),"◐ Proprietário pendente",IF(R32+S32=0,"○ Sem relações","✔ OK")))))</f>
        <v/>
      </c>
    </row>
    <row r="33" ht="15" customHeight="1" s="50">
      <c r="A33" s="93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4">
        <f>IF(A33="","",COUNTIF(Dependencies!$B$5:$B$300,A33))</f>
        <v/>
      </c>
      <c r="S33" s="94">
        <f>IF(A33="","",COUNTIF(Dependencies!$F$5:$F$300,A33))</f>
        <v/>
      </c>
      <c r="T33" s="94">
        <f>IF(A33="","",IF(AND(OR(I33="Implemented",I33="Verified"),J33=""),"⚠ Sem link de código",IF(AND(I33="Verified",K33=""),"⚠ Sem evidência",IF(OR(P33="Sim",D33="TBD (owner pending)"),"◐ Proprietário pendente",IF(R33+S33=0,"○ Sem relações","✔ OK")))))</f>
        <v/>
      </c>
    </row>
    <row r="34" ht="15" customHeight="1" s="50">
      <c r="A34" s="93" t="n"/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4">
        <f>IF(A34="","",COUNTIF(Dependencies!$B$5:$B$300,A34))</f>
        <v/>
      </c>
      <c r="S34" s="94">
        <f>IF(A34="","",COUNTIF(Dependencies!$F$5:$F$300,A34))</f>
        <v/>
      </c>
      <c r="T34" s="94">
        <f>IF(A34="","",IF(AND(OR(I34="Implemented",I34="Verified"),J34=""),"⚠ Sem link de código",IF(AND(I34="Verified",K34=""),"⚠ Sem evidência",IF(OR(P34="Sim",D34="TBD (owner pending)"),"◐ Proprietário pendente",IF(R34+S34=0,"○ Sem relações","✔ OK")))))</f>
        <v/>
      </c>
    </row>
    <row r="35" ht="15" customHeight="1" s="50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4">
        <f>IF(A35="","",COUNTIF(Dependencies!$B$5:$B$300,A35))</f>
        <v/>
      </c>
      <c r="S35" s="94">
        <f>IF(A35="","",COUNTIF(Dependencies!$F$5:$F$300,A35))</f>
        <v/>
      </c>
      <c r="T35" s="94">
        <f>IF(A35="","",IF(AND(OR(I35="Implemented",I35="Verified"),J35=""),"⚠ Sem link de código",IF(AND(I35="Verified",K35=""),"⚠ Sem evidência",IF(OR(P35="Sim",D35="TBD (owner pending)"),"◐ Proprietário pendente",IF(R35+S35=0,"○ Sem relações","✔ OK")))))</f>
        <v/>
      </c>
    </row>
    <row r="36" ht="15" customHeight="1" s="50">
      <c r="A36" s="93" t="n"/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4">
        <f>IF(A36="","",COUNTIF(Dependencies!$B$5:$B$300,A36))</f>
        <v/>
      </c>
      <c r="S36" s="94">
        <f>IF(A36="","",COUNTIF(Dependencies!$F$5:$F$300,A36))</f>
        <v/>
      </c>
      <c r="T36" s="94">
        <f>IF(A36="","",IF(AND(OR(I36="Implemented",I36="Verified"),J36=""),"⚠ Sem link de código",IF(AND(I36="Verified",K36=""),"⚠ Sem evidência",IF(OR(P36="Sim",D36="TBD (owner pending)"),"◐ Proprietário pendente",IF(R36+S36=0,"○ Sem relações","✔ OK")))))</f>
        <v/>
      </c>
    </row>
    <row r="37" ht="15" customHeight="1" s="50">
      <c r="A37" s="93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4">
        <f>IF(A37="","",COUNTIF(Dependencies!$B$5:$B$300,A37))</f>
        <v/>
      </c>
      <c r="S37" s="94">
        <f>IF(A37="","",COUNTIF(Dependencies!$F$5:$F$300,A37))</f>
        <v/>
      </c>
      <c r="T37" s="94">
        <f>IF(A37="","",IF(AND(OR(I37="Implemented",I37="Verified"),J37=""),"⚠ Sem link de código",IF(AND(I37="Verified",K37=""),"⚠ Sem evidência",IF(OR(P37="Sim",D37="TBD (owner pending)"),"◐ Proprietário pendente",IF(R37+S37=0,"○ Sem relações","✔ OK")))))</f>
        <v/>
      </c>
    </row>
    <row r="38" ht="15" customHeight="1" s="50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4">
        <f>IF(A38="","",COUNTIF(Dependencies!$B$5:$B$300,A38))</f>
        <v/>
      </c>
      <c r="S38" s="94">
        <f>IF(A38="","",COUNTIF(Dependencies!$F$5:$F$300,A38))</f>
        <v/>
      </c>
      <c r="T38" s="94">
        <f>IF(A38="","",IF(AND(OR(I38="Implemented",I38="Verified"),J38=""),"⚠ Sem link de código",IF(AND(I38="Verified",K38=""),"⚠ Sem evidência",IF(OR(P38="Sim",D38="TBD (owner pending)"),"◐ Proprietário pendente",IF(R38+S38=0,"○ Sem relações","✔ OK")))))</f>
        <v/>
      </c>
    </row>
    <row r="39" ht="15" customHeight="1" s="50">
      <c r="A39" s="93" t="n"/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4">
        <f>IF(A39="","",COUNTIF(Dependencies!$B$5:$B$300,A39))</f>
        <v/>
      </c>
      <c r="S39" s="94">
        <f>IF(A39="","",COUNTIF(Dependencies!$F$5:$F$300,A39))</f>
        <v/>
      </c>
      <c r="T39" s="94">
        <f>IF(A39="","",IF(AND(OR(I39="Implemented",I39="Verified"),J39=""),"⚠ Sem link de código",IF(AND(I39="Verified",K39=""),"⚠ Sem evidência",IF(OR(P39="Sim",D39="TBD (owner pending)"),"◐ Proprietário pendente",IF(R39+S39=0,"○ Sem relações","✔ OK")))))</f>
        <v/>
      </c>
    </row>
    <row r="40" ht="15" customHeight="1" s="50">
      <c r="A40" s="93" t="n"/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4">
        <f>IF(A40="","",COUNTIF(Dependencies!$B$5:$B$300,A40))</f>
        <v/>
      </c>
      <c r="S40" s="94">
        <f>IF(A40="","",COUNTIF(Dependencies!$F$5:$F$300,A40))</f>
        <v/>
      </c>
      <c r="T40" s="94">
        <f>IF(A40="","",IF(AND(OR(I40="Implemented",I40="Verified"),J40=""),"⚠ Sem link de código",IF(AND(I40="Verified",K40=""),"⚠ Sem evidência",IF(OR(P40="Sim",D40="TBD (owner pending)"),"◐ Proprietário pendente",IF(R40+S40=0,"○ Sem relações","✔ OK")))))</f>
        <v/>
      </c>
    </row>
    <row r="41" ht="15" customHeight="1" s="50">
      <c r="A41" s="93" t="n"/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4">
        <f>IF(A41="","",COUNTIF(Dependencies!$B$5:$B$300,A41))</f>
        <v/>
      </c>
      <c r="S41" s="94">
        <f>IF(A41="","",COUNTIF(Dependencies!$F$5:$F$300,A41))</f>
        <v/>
      </c>
      <c r="T41" s="94">
        <f>IF(A41="","",IF(AND(OR(I41="Implemented",I41="Verified"),J41=""),"⚠ Sem link de código",IF(AND(I41="Verified",K41=""),"⚠ Sem evidência",IF(OR(P41="Sim",D41="TBD (owner pending)"),"◐ Proprietário pendente",IF(R41+S41=0,"○ Sem relações","✔ OK")))))</f>
        <v/>
      </c>
    </row>
    <row r="42" ht="15" customHeight="1" s="50">
      <c r="A42" s="93" t="n"/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4">
        <f>IF(A42="","",COUNTIF(Dependencies!$B$5:$B$300,A42))</f>
        <v/>
      </c>
      <c r="S42" s="94">
        <f>IF(A42="","",COUNTIF(Dependencies!$F$5:$F$300,A42))</f>
        <v/>
      </c>
      <c r="T42" s="94">
        <f>IF(A42="","",IF(AND(OR(I42="Implemented",I42="Verified"),J42=""),"⚠ Sem link de código",IF(AND(I42="Verified",K42=""),"⚠ Sem evidência",IF(OR(P42="Sim",D42="TBD (owner pending)"),"◐ Proprietário pendente",IF(R42+S42=0,"○ Sem relações","✔ OK")))))</f>
        <v/>
      </c>
    </row>
    <row r="43" ht="15" customHeight="1" s="50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4">
        <f>IF(A43="","",COUNTIF(Dependencies!$B$5:$B$300,A43))</f>
        <v/>
      </c>
      <c r="S43" s="94">
        <f>IF(A43="","",COUNTIF(Dependencies!$F$5:$F$300,A43))</f>
        <v/>
      </c>
      <c r="T43" s="94">
        <f>IF(A43="","",IF(AND(OR(I43="Implemented",I43="Verified"),J43=""),"⚠ Sem link de código",IF(AND(I43="Verified",K43=""),"⚠ Sem evidência",IF(OR(P43="Sim",D43="TBD (owner pending)"),"◐ Proprietário pendente",IF(R43+S43=0,"○ Sem relações","✔ OK")))))</f>
        <v/>
      </c>
    </row>
    <row r="44" ht="15" customHeight="1" s="50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4">
        <f>IF(A44="","",COUNTIF(Dependencies!$B$5:$B$300,A44))</f>
        <v/>
      </c>
      <c r="S44" s="94">
        <f>IF(A44="","",COUNTIF(Dependencies!$F$5:$F$300,A44))</f>
        <v/>
      </c>
      <c r="T44" s="94">
        <f>IF(A44="","",IF(AND(OR(I44="Implemented",I44="Verified"),J44=""),"⚠ Sem link de código",IF(AND(I44="Verified",K44=""),"⚠ Sem evidência",IF(OR(P44="Sim",D44="TBD (owner pending)"),"◐ Proprietário pendente",IF(R44+S44=0,"○ Sem relações","✔ OK")))))</f>
        <v/>
      </c>
    </row>
    <row r="45" ht="15" customHeight="1" s="50">
      <c r="A45" s="93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4">
        <f>IF(A45="","",COUNTIF(Dependencies!$B$5:$B$300,A45))</f>
        <v/>
      </c>
      <c r="S45" s="94">
        <f>IF(A45="","",COUNTIF(Dependencies!$F$5:$F$300,A45))</f>
        <v/>
      </c>
      <c r="T45" s="94">
        <f>IF(A45="","",IF(AND(OR(I45="Implemented",I45="Verified"),J45=""),"⚠ Sem link de código",IF(AND(I45="Verified",K45=""),"⚠ Sem evidência",IF(OR(P45="Sim",D45="TBD (owner pending)"),"◐ Proprietário pendente",IF(R45+S45=0,"○ Sem relações","✔ OK")))))</f>
        <v/>
      </c>
    </row>
    <row r="46" ht="15" customHeight="1" s="50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4">
        <f>IF(A46="","",COUNTIF(Dependencies!$B$5:$B$300,A46))</f>
        <v/>
      </c>
      <c r="S46" s="94">
        <f>IF(A46="","",COUNTIF(Dependencies!$F$5:$F$300,A46))</f>
        <v/>
      </c>
      <c r="T46" s="94">
        <f>IF(A46="","",IF(AND(OR(I46="Implemented",I46="Verified"),J46=""),"⚠ Sem link de código",IF(AND(I46="Verified",K46=""),"⚠ Sem evidência",IF(OR(P46="Sim",D46="TBD (owner pending)"),"◐ Proprietário pendente",IF(R46+S46=0,"○ Sem relações","✔ OK")))))</f>
        <v/>
      </c>
    </row>
    <row r="47" ht="15" customHeight="1" s="50">
      <c r="A47" s="93" t="n"/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4">
        <f>IF(A47="","",COUNTIF(Dependencies!$B$5:$B$300,A47))</f>
        <v/>
      </c>
      <c r="S47" s="94">
        <f>IF(A47="","",COUNTIF(Dependencies!$F$5:$F$300,A47))</f>
        <v/>
      </c>
      <c r="T47" s="94">
        <f>IF(A47="","",IF(AND(OR(I47="Implemented",I47="Verified"),J47=""),"⚠ Sem link de código",IF(AND(I47="Verified",K47=""),"⚠ Sem evidência",IF(OR(P47="Sim",D47="TBD (owner pending)"),"◐ Proprietário pendente",IF(R47+S47=0,"○ Sem relações","✔ OK")))))</f>
        <v/>
      </c>
    </row>
    <row r="48" ht="15" customHeight="1" s="50">
      <c r="A48" s="93" t="n"/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4">
        <f>IF(A48="","",COUNTIF(Dependencies!$B$5:$B$300,A48))</f>
        <v/>
      </c>
      <c r="S48" s="94">
        <f>IF(A48="","",COUNTIF(Dependencies!$F$5:$F$300,A48))</f>
        <v/>
      </c>
      <c r="T48" s="94">
        <f>IF(A48="","",IF(AND(OR(I48="Implemented",I48="Verified"),J48=""),"⚠ Sem link de código",IF(AND(I48="Verified",K48=""),"⚠ Sem evidência",IF(OR(P48="Sim",D48="TBD (owner pending)"),"◐ Proprietário pendente",IF(R48+S48=0,"○ Sem relações","✔ OK")))))</f>
        <v/>
      </c>
    </row>
    <row r="49" ht="15" customHeight="1" s="50">
      <c r="A49" s="93" t="n"/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4">
        <f>IF(A49="","",COUNTIF(Dependencies!$B$5:$B$300,A49))</f>
        <v/>
      </c>
      <c r="S49" s="94">
        <f>IF(A49="","",COUNTIF(Dependencies!$F$5:$F$300,A49))</f>
        <v/>
      </c>
      <c r="T49" s="94">
        <f>IF(A49="","",IF(AND(OR(I49="Implemented",I49="Verified"),J49=""),"⚠ Sem link de código",IF(AND(I49="Verified",K49=""),"⚠ Sem evidência",IF(OR(P49="Sim",D49="TBD (owner pending)"),"◐ Proprietário pendente",IF(R49+S49=0,"○ Sem relações","✔ OK")))))</f>
        <v/>
      </c>
    </row>
    <row r="50" ht="15" customHeight="1" s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4">
        <f>IF(A50="","",COUNTIF(Dependencies!$B$5:$B$300,A50))</f>
        <v/>
      </c>
      <c r="S50" s="94">
        <f>IF(A50="","",COUNTIF(Dependencies!$F$5:$F$300,A50))</f>
        <v/>
      </c>
      <c r="T50" s="94">
        <f>IF(A50="","",IF(AND(OR(I50="Implemented",I50="Verified"),J50=""),"⚠ Sem link de código",IF(AND(I50="Verified",K50=""),"⚠ Sem evidência",IF(OR(P50="Sim",D50="TBD (owner pending)"),"◐ Proprietário pendente",IF(R50+S50=0,"○ Sem relações","✔ OK")))))</f>
        <v/>
      </c>
    </row>
    <row r="51" ht="15" customHeight="1" s="50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4">
        <f>IF(A51="","",COUNTIF(Dependencies!$B$5:$B$300,A51))</f>
        <v/>
      </c>
      <c r="S51" s="94">
        <f>IF(A51="","",COUNTIF(Dependencies!$F$5:$F$300,A51))</f>
        <v/>
      </c>
      <c r="T51" s="94">
        <f>IF(A51="","",IF(AND(OR(I51="Implemented",I51="Verified"),J51=""),"⚠ Sem link de código",IF(AND(I51="Verified",K51=""),"⚠ Sem evidência",IF(OR(P51="Sim",D51="TBD (owner pending)"),"◐ Proprietário pendente",IF(R51+S51=0,"○ Sem relações","✔ OK")))))</f>
        <v/>
      </c>
    </row>
    <row r="52" ht="15" customHeight="1" s="50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4">
        <f>IF(A52="","",COUNTIF(Dependencies!$B$5:$B$300,A52))</f>
        <v/>
      </c>
      <c r="S52" s="94">
        <f>IF(A52="","",COUNTIF(Dependencies!$F$5:$F$300,A52))</f>
        <v/>
      </c>
      <c r="T52" s="94">
        <f>IF(A52="","",IF(AND(OR(I52="Implemented",I52="Verified"),J52=""),"⚠ Sem link de código",IF(AND(I52="Verified",K52=""),"⚠ Sem evidência",IF(OR(P52="Sim",D52="TBD (owner pending)"),"◐ Proprietário pendente",IF(R52+S52=0,"○ Sem relações","✔ OK")))))</f>
        <v/>
      </c>
    </row>
    <row r="53" ht="15" customHeight="1" s="50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4">
        <f>IF(A53="","",COUNTIF(Dependencies!$B$5:$B$300,A53))</f>
        <v/>
      </c>
      <c r="S53" s="94">
        <f>IF(A53="","",COUNTIF(Dependencies!$F$5:$F$300,A53))</f>
        <v/>
      </c>
      <c r="T53" s="94">
        <f>IF(A53="","",IF(AND(OR(I53="Implemented",I53="Verified"),J53=""),"⚠ Sem link de código",IF(AND(I53="Verified",K53=""),"⚠ Sem evidência",IF(OR(P53="Sim",D53="TBD (owner pending)"),"◐ Proprietário pendente",IF(R53+S53=0,"○ Sem relações","✔ OK")))))</f>
        <v/>
      </c>
    </row>
    <row r="54" ht="15" customHeight="1" s="50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4">
        <f>IF(A54="","",COUNTIF(Dependencies!$B$5:$B$300,A54))</f>
        <v/>
      </c>
      <c r="S54" s="94">
        <f>IF(A54="","",COUNTIF(Dependencies!$F$5:$F$300,A54))</f>
        <v/>
      </c>
      <c r="T54" s="94">
        <f>IF(A54="","",IF(AND(OR(I54="Implemented",I54="Verified"),J54=""),"⚠ Sem link de código",IF(AND(I54="Verified",K54=""),"⚠ Sem evidência",IF(OR(P54="Sim",D54="TBD (owner pending)"),"◐ Proprietário pendente",IF(R54+S54=0,"○ Sem relações","✔ OK")))))</f>
        <v/>
      </c>
    </row>
    <row r="55" ht="15" customHeight="1" s="50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4">
        <f>IF(A55="","",COUNTIF(Dependencies!$B$5:$B$300,A55))</f>
        <v/>
      </c>
      <c r="S55" s="94">
        <f>IF(A55="","",COUNTIF(Dependencies!$F$5:$F$300,A55))</f>
        <v/>
      </c>
      <c r="T55" s="94">
        <f>IF(A55="","",IF(AND(OR(I55="Implemented",I55="Verified"),J55=""),"⚠ Sem link de código",IF(AND(I55="Verified",K55=""),"⚠ Sem evidência",IF(OR(P55="Sim",D55="TBD (owner pending)"),"◐ Proprietário pendente",IF(R55+S55=0,"○ Sem relações","✔ OK")))))</f>
        <v/>
      </c>
    </row>
    <row r="56" ht="15" customHeight="1" s="50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  <c r="R56" s="94">
        <f>IF(A56="","",COUNTIF(Dependencies!$B$5:$B$300,A56))</f>
        <v/>
      </c>
      <c r="S56" s="94">
        <f>IF(A56="","",COUNTIF(Dependencies!$F$5:$F$300,A56))</f>
        <v/>
      </c>
      <c r="T56" s="94">
        <f>IF(A56="","",IF(AND(OR(I56="Implemented",I56="Verified"),J56=""),"⚠ Sem link de código",IF(AND(I56="Verified",K56=""),"⚠ Sem evidência",IF(OR(P56="Sim",D56="TBD (owner pending)"),"◐ Proprietário pendente",IF(R56+S56=0,"○ Sem relações","✔ OK")))))</f>
        <v/>
      </c>
    </row>
    <row r="57" ht="15" customHeight="1" s="50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4">
        <f>IF(A57="","",COUNTIF(Dependencies!$B$5:$B$300,A57))</f>
        <v/>
      </c>
      <c r="S57" s="94">
        <f>IF(A57="","",COUNTIF(Dependencies!$F$5:$F$300,A57))</f>
        <v/>
      </c>
      <c r="T57" s="94">
        <f>IF(A57="","",IF(AND(OR(I57="Implemented",I57="Verified"),J57=""),"⚠ Sem link de código",IF(AND(I57="Verified",K57=""),"⚠ Sem evidência",IF(OR(P57="Sim",D57="TBD (owner pending)"),"◐ Proprietário pendente",IF(R57+S57=0,"○ Sem relações","✔ OK")))))</f>
        <v/>
      </c>
    </row>
    <row r="58" ht="15" customHeight="1" s="50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4">
        <f>IF(A58="","",COUNTIF(Dependencies!$B$5:$B$300,A58))</f>
        <v/>
      </c>
      <c r="S58" s="94">
        <f>IF(A58="","",COUNTIF(Dependencies!$F$5:$F$300,A58))</f>
        <v/>
      </c>
      <c r="T58" s="94">
        <f>IF(A58="","",IF(AND(OR(I58="Implemented",I58="Verified"),J58=""),"⚠ Sem link de código",IF(AND(I58="Verified",K58=""),"⚠ Sem evidência",IF(OR(P58="Sim",D58="TBD (owner pending)"),"◐ Proprietário pendente",IF(R58+S58=0,"○ Sem relações","✔ OK")))))</f>
        <v/>
      </c>
    </row>
    <row r="59" ht="15" customHeight="1" s="50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4">
        <f>IF(A59="","",COUNTIF(Dependencies!$B$5:$B$300,A59))</f>
        <v/>
      </c>
      <c r="S59" s="94">
        <f>IF(A59="","",COUNTIF(Dependencies!$F$5:$F$300,A59))</f>
        <v/>
      </c>
      <c r="T59" s="94">
        <f>IF(A59="","",IF(AND(OR(I59="Implemented",I59="Verified"),J59=""),"⚠ Sem link de código",IF(AND(I59="Verified",K59=""),"⚠ Sem evidência",IF(OR(P59="Sim",D59="TBD (owner pending)"),"◐ Proprietário pendente",IF(R59+S59=0,"○ Sem relações","✔ OK")))))</f>
        <v/>
      </c>
    </row>
    <row r="60" ht="15" customHeight="1" s="5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4">
        <f>IF(A60="","",COUNTIF(Dependencies!$B$5:$B$300,A60))</f>
        <v/>
      </c>
      <c r="S60" s="94">
        <f>IF(A60="","",COUNTIF(Dependencies!$F$5:$F$300,A60))</f>
        <v/>
      </c>
      <c r="T60" s="94">
        <f>IF(A60="","",IF(AND(OR(I60="Implemented",I60="Verified"),J60=""),"⚠ Sem link de código",IF(AND(I60="Verified",K60=""),"⚠ Sem evidência",IF(OR(P60="Sim",D60="TBD (owner pending)"),"◐ Proprietário pendente",IF(R60+S60=0,"○ Sem relações","✔ OK")))))</f>
        <v/>
      </c>
    </row>
    <row r="61" ht="15" customHeight="1" s="50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4">
        <f>IF(A61="","",COUNTIF(Dependencies!$B$5:$B$300,A61))</f>
        <v/>
      </c>
      <c r="S61" s="94">
        <f>IF(A61="","",COUNTIF(Dependencies!$F$5:$F$300,A61))</f>
        <v/>
      </c>
      <c r="T61" s="94">
        <f>IF(A61="","",IF(AND(OR(I61="Implemented",I61="Verified"),J61=""),"⚠ Sem link de código",IF(AND(I61="Verified",K61=""),"⚠ Sem evidência",IF(OR(P61="Sim",D61="TBD (owner pending)"),"◐ Proprietário pendente",IF(R61+S61=0,"○ Sem relações","✔ OK")))))</f>
        <v/>
      </c>
    </row>
    <row r="62" ht="15" customHeight="1" s="50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4">
        <f>IF(A62="","",COUNTIF(Dependencies!$B$5:$B$300,A62))</f>
        <v/>
      </c>
      <c r="S62" s="94">
        <f>IF(A62="","",COUNTIF(Dependencies!$F$5:$F$300,A62))</f>
        <v/>
      </c>
      <c r="T62" s="94">
        <f>IF(A62="","",IF(AND(OR(I62="Implemented",I62="Verified"),J62=""),"⚠ Sem link de código",IF(AND(I62="Verified",K62=""),"⚠ Sem evidência",IF(OR(P62="Sim",D62="TBD (owner pending)"),"◐ Proprietário pendente",IF(R62+S62=0,"○ Sem relações","✔ OK")))))</f>
        <v/>
      </c>
    </row>
    <row r="63" ht="15" customHeight="1" s="50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4">
        <f>IF(A63="","",COUNTIF(Dependencies!$B$5:$B$300,A63))</f>
        <v/>
      </c>
      <c r="S63" s="94">
        <f>IF(A63="","",COUNTIF(Dependencies!$F$5:$F$300,A63))</f>
        <v/>
      </c>
      <c r="T63" s="94">
        <f>IF(A63="","",IF(AND(OR(I63="Implemented",I63="Verified"),J63=""),"⚠ Sem link de código",IF(AND(I63="Verified",K63=""),"⚠ Sem evidência",IF(OR(P63="Sim",D63="TBD (owner pending)"),"◐ Proprietário pendente",IF(R63+S63=0,"○ Sem relações","✔ OK")))))</f>
        <v/>
      </c>
    </row>
    <row r="64" ht="15" customHeight="1" s="50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4">
        <f>IF(A64="","",COUNTIF(Dependencies!$B$5:$B$300,A64))</f>
        <v/>
      </c>
      <c r="S64" s="94">
        <f>IF(A64="","",COUNTIF(Dependencies!$F$5:$F$300,A64))</f>
        <v/>
      </c>
      <c r="T64" s="94">
        <f>IF(A64="","",IF(AND(OR(I64="Implemented",I64="Verified"),J64=""),"⚠ Sem link de código",IF(AND(I64="Verified",K64=""),"⚠ Sem evidência",IF(OR(P64="Sim",D64="TBD (owner pending)"),"◐ Proprietário pendente",IF(R64+S64=0,"○ Sem relações","✔ OK")))))</f>
        <v/>
      </c>
    </row>
    <row r="65" ht="15" customHeight="1" s="50">
      <c r="R65" s="94">
        <f>IF(A65="","",COUNTIF(Dependencies!$B$5:$B$300,A65))</f>
        <v/>
      </c>
      <c r="S65" s="94">
        <f>IF(A65="","",COUNTIF(Dependencies!$F$5:$F$300,A65))</f>
        <v/>
      </c>
      <c r="T65" s="94">
        <f>IF(A65="","",IF(AND(OR(I65="Implemented",I65="Verified"),J65=""),"⚠ Sem link de código",IF(AND(I65="Verified",K65=""),"⚠ Sem evidência",IF(OR(P65="Sim",D65="TBD (owner pending)"),"◐ Proprietário pendente",IF(R65+S65=0,"○ Sem relações","✔ OK")))))</f>
        <v/>
      </c>
    </row>
    <row r="66" ht="15" customHeight="1" s="50">
      <c r="R66" s="94">
        <f>IF(A66="","",COUNTIF(Dependencies!$B$5:$B$300,A66))</f>
        <v/>
      </c>
      <c r="S66" s="94">
        <f>IF(A66="","",COUNTIF(Dependencies!$F$5:$F$300,A66))</f>
        <v/>
      </c>
      <c r="T66" s="94">
        <f>IF(A66="","",IF(AND(OR(I66="Implemented",I66="Verified"),J66=""),"⚠ Sem link de código",IF(AND(I66="Verified",K66=""),"⚠ Sem evidência",IF(OR(P66="Sim",D66="TBD (owner pending)"),"◐ Proprietário pendente",IF(R66+S66=0,"○ Sem relações","✔ OK")))))</f>
        <v/>
      </c>
    </row>
    <row r="67" ht="15" customHeight="1" s="50">
      <c r="R67" s="94">
        <f>IF(A67="","",COUNTIF(Dependencies!$B$5:$B$300,A67))</f>
        <v/>
      </c>
      <c r="S67" s="94">
        <f>IF(A67="","",COUNTIF(Dependencies!$F$5:$F$300,A67))</f>
        <v/>
      </c>
      <c r="T67" s="94">
        <f>IF(A67="","",IF(AND(OR(I67="Implemented",I67="Verified"),J67=""),"⚠ Sem link de código",IF(AND(I67="Verified",K67=""),"⚠ Sem evidência",IF(OR(P67="Sim",D67="TBD (owner pending)"),"◐ Proprietário pendente",IF(R67+S67=0,"○ Sem relações","✔ OK")))))</f>
        <v/>
      </c>
    </row>
    <row r="68" ht="15" customHeight="1" s="50">
      <c r="R68" s="94">
        <f>IF(A68="","",COUNTIF(Dependencies!$B$5:$B$300,A68))</f>
        <v/>
      </c>
      <c r="S68" s="94">
        <f>IF(A68="","",COUNTIF(Dependencies!$F$5:$F$300,A68))</f>
        <v/>
      </c>
      <c r="T68" s="94">
        <f>IF(A68="","",IF(AND(OR(I68="Implemented",I68="Verified"),J68=""),"⚠ Sem link de código",IF(AND(I68="Verified",K68=""),"⚠ Sem evidência",IF(OR(P68="Sim",D68="TBD (owner pending)"),"◐ Proprietário pendente",IF(R68+S68=0,"○ Sem relações","✔ OK")))))</f>
        <v/>
      </c>
    </row>
    <row r="69" ht="15" customHeight="1" s="50">
      <c r="R69" s="94">
        <f>IF(A69="","",COUNTIF(Dependencies!$B$5:$B$300,A69))</f>
        <v/>
      </c>
      <c r="S69" s="94">
        <f>IF(A69="","",COUNTIF(Dependencies!$F$5:$F$300,A69))</f>
        <v/>
      </c>
      <c r="T69" s="94">
        <f>IF(A69="","",IF(AND(OR(I69="Implemented",I69="Verified"),J69=""),"⚠ Sem link de código",IF(AND(I69="Verified",K69=""),"⚠ Sem evidência",IF(OR(P69="Sim",D69="TBD (owner pending)"),"◐ Proprietário pendente",IF(R69+S69=0,"○ Sem relações","✔ OK")))))</f>
        <v/>
      </c>
    </row>
    <row r="70" ht="15" customHeight="1" s="50">
      <c r="R70" s="94">
        <f>IF(A70="","",COUNTIF(Dependencies!$B$5:$B$300,A70))</f>
        <v/>
      </c>
      <c r="S70" s="94">
        <f>IF(A70="","",COUNTIF(Dependencies!$F$5:$F$300,A70))</f>
        <v/>
      </c>
      <c r="T70" s="94">
        <f>IF(A70="","",IF(AND(OR(I70="Implemented",I70="Verified"),J70=""),"⚠ Sem link de código",IF(AND(I70="Verified",K70=""),"⚠ Sem evidência",IF(OR(P70="Sim",D70="TBD (owner pending)"),"◐ Proprietário pendente",IF(R70+S70=0,"○ Sem relações","✔ OK")))))</f>
        <v/>
      </c>
    </row>
    <row r="71" ht="15" customHeight="1" s="50">
      <c r="R71" s="94">
        <f>IF(A71="","",COUNTIF(Dependencies!$B$5:$B$300,A71))</f>
        <v/>
      </c>
      <c r="S71" s="94">
        <f>IF(A71="","",COUNTIF(Dependencies!$F$5:$F$300,A71))</f>
        <v/>
      </c>
      <c r="T71" s="94">
        <f>IF(A71="","",IF(AND(OR(I71="Implemented",I71="Verified"),J71=""),"⚠ Sem link de código",IF(AND(I71="Verified",K71=""),"⚠ Sem evidência",IF(OR(P71="Sim",D71="TBD (owner pending)"),"◐ Proprietário pendente",IF(R71+S71=0,"○ Sem relações","✔ OK")))))</f>
        <v/>
      </c>
    </row>
    <row r="72" ht="15" customHeight="1" s="50">
      <c r="R72" s="94">
        <f>IF(A72="","",COUNTIF(Dependencies!$B$5:$B$300,A72))</f>
        <v/>
      </c>
      <c r="S72" s="94">
        <f>IF(A72="","",COUNTIF(Dependencies!$F$5:$F$300,A72))</f>
        <v/>
      </c>
      <c r="T72" s="94">
        <f>IF(A72="","",IF(AND(OR(I72="Implemented",I72="Verified"),J72=""),"⚠ Sem link de código",IF(AND(I72="Verified",K72=""),"⚠ Sem evidência",IF(OR(P72="Sim",D72="TBD (owner pending)"),"◐ Proprietário pendente",IF(R72+S72=0,"○ Sem relações","✔ OK")))))</f>
        <v/>
      </c>
    </row>
    <row r="73" ht="15" customHeight="1" s="50">
      <c r="R73" s="94">
        <f>IF(A73="","",COUNTIF(Dependencies!$B$5:$B$300,A73))</f>
        <v/>
      </c>
      <c r="S73" s="94">
        <f>IF(A73="","",COUNTIF(Dependencies!$F$5:$F$300,A73))</f>
        <v/>
      </c>
      <c r="T73" s="94">
        <f>IF(A73="","",IF(AND(OR(I73="Implemented",I73="Verified"),J73=""),"⚠ Sem link de código",IF(AND(I73="Verified",K73=""),"⚠ Sem evidência",IF(OR(P73="Sim",D73="TBD (owner pending)"),"◐ Proprietário pendente",IF(R73+S73=0,"○ Sem relações","✔ OK")))))</f>
        <v/>
      </c>
    </row>
    <row r="74" ht="15" customHeight="1" s="50">
      <c r="R74" s="94">
        <f>IF(A74="","",COUNTIF(Dependencies!$B$5:$B$300,A74))</f>
        <v/>
      </c>
      <c r="S74" s="94">
        <f>IF(A74="","",COUNTIF(Dependencies!$F$5:$F$300,A74))</f>
        <v/>
      </c>
      <c r="T74" s="94">
        <f>IF(A74="","",IF(AND(OR(I74="Implemented",I74="Verified"),J74=""),"⚠ Sem link de código",IF(AND(I74="Verified",K74=""),"⚠ Sem evidência",IF(OR(P74="Sim",D74="TBD (owner pending)"),"◐ Proprietário pendente",IF(R74+S74=0,"○ Sem relações","✔ OK")))))</f>
        <v/>
      </c>
    </row>
    <row r="75" ht="15" customHeight="1" s="50">
      <c r="R75" s="94">
        <f>IF(A75="","",COUNTIF(Dependencies!$B$5:$B$300,A75))</f>
        <v/>
      </c>
      <c r="S75" s="94">
        <f>IF(A75="","",COUNTIF(Dependencies!$F$5:$F$300,A75))</f>
        <v/>
      </c>
      <c r="T75" s="94">
        <f>IF(A75="","",IF(AND(OR(I75="Implemented",I75="Verified"),J75=""),"⚠ Sem link de código",IF(AND(I75="Verified",K75=""),"⚠ Sem evidência",IF(OR(P75="Sim",D75="TBD (owner pending)"),"◐ Proprietário pendente",IF(R75+S75=0,"○ Sem relações","✔ OK")))))</f>
        <v/>
      </c>
    </row>
    <row r="76" ht="15" customHeight="1" s="50">
      <c r="R76" s="94">
        <f>IF(A76="","",COUNTIF(Dependencies!$B$5:$B$300,A76))</f>
        <v/>
      </c>
      <c r="S76" s="94">
        <f>IF(A76="","",COUNTIF(Dependencies!$F$5:$F$300,A76))</f>
        <v/>
      </c>
      <c r="T76" s="94">
        <f>IF(A76="","",IF(AND(OR(I76="Implemented",I76="Verified"),J76=""),"⚠ Sem link de código",IF(AND(I76="Verified",K76=""),"⚠ Sem evidência",IF(OR(P76="Sim",D76="TBD (owner pending)"),"◐ Proprietário pendente",IF(R76+S76=0,"○ Sem relações","✔ OK")))))</f>
        <v/>
      </c>
    </row>
    <row r="77" ht="15" customHeight="1" s="50">
      <c r="R77" s="94">
        <f>IF(A77="","",COUNTIF(Dependencies!$B$5:$B$300,A77))</f>
        <v/>
      </c>
      <c r="S77" s="94">
        <f>IF(A77="","",COUNTIF(Dependencies!$F$5:$F$300,A77))</f>
        <v/>
      </c>
      <c r="T77" s="94">
        <f>IF(A77="","",IF(AND(OR(I77="Implemented",I77="Verified"),J77=""),"⚠ Sem link de código",IF(AND(I77="Verified",K77=""),"⚠ Sem evidência",IF(OR(P77="Sim",D77="TBD (owner pending)"),"◐ Proprietário pendente",IF(R77+S77=0,"○ Sem relações","✔ OK")))))</f>
        <v/>
      </c>
    </row>
    <row r="78" ht="15" customHeight="1" s="50">
      <c r="R78" s="94">
        <f>IF(A78="","",COUNTIF(Dependencies!$B$5:$B$300,A78))</f>
        <v/>
      </c>
      <c r="S78" s="94">
        <f>IF(A78="","",COUNTIF(Dependencies!$F$5:$F$300,A78))</f>
        <v/>
      </c>
      <c r="T78" s="94">
        <f>IF(A78="","",IF(AND(OR(I78="Implemented",I78="Verified"),J78=""),"⚠ Sem link de código",IF(AND(I78="Verified",K78=""),"⚠ Sem evidência",IF(OR(P78="Sim",D78="TBD (owner pending)"),"◐ Proprietário pendente",IF(R78+S78=0,"○ Sem relações","✔ OK")))))</f>
        <v/>
      </c>
    </row>
    <row r="79" ht="15" customHeight="1" s="50">
      <c r="R79" s="94">
        <f>IF(A79="","",COUNTIF(Dependencies!$B$5:$B$300,A79))</f>
        <v/>
      </c>
      <c r="S79" s="94">
        <f>IF(A79="","",COUNTIF(Dependencies!$F$5:$F$300,A79))</f>
        <v/>
      </c>
      <c r="T79" s="94">
        <f>IF(A79="","",IF(AND(OR(I79="Implemented",I79="Verified"),J79=""),"⚠ Sem link de código",IF(AND(I79="Verified",K79=""),"⚠ Sem evidência",IF(OR(P79="Sim",D79="TBD (owner pending)"),"◐ Proprietário pendente",IF(R79+S79=0,"○ Sem relações","✔ OK")))))</f>
        <v/>
      </c>
    </row>
    <row r="80" ht="15" customHeight="1" s="50">
      <c r="R80" s="94">
        <f>IF(A80="","",COUNTIF(Dependencies!$B$5:$B$300,A80))</f>
        <v/>
      </c>
      <c r="S80" s="94">
        <f>IF(A80="","",COUNTIF(Dependencies!$F$5:$F$300,A80))</f>
        <v/>
      </c>
      <c r="T80" s="94">
        <f>IF(A80="","",IF(AND(OR(I80="Implemented",I80="Verified"),J80=""),"⚠ Sem link de código",IF(AND(I80="Verified",K80=""),"⚠ Sem evidência",IF(OR(P80="Sim",D80="TBD (owner pending)"),"◐ Proprietário pendente",IF(R80+S80=0,"○ Sem relações","✔ OK")))))</f>
        <v/>
      </c>
    </row>
    <row r="81" ht="15" customHeight="1" s="50">
      <c r="R81" s="94">
        <f>IF(A81="","",COUNTIF(Dependencies!$B$5:$B$300,A81))</f>
        <v/>
      </c>
      <c r="S81" s="94">
        <f>IF(A81="","",COUNTIF(Dependencies!$F$5:$F$300,A81))</f>
        <v/>
      </c>
      <c r="T81" s="94">
        <f>IF(A81="","",IF(AND(OR(I81="Implemented",I81="Verified"),J81=""),"⚠ Sem link de código",IF(AND(I81="Verified",K81=""),"⚠ Sem evidência",IF(OR(P81="Sim",D81="TBD (owner pending)"),"◐ Proprietário pendente",IF(R81+S81=0,"○ Sem relações","✔ OK")))))</f>
        <v/>
      </c>
    </row>
    <row r="82" ht="15" customHeight="1" s="50">
      <c r="R82" s="94">
        <f>IF(A82="","",COUNTIF(Dependencies!$B$5:$B$300,A82))</f>
        <v/>
      </c>
      <c r="S82" s="94">
        <f>IF(A82="","",COUNTIF(Dependencies!$F$5:$F$300,A82))</f>
        <v/>
      </c>
      <c r="T82" s="94">
        <f>IF(A82="","",IF(AND(OR(I82="Implemented",I82="Verified"),J82=""),"⚠ Sem link de código",IF(AND(I82="Verified",K82=""),"⚠ Sem evidência",IF(OR(P82="Sim",D82="TBD (owner pending)"),"◐ Proprietário pendente",IF(R82+S82=0,"○ Sem relações","✔ OK")))))</f>
        <v/>
      </c>
    </row>
    <row r="83" ht="15" customHeight="1" s="50">
      <c r="R83" s="94">
        <f>IF(A83="","",COUNTIF(Dependencies!$B$5:$B$300,A83))</f>
        <v/>
      </c>
      <c r="S83" s="94">
        <f>IF(A83="","",COUNTIF(Dependencies!$F$5:$F$300,A83))</f>
        <v/>
      </c>
      <c r="T83" s="94">
        <f>IF(A83="","",IF(AND(OR(I83="Implemented",I83="Verified"),J83=""),"⚠ Sem link de código",IF(AND(I83="Verified",K83=""),"⚠ Sem evidência",IF(OR(P83="Sim",D83="TBD (owner pending)"),"◐ Proprietário pendente",IF(R83+S83=0,"○ Sem relações","✔ OK")))))</f>
        <v/>
      </c>
    </row>
    <row r="84" ht="15" customHeight="1" s="50">
      <c r="R84" s="94">
        <f>IF(A84="","",COUNTIF(Dependencies!$B$5:$B$300,A84))</f>
        <v/>
      </c>
      <c r="S84" s="94">
        <f>IF(A84="","",COUNTIF(Dependencies!$F$5:$F$300,A84))</f>
        <v/>
      </c>
      <c r="T84" s="94">
        <f>IF(A84="","",IF(AND(OR(I84="Implemented",I84="Verified"),J84=""),"⚠ Sem link de código",IF(AND(I84="Verified",K84=""),"⚠ Sem evidência",IF(OR(P84="Sim",D84="TBD (owner pending)"),"◐ Proprietário pendente",IF(R84+S84=0,"○ Sem relações","✔ OK")))))</f>
        <v/>
      </c>
    </row>
    <row r="85" ht="15" customHeight="1" s="50">
      <c r="R85" s="94">
        <f>IF(A85="","",COUNTIF(Dependencies!$B$5:$B$300,A85))</f>
        <v/>
      </c>
      <c r="S85" s="94">
        <f>IF(A85="","",COUNTIF(Dependencies!$F$5:$F$300,A85))</f>
        <v/>
      </c>
      <c r="T85" s="94">
        <f>IF(A85="","",IF(AND(OR(I85="Implemented",I85="Verified"),J85=""),"⚠ Sem link de código",IF(AND(I85="Verified",K85=""),"⚠ Sem evidência",IF(OR(P85="Sim",D85="TBD (owner pending)"),"◐ Proprietário pendente",IF(R85+S85=0,"○ Sem relações","✔ OK")))))</f>
        <v/>
      </c>
    </row>
    <row r="86" ht="15" customHeight="1" s="50">
      <c r="R86" s="94">
        <f>IF(A86="","",COUNTIF(Dependencies!$B$5:$B$300,A86))</f>
        <v/>
      </c>
      <c r="S86" s="94">
        <f>IF(A86="","",COUNTIF(Dependencies!$F$5:$F$300,A86))</f>
        <v/>
      </c>
      <c r="T86" s="94">
        <f>IF(A86="","",IF(AND(OR(I86="Implemented",I86="Verified"),J86=""),"⚠ Sem link de código",IF(AND(I86="Verified",K86=""),"⚠ Sem evidência",IF(OR(P86="Sim",D86="TBD (owner pending)"),"◐ Proprietário pendente",IF(R86+S86=0,"○ Sem relações","✔ OK")))))</f>
        <v/>
      </c>
    </row>
    <row r="87" ht="15" customHeight="1" s="50">
      <c r="R87" s="94">
        <f>IF(A87="","",COUNTIF(Dependencies!$B$5:$B$300,A87))</f>
        <v/>
      </c>
      <c r="S87" s="94">
        <f>IF(A87="","",COUNTIF(Dependencies!$F$5:$F$300,A87))</f>
        <v/>
      </c>
      <c r="T87" s="94">
        <f>IF(A87="","",IF(AND(OR(I87="Implemented",I87="Verified"),J87=""),"⚠ Sem link de código",IF(AND(I87="Verified",K87=""),"⚠ Sem evidência",IF(OR(P87="Sim",D87="TBD (owner pending)"),"◐ Proprietário pendente",IF(R87+S87=0,"○ Sem relações","✔ OK")))))</f>
        <v/>
      </c>
    </row>
    <row r="88" ht="15" customHeight="1" s="50">
      <c r="R88" s="94">
        <f>IF(A88="","",COUNTIF(Dependencies!$B$5:$B$300,A88))</f>
        <v/>
      </c>
      <c r="S88" s="94">
        <f>IF(A88="","",COUNTIF(Dependencies!$F$5:$F$300,A88))</f>
        <v/>
      </c>
      <c r="T88" s="94">
        <f>IF(A88="","",IF(AND(OR(I88="Implemented",I88="Verified"),J88=""),"⚠ Sem link de código",IF(AND(I88="Verified",K88=""),"⚠ Sem evidência",IF(OR(P88="Sim",D88="TBD (owner pending)"),"◐ Proprietário pendente",IF(R88+S88=0,"○ Sem relações","✔ OK")))))</f>
        <v/>
      </c>
    </row>
    <row r="89" ht="15" customHeight="1" s="50">
      <c r="R89" s="94">
        <f>IF(A89="","",COUNTIF(Dependencies!$B$5:$B$300,A89))</f>
        <v/>
      </c>
      <c r="S89" s="94">
        <f>IF(A89="","",COUNTIF(Dependencies!$F$5:$F$300,A89))</f>
        <v/>
      </c>
      <c r="T89" s="94">
        <f>IF(A89="","",IF(AND(OR(I89="Implemented",I89="Verified"),J89=""),"⚠ Sem link de código",IF(AND(I89="Verified",K89=""),"⚠ Sem evidência",IF(OR(P89="Sim",D89="TBD (owner pending)"),"◐ Proprietário pendente",IF(R89+S89=0,"○ Sem relações","✔ OK")))))</f>
        <v/>
      </c>
    </row>
    <row r="90" ht="15" customHeight="1" s="50">
      <c r="R90" s="94">
        <f>IF(A90="","",COUNTIF(Dependencies!$B$5:$B$300,A90))</f>
        <v/>
      </c>
      <c r="S90" s="94">
        <f>IF(A90="","",COUNTIF(Dependencies!$F$5:$F$300,A90))</f>
        <v/>
      </c>
      <c r="T90" s="94">
        <f>IF(A90="","",IF(AND(OR(I90="Implemented",I90="Verified"),J90=""),"⚠ Sem link de código",IF(AND(I90="Verified",K90=""),"⚠ Sem evidência",IF(OR(P90="Sim",D90="TBD (owner pending)"),"◐ Proprietário pendente",IF(R90+S90=0,"○ Sem relações","✔ OK")))))</f>
        <v/>
      </c>
    </row>
    <row r="91" ht="15" customHeight="1" s="50">
      <c r="R91" s="94">
        <f>IF(A91="","",COUNTIF(Dependencies!$B$5:$B$300,A91))</f>
        <v/>
      </c>
      <c r="S91" s="94">
        <f>IF(A91="","",COUNTIF(Dependencies!$F$5:$F$300,A91))</f>
        <v/>
      </c>
      <c r="T91" s="94">
        <f>IF(A91="","",IF(AND(OR(I91="Implemented",I91="Verified"),J91=""),"⚠ Sem link de código",IF(AND(I91="Verified",K91=""),"⚠ Sem evidência",IF(OR(P91="Sim",D91="TBD (owner pending)"),"◐ Proprietário pendente",IF(R91+S91=0,"○ Sem relações","✔ OK")))))</f>
        <v/>
      </c>
    </row>
    <row r="92" ht="15" customHeight="1" s="50">
      <c r="R92" s="94">
        <f>IF(A92="","",COUNTIF(Dependencies!$B$5:$B$300,A92))</f>
        <v/>
      </c>
      <c r="S92" s="94">
        <f>IF(A92="","",COUNTIF(Dependencies!$F$5:$F$300,A92))</f>
        <v/>
      </c>
      <c r="T92" s="94">
        <f>IF(A92="","",IF(AND(OR(I92="Implemented",I92="Verified"),J92=""),"⚠ Sem link de código",IF(AND(I92="Verified",K92=""),"⚠ Sem evidência",IF(OR(P92="Sim",D92="TBD (owner pending)"),"◐ Proprietário pendente",IF(R92+S92=0,"○ Sem relações","✔ OK")))))</f>
        <v/>
      </c>
    </row>
    <row r="93" ht="15" customHeight="1" s="50">
      <c r="R93" s="94">
        <f>IF(A93="","",COUNTIF(Dependencies!$B$5:$B$300,A93))</f>
        <v/>
      </c>
      <c r="S93" s="94">
        <f>IF(A93="","",COUNTIF(Dependencies!$F$5:$F$300,A93))</f>
        <v/>
      </c>
      <c r="T93" s="94">
        <f>IF(A93="","",IF(AND(OR(I93="Implemented",I93="Verified"),J93=""),"⚠ Sem link de código",IF(AND(I93="Verified",K93=""),"⚠ Sem evidência",IF(OR(P93="Sim",D93="TBD (owner pending)"),"◐ Proprietário pendente",IF(R93+S93=0,"○ Sem relações","✔ OK")))))</f>
        <v/>
      </c>
    </row>
    <row r="94" ht="15" customHeight="1" s="50">
      <c r="R94" s="94">
        <f>IF(A94="","",COUNTIF(Dependencies!$B$5:$B$300,A94))</f>
        <v/>
      </c>
      <c r="S94" s="94">
        <f>IF(A94="","",COUNTIF(Dependencies!$F$5:$F$300,A94))</f>
        <v/>
      </c>
      <c r="T94" s="94">
        <f>IF(A94="","",IF(AND(OR(I94="Implemented",I94="Verified"),J94=""),"⚠ Sem link de código",IF(AND(I94="Verified",K94=""),"⚠ Sem evidência",IF(OR(P94="Sim",D94="TBD (owner pending)"),"◐ Proprietário pendente",IF(R94+S94=0,"○ Sem relações","✔ OK")))))</f>
        <v/>
      </c>
    </row>
    <row r="95" ht="15" customHeight="1" s="50">
      <c r="R95" s="94">
        <f>IF(A95="","",COUNTIF(Dependencies!$B$5:$B$300,A95))</f>
        <v/>
      </c>
      <c r="S95" s="94">
        <f>IF(A95="","",COUNTIF(Dependencies!$F$5:$F$300,A95))</f>
        <v/>
      </c>
      <c r="T95" s="94">
        <f>IF(A95="","",IF(AND(OR(I95="Implemented",I95="Verified"),J95=""),"⚠ Sem link de código",IF(AND(I95="Verified",K95=""),"⚠ Sem evidência",IF(OR(P95="Sim",D95="TBD (owner pending)"),"◐ Proprietário pendente",IF(R95+S95=0,"○ Sem relações","✔ OK")))))</f>
        <v/>
      </c>
    </row>
    <row r="96" ht="15" customHeight="1" s="50">
      <c r="R96" s="94">
        <f>IF(A96="","",COUNTIF(Dependencies!$B$5:$B$300,A96))</f>
        <v/>
      </c>
      <c r="S96" s="94">
        <f>IF(A96="","",COUNTIF(Dependencies!$F$5:$F$300,A96))</f>
        <v/>
      </c>
      <c r="T96" s="94">
        <f>IF(A96="","",IF(AND(OR(I96="Implemented",I96="Verified"),J96=""),"⚠ Sem link de código",IF(AND(I96="Verified",K96=""),"⚠ Sem evidência",IF(OR(P96="Sim",D96="TBD (owner pending)"),"◐ Proprietário pendente",IF(R96+S96=0,"○ Sem relações","✔ OK")))))</f>
        <v/>
      </c>
    </row>
    <row r="97" ht="15" customHeight="1" s="50">
      <c r="R97" s="94">
        <f>IF(A97="","",COUNTIF(Dependencies!$B$5:$B$300,A97))</f>
        <v/>
      </c>
      <c r="S97" s="94">
        <f>IF(A97="","",COUNTIF(Dependencies!$F$5:$F$300,A97))</f>
        <v/>
      </c>
      <c r="T97" s="94">
        <f>IF(A97="","",IF(AND(OR(I97="Implemented",I97="Verified"),J97=""),"⚠ Sem link de código",IF(AND(I97="Verified",K97=""),"⚠ Sem evidência",IF(OR(P97="Sim",D97="TBD (owner pending)"),"◐ Proprietário pendente",IF(R97+S97=0,"○ Sem relações","✔ OK")))))</f>
        <v/>
      </c>
    </row>
    <row r="98" ht="15" customHeight="1" s="50">
      <c r="R98" s="94">
        <f>IF(A98="","",COUNTIF(Dependencies!$B$5:$B$300,A98))</f>
        <v/>
      </c>
      <c r="S98" s="94">
        <f>IF(A98="","",COUNTIF(Dependencies!$F$5:$F$300,A98))</f>
        <v/>
      </c>
      <c r="T98" s="94">
        <f>IF(A98="","",IF(AND(OR(I98="Implemented",I98="Verified"),J98=""),"⚠ Sem link de código",IF(AND(I98="Verified",K98=""),"⚠ Sem evidência",IF(OR(P98="Sim",D98="TBD (owner pending)"),"◐ Proprietário pendente",IF(R98+S98=0,"○ Sem relações","✔ OK")))))</f>
        <v/>
      </c>
    </row>
    <row r="99" ht="15" customHeight="1" s="50">
      <c r="R99" s="94">
        <f>IF(A99="","",COUNTIF(Dependencies!$B$5:$B$300,A99))</f>
        <v/>
      </c>
      <c r="S99" s="94">
        <f>IF(A99="","",COUNTIF(Dependencies!$F$5:$F$300,A99))</f>
        <v/>
      </c>
      <c r="T99" s="94">
        <f>IF(A99="","",IF(AND(OR(I99="Implemented",I99="Verified"),J99=""),"⚠ Sem link de código",IF(AND(I99="Verified",K99=""),"⚠ Sem evidência",IF(OR(P99="Sim",D99="TBD (owner pending)"),"◐ Proprietário pendente",IF(R99+S99=0,"○ Sem relações","✔ OK")))))</f>
        <v/>
      </c>
    </row>
    <row r="100" ht="15" customHeight="1" s="50">
      <c r="R100" s="94">
        <f>IF(A100="","",COUNTIF(Dependencies!$B$5:$B$300,A100))</f>
        <v/>
      </c>
      <c r="S100" s="94">
        <f>IF(A100="","",COUNTIF(Dependencies!$F$5:$F$300,A100))</f>
        <v/>
      </c>
      <c r="T100" s="94">
        <f>IF(A100="","",IF(AND(OR(I100="Implemented",I100="Verified"),J100=""),"⚠ Sem link de código",IF(AND(I100="Verified",K100=""),"⚠ Sem evidência",IF(OR(P100="Sim",D100="TBD (owner pending)"),"◐ Proprietário pendente",IF(R100+S100=0,"○ Sem relações","✔ OK")))))</f>
        <v/>
      </c>
    </row>
    <row r="101" ht="15" customHeight="1" s="50">
      <c r="R101" s="94">
        <f>IF(A101="","",COUNTIF(Dependencies!$B$5:$B$300,A101))</f>
        <v/>
      </c>
      <c r="S101" s="94">
        <f>IF(A101="","",COUNTIF(Dependencies!$F$5:$F$300,A101))</f>
        <v/>
      </c>
      <c r="T101" s="94">
        <f>IF(A101="","",IF(AND(OR(I101="Implemented",I101="Verified"),J101=""),"⚠ Sem link de código",IF(AND(I101="Verified",K101=""),"⚠ Sem evidência",IF(OR(P101="Sim",D101="TBD (owner pending)"),"◐ Proprietário pendente",IF(R101+S101=0,"○ Sem relações","✔ OK")))))</f>
        <v/>
      </c>
    </row>
    <row r="102" ht="15" customHeight="1" s="50">
      <c r="R102" s="94">
        <f>IF(A102="","",COUNTIF(Dependencies!$B$5:$B$300,A102))</f>
        <v/>
      </c>
      <c r="S102" s="94">
        <f>IF(A102="","",COUNTIF(Dependencies!$F$5:$F$300,A102))</f>
        <v/>
      </c>
      <c r="T102" s="94">
        <f>IF(A102="","",IF(AND(OR(I102="Implemented",I102="Verified"),J102=""),"⚠ Sem link de código",IF(AND(I102="Verified",K102=""),"⚠ Sem evidência",IF(OR(P102="Sim",D102="TBD (owner pending)"),"◐ Proprietário pendente",IF(R102+S102=0,"○ Sem relações","✔ OK")))))</f>
        <v/>
      </c>
    </row>
    <row r="103" ht="15" customHeight="1" s="50">
      <c r="R103" s="94">
        <f>IF(A103="","",COUNTIF(Dependencies!$B$5:$B$300,A103))</f>
        <v/>
      </c>
      <c r="S103" s="94">
        <f>IF(A103="","",COUNTIF(Dependencies!$F$5:$F$300,A103))</f>
        <v/>
      </c>
      <c r="T103" s="94">
        <f>IF(A103="","",IF(AND(OR(I103="Implemented",I103="Verified"),J103=""),"⚠ Sem link de código",IF(AND(I103="Verified",K103=""),"⚠ Sem evidência",IF(OR(P103="Sim",D103="TBD (owner pending)"),"◐ Proprietário pendente",IF(R103+S103=0,"○ Sem relações","✔ OK")))))</f>
        <v/>
      </c>
    </row>
    <row r="104" ht="15" customHeight="1" s="50">
      <c r="R104" s="94">
        <f>IF(A104="","",COUNTIF(Dependencies!$B$5:$B$300,A104))</f>
        <v/>
      </c>
      <c r="S104" s="94">
        <f>IF(A104="","",COUNTIF(Dependencies!$F$5:$F$300,A104))</f>
        <v/>
      </c>
      <c r="T104" s="94">
        <f>IF(A104="","",IF(AND(OR(I104="Implemented",I104="Verified"),J104=""),"⚠ Sem link de código",IF(AND(I104="Verified",K104=""),"⚠ Sem evidência",IF(OR(P104="Sim",D104="TBD (owner pending)"),"◐ Proprietário pendente",IF(R104+S104=0,"○ Sem relações","✔ OK")))))</f>
        <v/>
      </c>
    </row>
    <row r="105" ht="15" customHeight="1" s="50">
      <c r="R105" s="94">
        <f>IF(A105="","",COUNTIF(Dependencies!$B$5:$B$300,A105))</f>
        <v/>
      </c>
      <c r="S105" s="94">
        <f>IF(A105="","",COUNTIF(Dependencies!$F$5:$F$300,A105))</f>
        <v/>
      </c>
      <c r="T105" s="94">
        <f>IF(A105="","",IF(AND(OR(I105="Implemented",I105="Verified"),J105=""),"⚠ Sem link de código",IF(AND(I105="Verified",K105=""),"⚠ Sem evidência",IF(OR(P105="Sim",D105="TBD (owner pending)"),"◐ Proprietário pendente",IF(R105+S105=0,"○ Sem relações","✔ OK")))))</f>
        <v/>
      </c>
    </row>
    <row r="106" ht="15" customHeight="1" s="50">
      <c r="R106" s="94">
        <f>IF(A106="","",COUNTIF(Dependencies!$B$5:$B$300,A106))</f>
        <v/>
      </c>
      <c r="S106" s="94">
        <f>IF(A106="","",COUNTIF(Dependencies!$F$5:$F$300,A106))</f>
        <v/>
      </c>
      <c r="T106" s="94">
        <f>IF(A106="","",IF(AND(OR(I106="Implemented",I106="Verified"),J106=""),"⚠ Sem link de código",IF(AND(I106="Verified",K106=""),"⚠ Sem evidência",IF(OR(P106="Sim",D106="TBD (owner pending)"),"◐ Proprietário pendente",IF(R106+S106=0,"○ Sem relações","✔ OK")))))</f>
        <v/>
      </c>
    </row>
    <row r="107" ht="15" customHeight="1" s="50">
      <c r="R107" s="94">
        <f>IF(A107="","",COUNTIF(Dependencies!$B$5:$B$300,A107))</f>
        <v/>
      </c>
      <c r="S107" s="94">
        <f>IF(A107="","",COUNTIF(Dependencies!$F$5:$F$300,A107))</f>
        <v/>
      </c>
      <c r="T107" s="94">
        <f>IF(A107="","",IF(AND(OR(I107="Implemented",I107="Verified"),J107=""),"⚠ Sem link de código",IF(AND(I107="Verified",K107=""),"⚠ Sem evidência",IF(OR(P107="Sim",D107="TBD (owner pending)"),"◐ Proprietário pendente",IF(R107+S107=0,"○ Sem relações","✔ OK")))))</f>
        <v/>
      </c>
    </row>
    <row r="108" ht="15" customHeight="1" s="50">
      <c r="R108" s="94">
        <f>IF(A108="","",COUNTIF(Dependencies!$B$5:$B$300,A108))</f>
        <v/>
      </c>
      <c r="S108" s="94">
        <f>IF(A108="","",COUNTIF(Dependencies!$F$5:$F$300,A108))</f>
        <v/>
      </c>
      <c r="T108" s="94">
        <f>IF(A108="","",IF(AND(OR(I108="Implemented",I108="Verified"),J108=""),"⚠ Sem link de código",IF(AND(I108="Verified",K108=""),"⚠ Sem evidência",IF(OR(P108="Sim",D108="TBD (owner pending)"),"◐ Proprietário pendente",IF(R108+S108=0,"○ Sem relações","✔ OK")))))</f>
        <v/>
      </c>
    </row>
    <row r="109" ht="15" customHeight="1" s="50">
      <c r="R109" s="94">
        <f>IF(A109="","",COUNTIF(Dependencies!$B$5:$B$300,A109))</f>
        <v/>
      </c>
      <c r="S109" s="94">
        <f>IF(A109="","",COUNTIF(Dependencies!$F$5:$F$300,A109))</f>
        <v/>
      </c>
      <c r="T109" s="94">
        <f>IF(A109="","",IF(AND(OR(I109="Implemented",I109="Verified"),J109=""),"⚠ Sem link de código",IF(AND(I109="Verified",K109=""),"⚠ Sem evidência",IF(OR(P109="Sim",D109="TBD (owner pending)"),"◐ Proprietário pendente",IF(R109+S109=0,"○ Sem relações","✔ OK")))))</f>
        <v/>
      </c>
    </row>
    <row r="110" ht="15" customHeight="1" s="50">
      <c r="R110" s="94">
        <f>IF(A110="","",COUNTIF(Dependencies!$B$5:$B$300,A110))</f>
        <v/>
      </c>
      <c r="S110" s="94">
        <f>IF(A110="","",COUNTIF(Dependencies!$F$5:$F$300,A110))</f>
        <v/>
      </c>
      <c r="T110" s="94">
        <f>IF(A110="","",IF(AND(OR(I110="Implemented",I110="Verified"),J110=""),"⚠ Sem link de código",IF(AND(I110="Verified",K110=""),"⚠ Sem evidência",IF(OR(P110="Sim",D110="TBD (owner pending)"),"◐ Proprietário pendente",IF(R110+S110=0,"○ Sem relações","✔ OK")))))</f>
        <v/>
      </c>
    </row>
    <row r="111" ht="15" customHeight="1" s="50">
      <c r="R111" s="94">
        <f>IF(A111="","",COUNTIF(Dependencies!$B$5:$B$300,A111))</f>
        <v/>
      </c>
      <c r="S111" s="94">
        <f>IF(A111="","",COUNTIF(Dependencies!$F$5:$F$300,A111))</f>
        <v/>
      </c>
      <c r="T111" s="94">
        <f>IF(A111="","",IF(AND(OR(I111="Implemented",I111="Verified"),J111=""),"⚠ Sem link de código",IF(AND(I111="Verified",K111=""),"⚠ Sem evidência",IF(OR(P111="Sim",D111="TBD (owner pending)"),"◐ Proprietário pendente",IF(R111+S111=0,"○ Sem relações","✔ OK")))))</f>
        <v/>
      </c>
    </row>
    <row r="112" ht="15" customHeight="1" s="50">
      <c r="R112" s="94">
        <f>IF(A112="","",COUNTIF(Dependencies!$B$5:$B$300,A112))</f>
        <v/>
      </c>
      <c r="S112" s="94">
        <f>IF(A112="","",COUNTIF(Dependencies!$F$5:$F$300,A112))</f>
        <v/>
      </c>
      <c r="T112" s="94">
        <f>IF(A112="","",IF(AND(OR(I112="Implemented",I112="Verified"),J112=""),"⚠ Sem link de código",IF(AND(I112="Verified",K112=""),"⚠ Sem evidência",IF(OR(P112="Sim",D112="TBD (owner pending)"),"◐ Proprietário pendente",IF(R112+S112=0,"○ Sem relações","✔ OK")))))</f>
        <v/>
      </c>
    </row>
    <row r="113" ht="15" customHeight="1" s="50">
      <c r="R113" s="94">
        <f>IF(A113="","",COUNTIF(Dependencies!$B$5:$B$300,A113))</f>
        <v/>
      </c>
      <c r="S113" s="94">
        <f>IF(A113="","",COUNTIF(Dependencies!$F$5:$F$300,A113))</f>
        <v/>
      </c>
      <c r="T113" s="94">
        <f>IF(A113="","",IF(AND(OR(I113="Implemented",I113="Verified"),J113=""),"⚠ Sem link de código",IF(AND(I113="Verified",K113=""),"⚠ Sem evidência",IF(OR(P113="Sim",D113="TBD (owner pending)"),"◐ Proprietário pendente",IF(R113+S113=0,"○ Sem relações","✔ OK")))))</f>
        <v/>
      </c>
    </row>
    <row r="114" ht="15" customHeight="1" s="50">
      <c r="R114" s="94">
        <f>IF(A114="","",COUNTIF(Dependencies!$B$5:$B$300,A114))</f>
        <v/>
      </c>
      <c r="S114" s="94">
        <f>IF(A114="","",COUNTIF(Dependencies!$F$5:$F$300,A114))</f>
        <v/>
      </c>
      <c r="T114" s="94">
        <f>IF(A114="","",IF(AND(OR(I114="Implemented",I114="Verified"),J114=""),"⚠ Sem link de código",IF(AND(I114="Verified",K114=""),"⚠ Sem evidência",IF(OR(P114="Sim",D114="TBD (owner pending)"),"◐ Proprietário pendente",IF(R114+S114=0,"○ Sem relações","✔ OK")))))</f>
        <v/>
      </c>
    </row>
    <row r="115" ht="15" customHeight="1" s="50">
      <c r="R115" s="94">
        <f>IF(A115="","",COUNTIF(Dependencies!$B$5:$B$300,A115))</f>
        <v/>
      </c>
      <c r="S115" s="94">
        <f>IF(A115="","",COUNTIF(Dependencies!$F$5:$F$300,A115))</f>
        <v/>
      </c>
      <c r="T115" s="94">
        <f>IF(A115="","",IF(AND(OR(I115="Implemented",I115="Verified"),J115=""),"⚠ Sem link de código",IF(AND(I115="Verified",K115=""),"⚠ Sem evidência",IF(OR(P115="Sim",D115="TBD (owner pending)"),"◐ Proprietário pendente",IF(R115+S115=0,"○ Sem relações","✔ OK")))))</f>
        <v/>
      </c>
    </row>
    <row r="116" ht="15" customHeight="1" s="50">
      <c r="R116" s="94">
        <f>IF(A116="","",COUNTIF(Dependencies!$B$5:$B$300,A116))</f>
        <v/>
      </c>
      <c r="S116" s="94">
        <f>IF(A116="","",COUNTIF(Dependencies!$F$5:$F$300,A116))</f>
        <v/>
      </c>
      <c r="T116" s="94">
        <f>IF(A116="","",IF(AND(OR(I116="Implemented",I116="Verified"),J116=""),"⚠ Sem link de código",IF(AND(I116="Verified",K116=""),"⚠ Sem evidência",IF(OR(P116="Sim",D116="TBD (owner pending)"),"◐ Proprietário pendente",IF(R116+S116=0,"○ Sem relações","✔ OK")))))</f>
        <v/>
      </c>
    </row>
    <row r="117" ht="15" customHeight="1" s="50">
      <c r="R117" s="94">
        <f>IF(A117="","",COUNTIF(Dependencies!$B$5:$B$300,A117))</f>
        <v/>
      </c>
      <c r="S117" s="94">
        <f>IF(A117="","",COUNTIF(Dependencies!$F$5:$F$300,A117))</f>
        <v/>
      </c>
      <c r="T117" s="94">
        <f>IF(A117="","",IF(AND(OR(I117="Implemented",I117="Verified"),J117=""),"⚠ Sem link de código",IF(AND(I117="Verified",K117=""),"⚠ Sem evidência",IF(OR(P117="Sim",D117="TBD (owner pending)"),"◐ Proprietário pendente",IF(R117+S117=0,"○ Sem relações","✔ OK")))))</f>
        <v/>
      </c>
    </row>
    <row r="118" ht="15" customHeight="1" s="50">
      <c r="R118" s="94">
        <f>IF(A118="","",COUNTIF(Dependencies!$B$5:$B$300,A118))</f>
        <v/>
      </c>
      <c r="S118" s="94">
        <f>IF(A118="","",COUNTIF(Dependencies!$F$5:$F$300,A118))</f>
        <v/>
      </c>
      <c r="T118" s="94">
        <f>IF(A118="","",IF(AND(OR(I118="Implemented",I118="Verified"),J118=""),"⚠ Sem link de código",IF(AND(I118="Verified",K118=""),"⚠ Sem evidência",IF(OR(P118="Sim",D118="TBD (owner pending)"),"◐ Proprietário pendente",IF(R118+S118=0,"○ Sem relações","✔ OK")))))</f>
        <v/>
      </c>
    </row>
    <row r="119" ht="15" customHeight="1" s="50">
      <c r="R119" s="94">
        <f>IF(A119="","",COUNTIF(Dependencies!$B$5:$B$300,A119))</f>
        <v/>
      </c>
      <c r="S119" s="94">
        <f>IF(A119="","",COUNTIF(Dependencies!$F$5:$F$300,A119))</f>
        <v/>
      </c>
      <c r="T119" s="94">
        <f>IF(A119="","",IF(AND(OR(I119="Implemented",I119="Verified"),J119=""),"⚠ Sem link de código",IF(AND(I119="Verified",K119=""),"⚠ Sem evidência",IF(OR(P119="Sim",D119="TBD (owner pending)"),"◐ Proprietário pendente",IF(R119+S119=0,"○ Sem relações","✔ OK")))))</f>
        <v/>
      </c>
    </row>
    <row r="120" ht="15" customHeight="1" s="50">
      <c r="R120" s="94">
        <f>IF(A120="","",COUNTIF(Dependencies!$B$5:$B$300,A120))</f>
        <v/>
      </c>
      <c r="S120" s="94">
        <f>IF(A120="","",COUNTIF(Dependencies!$F$5:$F$300,A120))</f>
        <v/>
      </c>
      <c r="T120" s="94">
        <f>IF(A120="","",IF(AND(OR(I120="Implemented",I120="Verified"),J120=""),"⚠ Sem link de código",IF(AND(I120="Verified",K120=""),"⚠ Sem evidência",IF(OR(P120="Sim",D120="TBD (owner pending)"),"◐ Proprietário pendente",IF(R120+S120=0,"○ Sem relações","✔ OK")))))</f>
        <v/>
      </c>
    </row>
    <row r="121" ht="15" customHeight="1" s="50">
      <c r="R121" s="94">
        <f>IF(A121="","",COUNTIF(Dependencies!$B$5:$B$300,A121))</f>
        <v/>
      </c>
      <c r="S121" s="94">
        <f>IF(A121="","",COUNTIF(Dependencies!$F$5:$F$300,A121))</f>
        <v/>
      </c>
      <c r="T121" s="94">
        <f>IF(A121="","",IF(AND(OR(I121="Implemented",I121="Verified"),J121=""),"⚠ Sem link de código",IF(AND(I121="Verified",K121=""),"⚠ Sem evidência",IF(OR(P121="Sim",D121="TBD (owner pending)"),"◐ Proprietário pendente",IF(R121+S121=0,"○ Sem relações","✔ OK")))))</f>
        <v/>
      </c>
    </row>
    <row r="122" ht="15" customHeight="1" s="50">
      <c r="R122" s="94">
        <f>IF(A122="","",COUNTIF(Dependencies!$B$5:$B$300,A122))</f>
        <v/>
      </c>
      <c r="S122" s="94">
        <f>IF(A122="","",COUNTIF(Dependencies!$F$5:$F$300,A122))</f>
        <v/>
      </c>
      <c r="T122" s="94">
        <f>IF(A122="","",IF(AND(OR(I122="Implemented",I122="Verified"),J122=""),"⚠ Sem link de código",IF(AND(I122="Verified",K122=""),"⚠ Sem evidência",IF(OR(P122="Sim",D122="TBD (owner pending)"),"◐ Proprietário pendente",IF(R122+S122=0,"○ Sem relações","✔ OK")))))</f>
        <v/>
      </c>
    </row>
    <row r="123" ht="15" customHeight="1" s="50">
      <c r="R123" s="94">
        <f>IF(A123="","",COUNTIF(Dependencies!$B$5:$B$300,A123))</f>
        <v/>
      </c>
      <c r="S123" s="94">
        <f>IF(A123="","",COUNTIF(Dependencies!$F$5:$F$300,A123))</f>
        <v/>
      </c>
      <c r="T123" s="94">
        <f>IF(A123="","",IF(AND(OR(I123="Implemented",I123="Verified"),J123=""),"⚠ Sem link de código",IF(AND(I123="Verified",K123=""),"⚠ Sem evidência",IF(OR(P123="Sim",D123="TBD (owner pending)"),"◐ Proprietário pendente",IF(R123+S123=0,"○ Sem relações","✔ OK")))))</f>
        <v/>
      </c>
    </row>
    <row r="124" ht="15" customHeight="1" s="50">
      <c r="R124" s="94">
        <f>IF(A124="","",COUNTIF(Dependencies!$B$5:$B$300,A124))</f>
        <v/>
      </c>
      <c r="S124" s="94">
        <f>IF(A124="","",COUNTIF(Dependencies!$F$5:$F$300,A124))</f>
        <v/>
      </c>
      <c r="T124" s="94">
        <f>IF(A124="","",IF(AND(OR(I124="Implemented",I124="Verified"),J124=""),"⚠ Sem link de código",IF(AND(I124="Verified",K124=""),"⚠ Sem evidência",IF(OR(P124="Sim",D124="TBD (owner pending)"),"◐ Proprietário pendente",IF(R124+S124=0,"○ Sem relações","✔ OK")))))</f>
        <v/>
      </c>
    </row>
    <row r="125" ht="15" customHeight="1" s="50">
      <c r="R125" s="94">
        <f>IF(A125="","",COUNTIF(Dependencies!$B$5:$B$300,A125))</f>
        <v/>
      </c>
      <c r="S125" s="94">
        <f>IF(A125="","",COUNTIF(Dependencies!$F$5:$F$300,A125))</f>
        <v/>
      </c>
      <c r="T125" s="94">
        <f>IF(A125="","",IF(AND(OR(I125="Implemented",I125="Verified"),J125=""),"⚠ Sem link de código",IF(AND(I125="Verified",K125=""),"⚠ Sem evidência",IF(OR(P125="Sim",D125="TBD (owner pending)"),"◐ Proprietário pendente",IF(R125+S125=0,"○ Sem relações","✔ OK")))))</f>
        <v/>
      </c>
    </row>
    <row r="126" ht="15" customHeight="1" s="50">
      <c r="R126" s="94">
        <f>IF(A126="","",COUNTIF(Dependencies!$B$5:$B$300,A126))</f>
        <v/>
      </c>
      <c r="S126" s="94">
        <f>IF(A126="","",COUNTIF(Dependencies!$F$5:$F$300,A126))</f>
        <v/>
      </c>
      <c r="T126" s="94">
        <f>IF(A126="","",IF(AND(OR(I126="Implemented",I126="Verified"),J126=""),"⚠ Sem link de código",IF(AND(I126="Verified",K126=""),"⚠ Sem evidência",IF(OR(P126="Sim",D126="TBD (owner pending)"),"◐ Proprietário pendente",IF(R126+S126=0,"○ Sem relações","✔ OK")))))</f>
        <v/>
      </c>
    </row>
    <row r="127" ht="15" customHeight="1" s="50">
      <c r="R127" s="94">
        <f>IF(A127="","",COUNTIF(Dependencies!$B$5:$B$300,A127))</f>
        <v/>
      </c>
      <c r="S127" s="94">
        <f>IF(A127="","",COUNTIF(Dependencies!$F$5:$F$300,A127))</f>
        <v/>
      </c>
      <c r="T127" s="94">
        <f>IF(A127="","",IF(AND(OR(I127="Implemented",I127="Verified"),J127=""),"⚠ Sem link de código",IF(AND(I127="Verified",K127=""),"⚠ Sem evidência",IF(OR(P127="Sim",D127="TBD (owner pending)"),"◐ Proprietário pendente",IF(R127+S127=0,"○ Sem relações","✔ OK")))))</f>
        <v/>
      </c>
    </row>
    <row r="128" ht="15" customHeight="1" s="50">
      <c r="R128" s="94">
        <f>IF(A128="","",COUNTIF(Dependencies!$B$5:$B$300,A128))</f>
        <v/>
      </c>
      <c r="S128" s="94">
        <f>IF(A128="","",COUNTIF(Dependencies!$F$5:$F$300,A128))</f>
        <v/>
      </c>
      <c r="T128" s="94">
        <f>IF(A128="","",IF(AND(OR(I128="Implemented",I128="Verified"),J128=""),"⚠ Sem link de código",IF(AND(I128="Verified",K128=""),"⚠ Sem evidência",IF(OR(P128="Sim",D128="TBD (owner pending)"),"◐ Proprietário pendente",IF(R128+S128=0,"○ Sem relações","✔ OK")))))</f>
        <v/>
      </c>
    </row>
    <row r="129" ht="15" customHeight="1" s="50">
      <c r="R129" s="94">
        <f>IF(A129="","",COUNTIF(Dependencies!$B$5:$B$300,A129))</f>
        <v/>
      </c>
      <c r="S129" s="94">
        <f>IF(A129="","",COUNTIF(Dependencies!$F$5:$F$300,A129))</f>
        <v/>
      </c>
      <c r="T129" s="94">
        <f>IF(A129="","",IF(AND(OR(I129="Implemented",I129="Verified"),J129=""),"⚠ Sem link de código",IF(AND(I129="Verified",K129=""),"⚠ Sem evidência",IF(OR(P129="Sim",D129="TBD (owner pending)"),"◐ Proprietário pendente",IF(R129+S129=0,"○ Sem relações","✔ OK")))))</f>
        <v/>
      </c>
    </row>
    <row r="130" ht="15" customHeight="1" s="50">
      <c r="R130" s="94">
        <f>IF(A130="","",COUNTIF(Dependencies!$B$5:$B$300,A130))</f>
        <v/>
      </c>
      <c r="S130" s="94">
        <f>IF(A130="","",COUNTIF(Dependencies!$F$5:$F$300,A130))</f>
        <v/>
      </c>
      <c r="T130" s="94">
        <f>IF(A130="","",IF(AND(OR(I130="Implemented",I130="Verified"),J130=""),"⚠ Sem link de código",IF(AND(I130="Verified",K130=""),"⚠ Sem evidência",IF(OR(P130="Sim",D130="TBD (owner pending)"),"◐ Proprietário pendente",IF(R130+S130=0,"○ Sem relações","✔ OK")))))</f>
        <v/>
      </c>
    </row>
    <row r="131" ht="15" customHeight="1" s="50">
      <c r="R131" s="94">
        <f>IF(A131="","",COUNTIF(Dependencies!$B$5:$B$300,A131))</f>
        <v/>
      </c>
      <c r="S131" s="94">
        <f>IF(A131="","",COUNTIF(Dependencies!$F$5:$F$300,A131))</f>
        <v/>
      </c>
      <c r="T131" s="94">
        <f>IF(A131="","",IF(AND(OR(I131="Implemented",I131="Verified"),J131=""),"⚠ Sem link de código",IF(AND(I131="Verified",K131=""),"⚠ Sem evidência",IF(OR(P131="Sim",D131="TBD (owner pending)"),"◐ Proprietário pendente",IF(R131+S131=0,"○ Sem relações","✔ OK")))))</f>
        <v/>
      </c>
    </row>
    <row r="132" ht="15" customHeight="1" s="50">
      <c r="R132" s="94">
        <f>IF(A132="","",COUNTIF(Dependencies!$B$5:$B$300,A132))</f>
        <v/>
      </c>
      <c r="S132" s="94">
        <f>IF(A132="","",COUNTIF(Dependencies!$F$5:$F$300,A132))</f>
        <v/>
      </c>
      <c r="T132" s="94">
        <f>IF(A132="","",IF(AND(OR(I132="Implemented",I132="Verified"),J132=""),"⚠ Sem link de código",IF(AND(I132="Verified",K132=""),"⚠ Sem evidência",IF(OR(P132="Sim",D132="TBD (owner pending)"),"◐ Proprietário pendente",IF(R132+S132=0,"○ Sem relações","✔ OK")))))</f>
        <v/>
      </c>
    </row>
    <row r="133" ht="15" customHeight="1" s="50">
      <c r="R133" s="94">
        <f>IF(A133="","",COUNTIF(Dependencies!$B$5:$B$300,A133))</f>
        <v/>
      </c>
      <c r="S133" s="94">
        <f>IF(A133="","",COUNTIF(Dependencies!$F$5:$F$300,A133))</f>
        <v/>
      </c>
      <c r="T133" s="94">
        <f>IF(A133="","",IF(AND(OR(I133="Implemented",I133="Verified"),J133=""),"⚠ Sem link de código",IF(AND(I133="Verified",K133=""),"⚠ Sem evidência",IF(OR(P133="Sim",D133="TBD (owner pending)"),"◐ Proprietário pendente",IF(R133+S133=0,"○ Sem relações","✔ OK")))))</f>
        <v/>
      </c>
    </row>
    <row r="134" ht="15" customHeight="1" s="50">
      <c r="R134" s="94">
        <f>IF(A134="","",COUNTIF(Dependencies!$B$5:$B$300,A134))</f>
        <v/>
      </c>
      <c r="S134" s="94">
        <f>IF(A134="","",COUNTIF(Dependencies!$F$5:$F$300,A134))</f>
        <v/>
      </c>
      <c r="T134" s="94">
        <f>IF(A134="","",IF(AND(OR(I134="Implemented",I134="Verified"),J134=""),"⚠ Sem link de código",IF(AND(I134="Verified",K134=""),"⚠ Sem evidência",IF(OR(P134="Sim",D134="TBD (owner pending)"),"◐ Proprietário pendente",IF(R134+S134=0,"○ Sem relações","✔ OK")))))</f>
        <v/>
      </c>
    </row>
    <row r="135" ht="15" customHeight="1" s="50">
      <c r="R135" s="94">
        <f>IF(A135="","",COUNTIF(Dependencies!$B$5:$B$300,A135))</f>
        <v/>
      </c>
      <c r="S135" s="94">
        <f>IF(A135="","",COUNTIF(Dependencies!$F$5:$F$300,A135))</f>
        <v/>
      </c>
      <c r="T135" s="94">
        <f>IF(A135="","",IF(AND(OR(I135="Implemented",I135="Verified"),J135=""),"⚠ Sem link de código",IF(AND(I135="Verified",K135=""),"⚠ Sem evidência",IF(OR(P135="Sim",D135="TBD (owner pending)"),"◐ Proprietário pendente",IF(R135+S135=0,"○ Sem relações","✔ OK")))))</f>
        <v/>
      </c>
    </row>
    <row r="136" ht="15" customHeight="1" s="50">
      <c r="R136" s="94">
        <f>IF(A136="","",COUNTIF(Dependencies!$B$5:$B$300,A136))</f>
        <v/>
      </c>
      <c r="S136" s="94">
        <f>IF(A136="","",COUNTIF(Dependencies!$F$5:$F$300,A136))</f>
        <v/>
      </c>
      <c r="T136" s="94">
        <f>IF(A136="","",IF(AND(OR(I136="Implemented",I136="Verified"),J136=""),"⚠ Sem link de código",IF(AND(I136="Verified",K136=""),"⚠ Sem evidência",IF(OR(P136="Sim",D136="TBD (owner pending)"),"◐ Proprietário pendente",IF(R136+S136=0,"○ Sem relações","✔ OK")))))</f>
        <v/>
      </c>
    </row>
    <row r="137" ht="15" customHeight="1" s="50">
      <c r="R137" s="94">
        <f>IF(A137="","",COUNTIF(Dependencies!$B$5:$B$300,A137))</f>
        <v/>
      </c>
      <c r="S137" s="94">
        <f>IF(A137="","",COUNTIF(Dependencies!$F$5:$F$300,A137))</f>
        <v/>
      </c>
      <c r="T137" s="94">
        <f>IF(A137="","",IF(AND(OR(I137="Implemented",I137="Verified"),J137=""),"⚠ Sem link de código",IF(AND(I137="Verified",K137=""),"⚠ Sem evidência",IF(OR(P137="Sim",D137="TBD (owner pending)"),"◐ Proprietário pendente",IF(R137+S137=0,"○ Sem relações","✔ OK")))))</f>
        <v/>
      </c>
    </row>
    <row r="138" ht="15" customHeight="1" s="50">
      <c r="R138" s="94">
        <f>IF(A138="","",COUNTIF(Dependencies!$B$5:$B$300,A138))</f>
        <v/>
      </c>
      <c r="S138" s="94">
        <f>IF(A138="","",COUNTIF(Dependencies!$F$5:$F$300,A138))</f>
        <v/>
      </c>
      <c r="T138" s="94">
        <f>IF(A138="","",IF(AND(OR(I138="Implemented",I138="Verified"),J138=""),"⚠ Sem link de código",IF(AND(I138="Verified",K138=""),"⚠ Sem evidência",IF(OR(P138="Sim",D138="TBD (owner pending)"),"◐ Proprietário pendente",IF(R138+S138=0,"○ Sem relações","✔ OK")))))</f>
        <v/>
      </c>
    </row>
    <row r="139" ht="15" customHeight="1" s="50">
      <c r="R139" s="94">
        <f>IF(A139="","",COUNTIF(Dependencies!$B$5:$B$300,A139))</f>
        <v/>
      </c>
      <c r="S139" s="94">
        <f>IF(A139="","",COUNTIF(Dependencies!$F$5:$F$300,A139))</f>
        <v/>
      </c>
      <c r="T139" s="94">
        <f>IF(A139="","",IF(AND(OR(I139="Implemented",I139="Verified"),J139=""),"⚠ Sem link de código",IF(AND(I139="Verified",K139=""),"⚠ Sem evidência",IF(OR(P139="Sim",D139="TBD (owner pending)"),"◐ Proprietário pendente",IF(R139+S139=0,"○ Sem relações","✔ OK")))))</f>
        <v/>
      </c>
    </row>
    <row r="140" ht="15" customHeight="1" s="50">
      <c r="R140" s="94">
        <f>IF(A140="","",COUNTIF(Dependencies!$B$5:$B$300,A140))</f>
        <v/>
      </c>
      <c r="S140" s="94">
        <f>IF(A140="","",COUNTIF(Dependencies!$F$5:$F$300,A140))</f>
        <v/>
      </c>
      <c r="T140" s="94">
        <f>IF(A140="","",IF(AND(OR(I140="Implemented",I140="Verified"),J140=""),"⚠ Sem link de código",IF(AND(I140="Verified",K140=""),"⚠ Sem evidência",IF(OR(P140="Sim",D140="TBD (owner pending)"),"◐ Proprietário pendente",IF(R140+S140=0,"○ Sem relações","✔ OK")))))</f>
        <v/>
      </c>
    </row>
    <row r="141" ht="15" customHeight="1" s="50">
      <c r="R141" s="94">
        <f>IF(A141="","",COUNTIF(Dependencies!$B$5:$B$300,A141))</f>
        <v/>
      </c>
      <c r="S141" s="94">
        <f>IF(A141="","",COUNTIF(Dependencies!$F$5:$F$300,A141))</f>
        <v/>
      </c>
      <c r="T141" s="94">
        <f>IF(A141="","",IF(AND(OR(I141="Implemented",I141="Verified"),J141=""),"⚠ Sem link de código",IF(AND(I141="Verified",K141=""),"⚠ Sem evidência",IF(OR(P141="Sim",D141="TBD (owner pending)"),"◐ Proprietário pendente",IF(R141+S141=0,"○ Sem relações","✔ OK")))))</f>
        <v/>
      </c>
    </row>
    <row r="142" ht="15" customHeight="1" s="50">
      <c r="R142" s="94">
        <f>IF(A142="","",COUNTIF(Dependencies!$B$5:$B$300,A142))</f>
        <v/>
      </c>
      <c r="S142" s="94">
        <f>IF(A142="","",COUNTIF(Dependencies!$F$5:$F$300,A142))</f>
        <v/>
      </c>
      <c r="T142" s="94">
        <f>IF(A142="","",IF(AND(OR(I142="Implemented",I142="Verified"),J142=""),"⚠ Sem link de código",IF(AND(I142="Verified",K142=""),"⚠ Sem evidência",IF(OR(P142="Sim",D142="TBD (owner pending)"),"◐ Proprietário pendente",IF(R142+S142=0,"○ Sem relações","✔ OK")))))</f>
        <v/>
      </c>
    </row>
    <row r="143" ht="15" customHeight="1" s="50">
      <c r="R143" s="94">
        <f>IF(A143="","",COUNTIF(Dependencies!$B$5:$B$300,A143))</f>
        <v/>
      </c>
      <c r="S143" s="94">
        <f>IF(A143="","",COUNTIF(Dependencies!$F$5:$F$300,A143))</f>
        <v/>
      </c>
      <c r="T143" s="94">
        <f>IF(A143="","",IF(AND(OR(I143="Implemented",I143="Verified"),J143=""),"⚠ Sem link de código",IF(AND(I143="Verified",K143=""),"⚠ Sem evidência",IF(OR(P143="Sim",D143="TBD (owner pending)"),"◐ Proprietário pendente",IF(R143+S143=0,"○ Sem relações","✔ OK")))))</f>
        <v/>
      </c>
    </row>
    <row r="144" ht="15" customHeight="1" s="50">
      <c r="R144" s="94">
        <f>IF(A144="","",COUNTIF(Dependencies!$B$5:$B$300,A144))</f>
        <v/>
      </c>
      <c r="S144" s="94">
        <f>IF(A144="","",COUNTIF(Dependencies!$F$5:$F$300,A144))</f>
        <v/>
      </c>
      <c r="T144" s="94">
        <f>IF(A144="","",IF(AND(OR(I144="Implemented",I144="Verified"),J144=""),"⚠ Sem link de código",IF(AND(I144="Verified",K144=""),"⚠ Sem evidência",IF(OR(P144="Sim",D144="TBD (owner pending)"),"◐ Proprietário pendente",IF(R144+S144=0,"○ Sem relações","✔ OK")))))</f>
        <v/>
      </c>
    </row>
    <row r="145" ht="15" customHeight="1" s="50">
      <c r="R145" s="94">
        <f>IF(A145="","",COUNTIF(Dependencies!$B$5:$B$300,A145))</f>
        <v/>
      </c>
      <c r="S145" s="94">
        <f>IF(A145="","",COUNTIF(Dependencies!$F$5:$F$300,A145))</f>
        <v/>
      </c>
      <c r="T145" s="94">
        <f>IF(A145="","",IF(AND(OR(I145="Implemented",I145="Verified"),J145=""),"⚠ Sem link de código",IF(AND(I145="Verified",K145=""),"⚠ Sem evidência",IF(OR(P145="Sim",D145="TBD (owner pending)"),"◐ Proprietário pendente",IF(R145+S145=0,"○ Sem relações","✔ OK")))))</f>
        <v/>
      </c>
    </row>
    <row r="146" ht="15" customHeight="1" s="50">
      <c r="R146" s="94">
        <f>IF(A146="","",COUNTIF(Dependencies!$B$5:$B$300,A146))</f>
        <v/>
      </c>
      <c r="S146" s="94">
        <f>IF(A146="","",COUNTIF(Dependencies!$F$5:$F$300,A146))</f>
        <v/>
      </c>
      <c r="T146" s="94">
        <f>IF(A146="","",IF(AND(OR(I146="Implemented",I146="Verified"),J146=""),"⚠ Sem link de código",IF(AND(I146="Verified",K146=""),"⚠ Sem evidência",IF(OR(P146="Sim",D146="TBD (owner pending)"),"◐ Proprietário pendente",IF(R146+S146=0,"○ Sem relações","✔ OK")))))</f>
        <v/>
      </c>
    </row>
    <row r="147" ht="15" customHeight="1" s="50">
      <c r="R147" s="94">
        <f>IF(A147="","",COUNTIF(Dependencies!$B$5:$B$300,A147))</f>
        <v/>
      </c>
      <c r="S147" s="94">
        <f>IF(A147="","",COUNTIF(Dependencies!$F$5:$F$300,A147))</f>
        <v/>
      </c>
      <c r="T147" s="94">
        <f>IF(A147="","",IF(AND(OR(I147="Implemented",I147="Verified"),J147=""),"⚠ Sem link de código",IF(AND(I147="Verified",K147=""),"⚠ Sem evidência",IF(OR(P147="Sim",D147="TBD (owner pending)"),"◐ Proprietário pendente",IF(R147+S147=0,"○ Sem relações","✔ OK")))))</f>
        <v/>
      </c>
    </row>
    <row r="148" ht="15" customHeight="1" s="50">
      <c r="R148" s="94">
        <f>IF(A148="","",COUNTIF(Dependencies!$B$5:$B$300,A148))</f>
        <v/>
      </c>
      <c r="S148" s="94">
        <f>IF(A148="","",COUNTIF(Dependencies!$F$5:$F$300,A148))</f>
        <v/>
      </c>
      <c r="T148" s="94">
        <f>IF(A148="","",IF(AND(OR(I148="Implemented",I148="Verified"),J148=""),"⚠ Sem link de código",IF(AND(I148="Verified",K148=""),"⚠ Sem evidência",IF(OR(P148="Sim",D148="TBD (owner pending)"),"◐ Proprietário pendente",IF(R148+S148=0,"○ Sem relações","✔ OK")))))</f>
        <v/>
      </c>
    </row>
    <row r="149" ht="15" customHeight="1" s="50">
      <c r="R149" s="94">
        <f>IF(A149="","",COUNTIF(Dependencies!$B$5:$B$300,A149))</f>
        <v/>
      </c>
      <c r="S149" s="94">
        <f>IF(A149="","",COUNTIF(Dependencies!$F$5:$F$300,A149))</f>
        <v/>
      </c>
      <c r="T149" s="94">
        <f>IF(A149="","",IF(AND(OR(I149="Implemented",I149="Verified"),J149=""),"⚠ Sem link de código",IF(AND(I149="Verified",K149=""),"⚠ Sem evidência",IF(OR(P149="Sim",D149="TBD (owner pending)"),"◐ Proprietário pendente",IF(R149+S149=0,"○ Sem relações","✔ OK")))))</f>
        <v/>
      </c>
    </row>
    <row r="150" ht="15" customHeight="1" s="50">
      <c r="R150" s="94">
        <f>IF(A150="","",COUNTIF(Dependencies!$B$5:$B$300,A150))</f>
        <v/>
      </c>
      <c r="S150" s="94">
        <f>IF(A150="","",COUNTIF(Dependencies!$F$5:$F$300,A150))</f>
        <v/>
      </c>
      <c r="T150" s="94">
        <f>IF(A150="","",IF(AND(OR(I150="Implemented",I150="Verified"),J150=""),"⚠ Sem link de código",IF(AND(I150="Verified",K150=""),"⚠ Sem evidência",IF(OR(P150="Sim",D150="TBD (owner pending)"),"◐ Proprietário pendente",IF(R150+S150=0,"○ Sem relações","✔ OK")))))</f>
        <v/>
      </c>
    </row>
    <row r="151" ht="15" customHeight="1" s="50">
      <c r="R151" s="94">
        <f>IF(A151="","",COUNTIF(Dependencies!$B$5:$B$300,A151))</f>
        <v/>
      </c>
      <c r="S151" s="94">
        <f>IF(A151="","",COUNTIF(Dependencies!$F$5:$F$300,A151))</f>
        <v/>
      </c>
      <c r="T151" s="94">
        <f>IF(A151="","",IF(AND(OR(I151="Implemented",I151="Verified"),J151=""),"⚠ Sem link de código",IF(AND(I151="Verified",K151=""),"⚠ Sem evidência",IF(OR(P151="Sim",D151="TBD (owner pending)"),"◐ Proprietário pendente",IF(R151+S151=0,"○ Sem relações","✔ OK")))))</f>
        <v/>
      </c>
    </row>
    <row r="152" ht="15" customHeight="1" s="50">
      <c r="R152" s="94">
        <f>IF(A152="","",COUNTIF(Dependencies!$B$5:$B$300,A152))</f>
        <v/>
      </c>
      <c r="S152" s="94">
        <f>IF(A152="","",COUNTIF(Dependencies!$F$5:$F$300,A152))</f>
        <v/>
      </c>
      <c r="T152" s="94">
        <f>IF(A152="","",IF(AND(OR(I152="Implemented",I152="Verified"),J152=""),"⚠ Sem link de código",IF(AND(I152="Verified",K152=""),"⚠ Sem evidência",IF(OR(P152="Sim",D152="TBD (owner pending)"),"◐ Proprietário pendente",IF(R152+S152=0,"○ Sem relações","✔ OK")))))</f>
        <v/>
      </c>
    </row>
    <row r="153" ht="15" customHeight="1" s="50">
      <c r="R153" s="94">
        <f>IF(A153="","",COUNTIF(Dependencies!$B$5:$B$300,A153))</f>
        <v/>
      </c>
      <c r="S153" s="94">
        <f>IF(A153="","",COUNTIF(Dependencies!$F$5:$F$300,A153))</f>
        <v/>
      </c>
      <c r="T153" s="94">
        <f>IF(A153="","",IF(AND(OR(I153="Implemented",I153="Verified"),J153=""),"⚠ Sem link de código",IF(AND(I153="Verified",K153=""),"⚠ Sem evidência",IF(OR(P153="Sim",D153="TBD (owner pending)"),"◐ Proprietário pendente",IF(R153+S153=0,"○ Sem relações","✔ OK")))))</f>
        <v/>
      </c>
    </row>
    <row r="154" ht="15" customHeight="1" s="50">
      <c r="R154" s="94">
        <f>IF(A154="","",COUNTIF(Dependencies!$B$5:$B$300,A154))</f>
        <v/>
      </c>
      <c r="S154" s="94">
        <f>IF(A154="","",COUNTIF(Dependencies!$F$5:$F$300,A154))</f>
        <v/>
      </c>
      <c r="T154" s="94">
        <f>IF(A154="","",IF(AND(OR(I154="Implemented",I154="Verified"),J154=""),"⚠ Sem link de código",IF(AND(I154="Verified",K154=""),"⚠ Sem evidência",IF(OR(P154="Sim",D154="TBD (owner pending)"),"◐ Proprietário pendente",IF(R154+S154=0,"○ Sem relações","✔ OK")))))</f>
        <v/>
      </c>
    </row>
    <row r="155" ht="15" customHeight="1" s="50">
      <c r="R155" s="94">
        <f>IF(A155="","",COUNTIF(Dependencies!$B$5:$B$300,A155))</f>
        <v/>
      </c>
      <c r="S155" s="94">
        <f>IF(A155="","",COUNTIF(Dependencies!$F$5:$F$300,A155))</f>
        <v/>
      </c>
      <c r="T155" s="94">
        <f>IF(A155="","",IF(AND(OR(I155="Implemented",I155="Verified"),J155=""),"⚠ Sem link de código",IF(AND(I155="Verified",K155=""),"⚠ Sem evidência",IF(OR(P155="Sim",D155="TBD (owner pending)"),"◐ Proprietário pendente",IF(R155+S155=0,"○ Sem relações","✔ OK")))))</f>
        <v/>
      </c>
    </row>
    <row r="156" ht="15" customHeight="1" s="50">
      <c r="R156" s="94">
        <f>IF(A156="","",COUNTIF(Dependencies!$B$5:$B$300,A156))</f>
        <v/>
      </c>
      <c r="S156" s="94">
        <f>IF(A156="","",COUNTIF(Dependencies!$F$5:$F$300,A156))</f>
        <v/>
      </c>
      <c r="T156" s="94">
        <f>IF(A156="","",IF(AND(OR(I156="Implemented",I156="Verified"),J156=""),"⚠ Sem link de código",IF(AND(I156="Verified",K156=""),"⚠ Sem evidência",IF(OR(P156="Sim",D156="TBD (owner pending)"),"◐ Proprietário pendente",IF(R156+S156=0,"○ Sem relações","✔ OK")))))</f>
        <v/>
      </c>
    </row>
    <row r="157" ht="15" customHeight="1" s="50">
      <c r="R157" s="94">
        <f>IF(A157="","",COUNTIF(Dependencies!$B$5:$B$300,A157))</f>
        <v/>
      </c>
      <c r="S157" s="94">
        <f>IF(A157="","",COUNTIF(Dependencies!$F$5:$F$300,A157))</f>
        <v/>
      </c>
      <c r="T157" s="94">
        <f>IF(A157="","",IF(AND(OR(I157="Implemented",I157="Verified"),J157=""),"⚠ Sem link de código",IF(AND(I157="Verified",K157=""),"⚠ Sem evidência",IF(OR(P157="Sim",D157="TBD (owner pending)"),"◐ Proprietário pendente",IF(R157+S157=0,"○ Sem relações","✔ OK")))))</f>
        <v/>
      </c>
    </row>
    <row r="158" ht="15" customHeight="1" s="50">
      <c r="R158" s="94">
        <f>IF(A158="","",COUNTIF(Dependencies!$B$5:$B$300,A158))</f>
        <v/>
      </c>
      <c r="S158" s="94">
        <f>IF(A158="","",COUNTIF(Dependencies!$F$5:$F$300,A158))</f>
        <v/>
      </c>
      <c r="T158" s="94">
        <f>IF(A158="","",IF(AND(OR(I158="Implemented",I158="Verified"),J158=""),"⚠ Sem link de código",IF(AND(I158="Verified",K158=""),"⚠ Sem evidência",IF(OR(P158="Sim",D158="TBD (owner pending)"),"◐ Proprietário pendente",IF(R158+S158=0,"○ Sem relações","✔ OK")))))</f>
        <v/>
      </c>
    </row>
    <row r="159" ht="15" customHeight="1" s="50">
      <c r="R159" s="94">
        <f>IF(A159="","",COUNTIF(Dependencies!$B$5:$B$300,A159))</f>
        <v/>
      </c>
      <c r="S159" s="94">
        <f>IF(A159="","",COUNTIF(Dependencies!$F$5:$F$300,A159))</f>
        <v/>
      </c>
      <c r="T159" s="94">
        <f>IF(A159="","",IF(AND(OR(I159="Implemented",I159="Verified"),J159=""),"⚠ Sem link de código",IF(AND(I159="Verified",K159=""),"⚠ Sem evidência",IF(OR(P159="Sim",D159="TBD (owner pending)"),"◐ Proprietário pendente",IF(R159+S159=0,"○ Sem relações","✔ OK")))))</f>
        <v/>
      </c>
    </row>
    <row r="160" ht="15" customHeight="1" s="50">
      <c r="R160" s="94">
        <f>IF(A160="","",COUNTIF(Dependencies!$B$5:$B$300,A160))</f>
        <v/>
      </c>
      <c r="S160" s="94">
        <f>IF(A160="","",COUNTIF(Dependencies!$F$5:$F$300,A160))</f>
        <v/>
      </c>
      <c r="T160" s="94">
        <f>IF(A160="","",IF(AND(OR(I160="Implemented",I160="Verified"),J160=""),"⚠ Sem link de código",IF(AND(I160="Verified",K160=""),"⚠ Sem evidência",IF(OR(P160="Sim",D160="TBD (owner pending)"),"◐ Proprietário pendente",IF(R160+S160=0,"○ Sem relações","✔ OK")))))</f>
        <v/>
      </c>
    </row>
    <row r="161" ht="15" customHeight="1" s="50">
      <c r="R161" s="94">
        <f>IF(A161="","",COUNTIF(Dependencies!$B$5:$B$300,A161))</f>
        <v/>
      </c>
      <c r="S161" s="94">
        <f>IF(A161="","",COUNTIF(Dependencies!$F$5:$F$300,A161))</f>
        <v/>
      </c>
      <c r="T161" s="94">
        <f>IF(A161="","",IF(AND(OR(I161="Implemented",I161="Verified"),J161=""),"⚠ Sem link de código",IF(AND(I161="Verified",K161=""),"⚠ Sem evidência",IF(OR(P161="Sim",D161="TBD (owner pending)"),"◐ Proprietário pendente",IF(R161+S161=0,"○ Sem relações","✔ OK")))))</f>
        <v/>
      </c>
    </row>
    <row r="162" ht="15" customHeight="1" s="50">
      <c r="R162" s="94">
        <f>IF(A162="","",COUNTIF(Dependencies!$B$5:$B$300,A162))</f>
        <v/>
      </c>
      <c r="S162" s="94">
        <f>IF(A162="","",COUNTIF(Dependencies!$F$5:$F$300,A162))</f>
        <v/>
      </c>
      <c r="T162" s="94">
        <f>IF(A162="","",IF(AND(OR(I162="Implemented",I162="Verified"),J162=""),"⚠ Sem link de código",IF(AND(I162="Verified",K162=""),"⚠ Sem evidência",IF(OR(P162="Sim",D162="TBD (owner pending)"),"◐ Proprietário pendente",IF(R162+S162=0,"○ Sem relações","✔ OK")))))</f>
        <v/>
      </c>
    </row>
    <row r="163" ht="15" customHeight="1" s="50">
      <c r="R163" s="94">
        <f>IF(A163="","",COUNTIF(Dependencies!$B$5:$B$300,A163))</f>
        <v/>
      </c>
      <c r="S163" s="94">
        <f>IF(A163="","",COUNTIF(Dependencies!$F$5:$F$300,A163))</f>
        <v/>
      </c>
      <c r="T163" s="94">
        <f>IF(A163="","",IF(AND(OR(I163="Implemented",I163="Verified"),J163=""),"⚠ Sem link de código",IF(AND(I163="Verified",K163=""),"⚠ Sem evidência",IF(OR(P163="Sim",D163="TBD (owner pending)"),"◐ Proprietário pendente",IF(R163+S163=0,"○ Sem relações","✔ OK")))))</f>
        <v/>
      </c>
    </row>
    <row r="164" ht="15" customHeight="1" s="50">
      <c r="R164" s="94">
        <f>IF(A164="","",COUNTIF(Dependencies!$B$5:$B$300,A164))</f>
        <v/>
      </c>
      <c r="S164" s="94">
        <f>IF(A164="","",COUNTIF(Dependencies!$F$5:$F$300,A164))</f>
        <v/>
      </c>
      <c r="T164" s="94">
        <f>IF(A164="","",IF(AND(OR(I164="Implemented",I164="Verified"),J164=""),"⚠ Sem link de código",IF(AND(I164="Verified",K164=""),"⚠ Sem evidência",IF(OR(P164="Sim",D164="TBD (owner pending)"),"◐ Proprietário pendente",IF(R164+S164=0,"○ Sem relações","✔ OK")))))</f>
        <v/>
      </c>
    </row>
    <row r="165" ht="15" customHeight="1" s="50">
      <c r="R165" s="94">
        <f>IF(A165="","",COUNTIF(Dependencies!$B$5:$B$300,A165))</f>
        <v/>
      </c>
      <c r="S165" s="94">
        <f>IF(A165="","",COUNTIF(Dependencies!$F$5:$F$300,A165))</f>
        <v/>
      </c>
      <c r="T165" s="94">
        <f>IF(A165="","",IF(AND(OR(I165="Implemented",I165="Verified"),J165=""),"⚠ Sem link de código",IF(AND(I165="Verified",K165=""),"⚠ Sem evidência",IF(OR(P165="Sim",D165="TBD (owner pending)"),"◐ Proprietário pendente",IF(R165+S165=0,"○ Sem relações","✔ OK")))))</f>
        <v/>
      </c>
    </row>
    <row r="166" ht="15" customHeight="1" s="50">
      <c r="R166" s="94">
        <f>IF(A166="","",COUNTIF(Dependencies!$B$5:$B$300,A166))</f>
        <v/>
      </c>
      <c r="S166" s="94">
        <f>IF(A166="","",COUNTIF(Dependencies!$F$5:$F$300,A166))</f>
        <v/>
      </c>
      <c r="T166" s="94">
        <f>IF(A166="","",IF(AND(OR(I166="Implemented",I166="Verified"),J166=""),"⚠ Sem link de código",IF(AND(I166="Verified",K166=""),"⚠ Sem evidência",IF(OR(P166="Sim",D166="TBD (owner pending)"),"◐ Proprietário pendente",IF(R166+S166=0,"○ Sem relações","✔ OK")))))</f>
        <v/>
      </c>
    </row>
    <row r="167" ht="15" customHeight="1" s="50">
      <c r="R167" s="94">
        <f>IF(A167="","",COUNTIF(Dependencies!$B$5:$B$300,A167))</f>
        <v/>
      </c>
      <c r="S167" s="94">
        <f>IF(A167="","",COUNTIF(Dependencies!$F$5:$F$300,A167))</f>
        <v/>
      </c>
      <c r="T167" s="94">
        <f>IF(A167="","",IF(AND(OR(I167="Implemented",I167="Verified"),J167=""),"⚠ Sem link de código",IF(AND(I167="Verified",K167=""),"⚠ Sem evidência",IF(OR(P167="Sim",D167="TBD (owner pending)"),"◐ Proprietário pendente",IF(R167+S167=0,"○ Sem relações","✔ OK")))))</f>
        <v/>
      </c>
    </row>
    <row r="168" ht="15" customHeight="1" s="50">
      <c r="R168" s="94">
        <f>IF(A168="","",COUNTIF(Dependencies!$B$5:$B$300,A168))</f>
        <v/>
      </c>
      <c r="S168" s="94">
        <f>IF(A168="","",COUNTIF(Dependencies!$F$5:$F$300,A168))</f>
        <v/>
      </c>
      <c r="T168" s="94">
        <f>IF(A168="","",IF(AND(OR(I168="Implemented",I168="Verified"),J168=""),"⚠ Sem link de código",IF(AND(I168="Verified",K168=""),"⚠ Sem evidência",IF(OR(P168="Sim",D168="TBD (owner pending)"),"◐ Proprietário pendente",IF(R168+S168=0,"○ Sem relações","✔ OK")))))</f>
        <v/>
      </c>
    </row>
    <row r="169" ht="15" customHeight="1" s="50">
      <c r="R169" s="94">
        <f>IF(A169="","",COUNTIF(Dependencies!$B$5:$B$300,A169))</f>
        <v/>
      </c>
      <c r="S169" s="94">
        <f>IF(A169="","",COUNTIF(Dependencies!$F$5:$F$300,A169))</f>
        <v/>
      </c>
      <c r="T169" s="94">
        <f>IF(A169="","",IF(AND(OR(I169="Implemented",I169="Verified"),J169=""),"⚠ Sem link de código",IF(AND(I169="Verified",K169=""),"⚠ Sem evidência",IF(OR(P169="Sim",D169="TBD (owner pending)"),"◐ Proprietário pendente",IF(R169+S169=0,"○ Sem relações","✔ OK")))))</f>
        <v/>
      </c>
    </row>
    <row r="170" ht="15" customHeight="1" s="50">
      <c r="R170" s="94">
        <f>IF(A170="","",COUNTIF(Dependencies!$B$5:$B$300,A170))</f>
        <v/>
      </c>
      <c r="S170" s="94">
        <f>IF(A170="","",COUNTIF(Dependencies!$F$5:$F$300,A170))</f>
        <v/>
      </c>
      <c r="T170" s="94">
        <f>IF(A170="","",IF(AND(OR(I170="Implemented",I170="Verified"),J170=""),"⚠ Sem link de código",IF(AND(I170="Verified",K170=""),"⚠ Sem evidência",IF(OR(P170="Sim",D170="TBD (owner pending)"),"◐ Proprietário pendente",IF(R170+S170=0,"○ Sem relações","✔ OK")))))</f>
        <v/>
      </c>
    </row>
    <row r="171" ht="15" customHeight="1" s="50">
      <c r="R171" s="94">
        <f>IF(A171="","",COUNTIF(Dependencies!$B$5:$B$300,A171))</f>
        <v/>
      </c>
      <c r="S171" s="94">
        <f>IF(A171="","",COUNTIF(Dependencies!$F$5:$F$300,A171))</f>
        <v/>
      </c>
      <c r="T171" s="94">
        <f>IF(A171="","",IF(AND(OR(I171="Implemented",I171="Verified"),J171=""),"⚠ Sem link de código",IF(AND(I171="Verified",K171=""),"⚠ Sem evidência",IF(OR(P171="Sim",D171="TBD (owner pending)"),"◐ Proprietário pendente",IF(R171+S171=0,"○ Sem relações","✔ OK")))))</f>
        <v/>
      </c>
    </row>
    <row r="172" ht="15" customHeight="1" s="50">
      <c r="R172" s="94">
        <f>IF(A172="","",COUNTIF(Dependencies!$B$5:$B$300,A172))</f>
        <v/>
      </c>
      <c r="S172" s="94">
        <f>IF(A172="","",COUNTIF(Dependencies!$F$5:$F$300,A172))</f>
        <v/>
      </c>
      <c r="T172" s="94">
        <f>IF(A172="","",IF(AND(OR(I172="Implemented",I172="Verified"),J172=""),"⚠ Sem link de código",IF(AND(I172="Verified",K172=""),"⚠ Sem evidência",IF(OR(P172="Sim",D172="TBD (owner pending)"),"◐ Proprietário pendente",IF(R172+S172=0,"○ Sem relações","✔ OK")))))</f>
        <v/>
      </c>
    </row>
    <row r="173" ht="15" customHeight="1" s="50">
      <c r="R173" s="94">
        <f>IF(A173="","",COUNTIF(Dependencies!$B$5:$B$300,A173))</f>
        <v/>
      </c>
      <c r="S173" s="94">
        <f>IF(A173="","",COUNTIF(Dependencies!$F$5:$F$300,A173))</f>
        <v/>
      </c>
      <c r="T173" s="94">
        <f>IF(A173="","",IF(AND(OR(I173="Implemented",I173="Verified"),J173=""),"⚠ Sem link de código",IF(AND(I173="Verified",K173=""),"⚠ Sem evidência",IF(OR(P173="Sim",D173="TBD (owner pending)"),"◐ Proprietário pendente",IF(R173+S173=0,"○ Sem relações","✔ OK")))))</f>
        <v/>
      </c>
    </row>
    <row r="174" ht="15" customHeight="1" s="50">
      <c r="R174" s="94">
        <f>IF(A174="","",COUNTIF(Dependencies!$B$5:$B$300,A174))</f>
        <v/>
      </c>
      <c r="S174" s="94">
        <f>IF(A174="","",COUNTIF(Dependencies!$F$5:$F$300,A174))</f>
        <v/>
      </c>
      <c r="T174" s="94">
        <f>IF(A174="","",IF(AND(OR(I174="Implemented",I174="Verified"),J174=""),"⚠ Sem link de código",IF(AND(I174="Verified",K174=""),"⚠ Sem evidência",IF(OR(P174="Sim",D174="TBD (owner pending)"),"◐ Proprietário pendente",IF(R174+S174=0,"○ Sem relações","✔ OK")))))</f>
        <v/>
      </c>
    </row>
    <row r="175" ht="15" customHeight="1" s="50">
      <c r="R175" s="94">
        <f>IF(A175="","",COUNTIF(Dependencies!$B$5:$B$300,A175))</f>
        <v/>
      </c>
      <c r="S175" s="94">
        <f>IF(A175="","",COUNTIF(Dependencies!$F$5:$F$300,A175))</f>
        <v/>
      </c>
      <c r="T175" s="94">
        <f>IF(A175="","",IF(AND(OR(I175="Implemented",I175="Verified"),J175=""),"⚠ Sem link de código",IF(AND(I175="Verified",K175=""),"⚠ Sem evidência",IF(OR(P175="Sim",D175="TBD (owner pending)"),"◐ Proprietário pendente",IF(R175+S175=0,"○ Sem relações","✔ OK")))))</f>
        <v/>
      </c>
    </row>
    <row r="176" ht="15" customHeight="1" s="50">
      <c r="R176" s="94">
        <f>IF(A176="","",COUNTIF(Dependencies!$B$5:$B$300,A176))</f>
        <v/>
      </c>
      <c r="S176" s="94">
        <f>IF(A176="","",COUNTIF(Dependencies!$F$5:$F$300,A176))</f>
        <v/>
      </c>
      <c r="T176" s="94">
        <f>IF(A176="","",IF(AND(OR(I176="Implemented",I176="Verified"),J176=""),"⚠ Sem link de código",IF(AND(I176="Verified",K176=""),"⚠ Sem evidência",IF(OR(P176="Sim",D176="TBD (owner pending)"),"◐ Proprietário pendente",IF(R176+S176=0,"○ Sem relações","✔ OK")))))</f>
        <v/>
      </c>
    </row>
    <row r="177" ht="15" customHeight="1" s="50">
      <c r="R177" s="94">
        <f>IF(A177="","",COUNTIF(Dependencies!$B$5:$B$300,A177))</f>
        <v/>
      </c>
      <c r="S177" s="94">
        <f>IF(A177="","",COUNTIF(Dependencies!$F$5:$F$300,A177))</f>
        <v/>
      </c>
      <c r="T177" s="94">
        <f>IF(A177="","",IF(AND(OR(I177="Implemented",I177="Verified"),J177=""),"⚠ Sem link de código",IF(AND(I177="Verified",K177=""),"⚠ Sem evidência",IF(OR(P177="Sim",D177="TBD (owner pending)"),"◐ Proprietário pendente",IF(R177+S177=0,"○ Sem relações","✔ OK")))))</f>
        <v/>
      </c>
    </row>
    <row r="178" ht="15" customHeight="1" s="50">
      <c r="R178" s="94">
        <f>IF(A178="","",COUNTIF(Dependencies!$B$5:$B$300,A178))</f>
        <v/>
      </c>
      <c r="S178" s="94">
        <f>IF(A178="","",COUNTIF(Dependencies!$F$5:$F$300,A178))</f>
        <v/>
      </c>
      <c r="T178" s="94">
        <f>IF(A178="","",IF(AND(OR(I178="Implemented",I178="Verified"),J178=""),"⚠ Sem link de código",IF(AND(I178="Verified",K178=""),"⚠ Sem evidência",IF(OR(P178="Sim",D178="TBD (owner pending)"),"◐ Proprietário pendente",IF(R178+S178=0,"○ Sem relações","✔ OK")))))</f>
        <v/>
      </c>
    </row>
    <row r="179" ht="15" customHeight="1" s="50">
      <c r="R179" s="94">
        <f>IF(A179="","",COUNTIF(Dependencies!$B$5:$B$300,A179))</f>
        <v/>
      </c>
      <c r="S179" s="94">
        <f>IF(A179="","",COUNTIF(Dependencies!$F$5:$F$300,A179))</f>
        <v/>
      </c>
      <c r="T179" s="94">
        <f>IF(A179="","",IF(AND(OR(I179="Implemented",I179="Verified"),J179=""),"⚠ Sem link de código",IF(AND(I179="Verified",K179=""),"⚠ Sem evidência",IF(OR(P179="Sim",D179="TBD (owner pending)"),"◐ Proprietário pendente",IF(R179+S179=0,"○ Sem relações","✔ OK")))))</f>
        <v/>
      </c>
    </row>
    <row r="180" ht="15" customHeight="1" s="50">
      <c r="R180" s="94">
        <f>IF(A180="","",COUNTIF(Dependencies!$B$5:$B$300,A180))</f>
        <v/>
      </c>
      <c r="S180" s="94">
        <f>IF(A180="","",COUNTIF(Dependencies!$F$5:$F$300,A180))</f>
        <v/>
      </c>
      <c r="T180" s="94">
        <f>IF(A180="","",IF(AND(OR(I180="Implemented",I180="Verified"),J180=""),"⚠ Sem link de código",IF(AND(I180="Verified",K180=""),"⚠ Sem evidência",IF(OR(P180="Sim",D180="TBD (owner pending)"),"◐ Proprietário pendente",IF(R180+S180=0,"○ Sem relações","✔ OK")))))</f>
        <v/>
      </c>
    </row>
    <row r="181" ht="15" customHeight="1" s="50">
      <c r="R181" s="94">
        <f>IF(A181="","",COUNTIF(Dependencies!$B$5:$B$300,A181))</f>
        <v/>
      </c>
      <c r="S181" s="94">
        <f>IF(A181="","",COUNTIF(Dependencies!$F$5:$F$300,A181))</f>
        <v/>
      </c>
      <c r="T181" s="94">
        <f>IF(A181="","",IF(AND(OR(I181="Implemented",I181="Verified"),J181=""),"⚠ Sem link de código",IF(AND(I181="Verified",K181=""),"⚠ Sem evidência",IF(OR(P181="Sim",D181="TBD (owner pending)"),"◐ Proprietário pendente",IF(R181+S181=0,"○ Sem relações","✔ OK")))))</f>
        <v/>
      </c>
    </row>
    <row r="182" ht="15" customHeight="1" s="50">
      <c r="R182" s="94">
        <f>IF(A182="","",COUNTIF(Dependencies!$B$5:$B$300,A182))</f>
        <v/>
      </c>
      <c r="S182" s="94">
        <f>IF(A182="","",COUNTIF(Dependencies!$F$5:$F$300,A182))</f>
        <v/>
      </c>
      <c r="T182" s="94">
        <f>IF(A182="","",IF(AND(OR(I182="Implemented",I182="Verified"),J182=""),"⚠ Sem link de código",IF(AND(I182="Verified",K182=""),"⚠ Sem evidência",IF(OR(P182="Sim",D182="TBD (owner pending)"),"◐ Proprietário pendente",IF(R182+S182=0,"○ Sem relações","✔ OK")))))</f>
        <v/>
      </c>
    </row>
    <row r="183" ht="15" customHeight="1" s="50">
      <c r="R183" s="94">
        <f>IF(A183="","",COUNTIF(Dependencies!$B$5:$B$300,A183))</f>
        <v/>
      </c>
      <c r="S183" s="94">
        <f>IF(A183="","",COUNTIF(Dependencies!$F$5:$F$300,A183))</f>
        <v/>
      </c>
      <c r="T183" s="94">
        <f>IF(A183="","",IF(AND(OR(I183="Implemented",I183="Verified"),J183=""),"⚠ Sem link de código",IF(AND(I183="Verified",K183=""),"⚠ Sem evidência",IF(OR(P183="Sim",D183="TBD (owner pending)"),"◐ Proprietário pendente",IF(R183+S183=0,"○ Sem relações","✔ OK")))))</f>
        <v/>
      </c>
    </row>
    <row r="184" ht="15" customHeight="1" s="50">
      <c r="R184" s="94">
        <f>IF(A184="","",COUNTIF(Dependencies!$B$5:$B$300,A184))</f>
        <v/>
      </c>
      <c r="S184" s="94">
        <f>IF(A184="","",COUNTIF(Dependencies!$F$5:$F$300,A184))</f>
        <v/>
      </c>
      <c r="T184" s="94">
        <f>IF(A184="","",IF(AND(OR(I184="Implemented",I184="Verified"),J184=""),"⚠ Sem link de código",IF(AND(I184="Verified",K184=""),"⚠ Sem evidência",IF(OR(P184="Sim",D184="TBD (owner pending)"),"◐ Proprietário pendente",IF(R184+S184=0,"○ Sem relações","✔ OK")))))</f>
        <v/>
      </c>
    </row>
    <row r="185" ht="15" customHeight="1" s="50">
      <c r="R185" s="94">
        <f>IF(A185="","",COUNTIF(Dependencies!$B$5:$B$300,A185))</f>
        <v/>
      </c>
      <c r="S185" s="94">
        <f>IF(A185="","",COUNTIF(Dependencies!$F$5:$F$300,A185))</f>
        <v/>
      </c>
      <c r="T185" s="94">
        <f>IF(A185="","",IF(AND(OR(I185="Implemented",I185="Verified"),J185=""),"⚠ Sem link de código",IF(AND(I185="Verified",K185=""),"⚠ Sem evidência",IF(OR(P185="Sim",D185="TBD (owner pending)"),"◐ Proprietário pendente",IF(R185+S185=0,"○ Sem relações","✔ OK")))))</f>
        <v/>
      </c>
    </row>
    <row r="186" ht="15" customHeight="1" s="50">
      <c r="R186" s="94">
        <f>IF(A186="","",COUNTIF(Dependencies!$B$5:$B$300,A186))</f>
        <v/>
      </c>
      <c r="S186" s="94">
        <f>IF(A186="","",COUNTIF(Dependencies!$F$5:$F$300,A186))</f>
        <v/>
      </c>
      <c r="T186" s="94">
        <f>IF(A186="","",IF(AND(OR(I186="Implemented",I186="Verified"),J186=""),"⚠ Sem link de código",IF(AND(I186="Verified",K186=""),"⚠ Sem evidência",IF(OR(P186="Sim",D186="TBD (owner pending)"),"◐ Proprietário pendente",IF(R186+S186=0,"○ Sem relações","✔ OK")))))</f>
        <v/>
      </c>
    </row>
    <row r="187" ht="15" customHeight="1" s="50">
      <c r="R187" s="94">
        <f>IF(A187="","",COUNTIF(Dependencies!$B$5:$B$300,A187))</f>
        <v/>
      </c>
      <c r="S187" s="94">
        <f>IF(A187="","",COUNTIF(Dependencies!$F$5:$F$300,A187))</f>
        <v/>
      </c>
      <c r="T187" s="94">
        <f>IF(A187="","",IF(AND(OR(I187="Implemented",I187="Verified"),J187=""),"⚠ Sem link de código",IF(AND(I187="Verified",K187=""),"⚠ Sem evidência",IF(OR(P187="Sim",D187="TBD (owner pending)"),"◐ Proprietário pendente",IF(R187+S187=0,"○ Sem relações","✔ OK")))))</f>
        <v/>
      </c>
    </row>
    <row r="188" ht="15" customHeight="1" s="50">
      <c r="R188" s="94">
        <f>IF(A188="","",COUNTIF(Dependencies!$B$5:$B$300,A188))</f>
        <v/>
      </c>
      <c r="S188" s="94">
        <f>IF(A188="","",COUNTIF(Dependencies!$F$5:$F$300,A188))</f>
        <v/>
      </c>
      <c r="T188" s="94">
        <f>IF(A188="","",IF(AND(OR(I188="Implemented",I188="Verified"),J188=""),"⚠ Sem link de código",IF(AND(I188="Verified",K188=""),"⚠ Sem evidência",IF(OR(P188="Sim",D188="TBD (owner pending)"),"◐ Proprietário pendente",IF(R188+S188=0,"○ Sem relações","✔ OK")))))</f>
        <v/>
      </c>
    </row>
    <row r="189" ht="15" customHeight="1" s="50">
      <c r="R189" s="94">
        <f>IF(A189="","",COUNTIF(Dependencies!$B$5:$B$300,A189))</f>
        <v/>
      </c>
      <c r="S189" s="94">
        <f>IF(A189="","",COUNTIF(Dependencies!$F$5:$F$300,A189))</f>
        <v/>
      </c>
      <c r="T189" s="94">
        <f>IF(A189="","",IF(AND(OR(I189="Implemented",I189="Verified"),J189=""),"⚠ Sem link de código",IF(AND(I189="Verified",K189=""),"⚠ Sem evidência",IF(OR(P189="Sim",D189="TBD (owner pending)"),"◐ Proprietário pendente",IF(R189+S189=0,"○ Sem relações","✔ OK")))))</f>
        <v/>
      </c>
    </row>
    <row r="190" ht="15" customHeight="1" s="50">
      <c r="R190" s="94">
        <f>IF(A190="","",COUNTIF(Dependencies!$B$5:$B$300,A190))</f>
        <v/>
      </c>
      <c r="S190" s="94">
        <f>IF(A190="","",COUNTIF(Dependencies!$F$5:$F$300,A190))</f>
        <v/>
      </c>
      <c r="T190" s="94">
        <f>IF(A190="","",IF(AND(OR(I190="Implemented",I190="Verified"),J190=""),"⚠ Sem link de código",IF(AND(I190="Verified",K190=""),"⚠ Sem evidência",IF(OR(P190="Sim",D190="TBD (owner pending)"),"◐ Proprietário pendente",IF(R190+S190=0,"○ Sem relações","✔ OK")))))</f>
        <v/>
      </c>
    </row>
    <row r="191" ht="15" customHeight="1" s="50">
      <c r="R191" s="94">
        <f>IF(A191="","",COUNTIF(Dependencies!$B$5:$B$300,A191))</f>
        <v/>
      </c>
      <c r="S191" s="94">
        <f>IF(A191="","",COUNTIF(Dependencies!$F$5:$F$300,A191))</f>
        <v/>
      </c>
      <c r="T191" s="94">
        <f>IF(A191="","",IF(AND(OR(I191="Implemented",I191="Verified"),J191=""),"⚠ Sem link de código",IF(AND(I191="Verified",K191=""),"⚠ Sem evidência",IF(OR(P191="Sim",D191="TBD (owner pending)"),"◐ Proprietário pendente",IF(R191+S191=0,"○ Sem relações","✔ OK")))))</f>
        <v/>
      </c>
    </row>
    <row r="192" ht="15" customHeight="1" s="50">
      <c r="R192" s="94">
        <f>IF(A192="","",COUNTIF(Dependencies!$B$5:$B$300,A192))</f>
        <v/>
      </c>
      <c r="S192" s="94">
        <f>IF(A192="","",COUNTIF(Dependencies!$F$5:$F$300,A192))</f>
        <v/>
      </c>
      <c r="T192" s="94">
        <f>IF(A192="","",IF(AND(OR(I192="Implemented",I192="Verified"),J192=""),"⚠ Sem link de código",IF(AND(I192="Verified",K192=""),"⚠ Sem evidência",IF(OR(P192="Sim",D192="TBD (owner pending)"),"◐ Proprietário pendente",IF(R192+S192=0,"○ Sem relações","✔ OK")))))</f>
        <v/>
      </c>
    </row>
    <row r="193" ht="15" customHeight="1" s="50">
      <c r="R193" s="94">
        <f>IF(A193="","",COUNTIF(Dependencies!$B$5:$B$300,A193))</f>
        <v/>
      </c>
      <c r="S193" s="94">
        <f>IF(A193="","",COUNTIF(Dependencies!$F$5:$F$300,A193))</f>
        <v/>
      </c>
      <c r="T193" s="94">
        <f>IF(A193="","",IF(AND(OR(I193="Implemented",I193="Verified"),J193=""),"⚠ Sem link de código",IF(AND(I193="Verified",K193=""),"⚠ Sem evidência",IF(OR(P193="Sim",D193="TBD (owner pending)"),"◐ Proprietário pendente",IF(R193+S193=0,"○ Sem relações","✔ OK")))))</f>
        <v/>
      </c>
    </row>
    <row r="194" ht="15" customHeight="1" s="50">
      <c r="R194" s="94">
        <f>IF(A194="","",COUNTIF(Dependencies!$B$5:$B$300,A194))</f>
        <v/>
      </c>
      <c r="S194" s="94">
        <f>IF(A194="","",COUNTIF(Dependencies!$F$5:$F$300,A194))</f>
        <v/>
      </c>
      <c r="T194" s="94">
        <f>IF(A194="","",IF(AND(OR(I194="Implemented",I194="Verified"),J194=""),"⚠ Sem link de código",IF(AND(I194="Verified",K194=""),"⚠ Sem evidência",IF(OR(P194="Sim",D194="TBD (owner pending)"),"◐ Proprietário pendente",IF(R194+S194=0,"○ Sem relações","✔ OK")))))</f>
        <v/>
      </c>
    </row>
    <row r="195" ht="15" customHeight="1" s="50">
      <c r="R195" s="94">
        <f>IF(A195="","",COUNTIF(Dependencies!$B$5:$B$300,A195))</f>
        <v/>
      </c>
      <c r="S195" s="94">
        <f>IF(A195="","",COUNTIF(Dependencies!$F$5:$F$300,A195))</f>
        <v/>
      </c>
      <c r="T195" s="94">
        <f>IF(A195="","",IF(AND(OR(I195="Implemented",I195="Verified"),J195=""),"⚠ Sem link de código",IF(AND(I195="Verified",K195=""),"⚠ Sem evidência",IF(OR(P195="Sim",D195="TBD (owner pending)"),"◐ Proprietário pendente",IF(R195+S195=0,"○ Sem relações","✔ OK")))))</f>
        <v/>
      </c>
    </row>
    <row r="196" ht="15" customHeight="1" s="50">
      <c r="R196" s="94">
        <f>IF(A196="","",COUNTIF(Dependencies!$B$5:$B$300,A196))</f>
        <v/>
      </c>
      <c r="S196" s="94">
        <f>IF(A196="","",COUNTIF(Dependencies!$F$5:$F$300,A196))</f>
        <v/>
      </c>
      <c r="T196" s="94">
        <f>IF(A196="","",IF(AND(OR(I196="Implemented",I196="Verified"),J196=""),"⚠ Sem link de código",IF(AND(I196="Verified",K196=""),"⚠ Sem evidência",IF(OR(P196="Sim",D196="TBD (owner pending)"),"◐ Proprietário pendente",IF(R196+S196=0,"○ Sem relações","✔ OK")))))</f>
        <v/>
      </c>
    </row>
    <row r="197" ht="15" customHeight="1" s="50">
      <c r="R197" s="94">
        <f>IF(A197="","",COUNTIF(Dependencies!$B$5:$B$300,A197))</f>
        <v/>
      </c>
      <c r="S197" s="94">
        <f>IF(A197="","",COUNTIF(Dependencies!$F$5:$F$300,A197))</f>
        <v/>
      </c>
      <c r="T197" s="94">
        <f>IF(A197="","",IF(AND(OR(I197="Implemented",I197="Verified"),J197=""),"⚠ Sem link de código",IF(AND(I197="Verified",K197=""),"⚠ Sem evidência",IF(OR(P197="Sim",D197="TBD (owner pending)"),"◐ Proprietário pendente",IF(R197+S197=0,"○ Sem relações","✔ OK")))))</f>
        <v/>
      </c>
    </row>
    <row r="198" ht="15" customHeight="1" s="50">
      <c r="R198" s="94">
        <f>IF(A198="","",COUNTIF(Dependencies!$B$5:$B$300,A198))</f>
        <v/>
      </c>
      <c r="S198" s="94">
        <f>IF(A198="","",COUNTIF(Dependencies!$F$5:$F$300,A198))</f>
        <v/>
      </c>
      <c r="T198" s="94">
        <f>IF(A198="","",IF(AND(OR(I198="Implemented",I198="Verified"),J198=""),"⚠ Sem link de código",IF(AND(I198="Verified",K198=""),"⚠ Sem evidência",IF(OR(P198="Sim",D198="TBD (owner pending)"),"◐ Proprietário pendente",IF(R198+S198=0,"○ Sem relações","✔ OK")))))</f>
        <v/>
      </c>
    </row>
    <row r="199" ht="15" customHeight="1" s="50">
      <c r="R199" s="94">
        <f>IF(A199="","",COUNTIF(Dependencies!$B$5:$B$300,A199))</f>
        <v/>
      </c>
      <c r="S199" s="94">
        <f>IF(A199="","",COUNTIF(Dependencies!$F$5:$F$300,A199))</f>
        <v/>
      </c>
      <c r="T199" s="94">
        <f>IF(A199="","",IF(AND(OR(I199="Implemented",I199="Verified"),J199=""),"⚠ Sem link de código",IF(AND(I199="Verified",K199=""),"⚠ Sem evidência",IF(OR(P199="Sim",D199="TBD (owner pending)"),"◐ Proprietário pendente",IF(R199+S199=0,"○ Sem relações","✔ OK")))))</f>
        <v/>
      </c>
    </row>
    <row r="200" ht="15" customHeight="1" s="50">
      <c r="R200" s="94">
        <f>IF(A200="","",COUNTIF(Dependencies!$B$5:$B$300,A200))</f>
        <v/>
      </c>
      <c r="S200" s="94">
        <f>IF(A200="","",COUNTIF(Dependencies!$F$5:$F$300,A200))</f>
        <v/>
      </c>
      <c r="T200" s="94">
        <f>IF(A200="","",IF(AND(OR(I200="Implemented",I200="Verified"),J200=""),"⚠ Sem link de código",IF(AND(I200="Verified",K200=""),"⚠ Sem evidência",IF(OR(P200="Sim",D200="TBD (owner pending)"),"◐ Proprietário pendente",IF(R200+S200=0,"○ Sem relações","✔ OK")))))</f>
        <v/>
      </c>
    </row>
  </sheetData>
  <autoFilter ref="A4:T200"/>
  <conditionalFormatting sqref="I5:I200">
    <cfRule type="cellIs" rank="0" priority="2" equalAverage="0" operator="equal" aboveAverage="0" dxfId="11" text="" percent="0" bottom="0">
      <formula>"Planned"</formula>
    </cfRule>
    <cfRule type="cellIs" rank="0" priority="3" equalAverage="0" operator="equal" aboveAverage="0" dxfId="29" text="" percent="0" bottom="0">
      <formula>"Partial"</formula>
    </cfRule>
    <cfRule type="cellIs" rank="0" priority="4" equalAverage="0" operator="equal" aboveAverage="0" dxfId="13" text="" percent="0" bottom="0">
      <formula>"Implemented"</formula>
    </cfRule>
    <cfRule type="cellIs" rank="0" priority="5" equalAverage="0" operator="equal" aboveAverage="0" dxfId="15" text="" percent="0" bottom="0">
      <formula>"Verified"</formula>
    </cfRule>
  </conditionalFormatting>
  <conditionalFormatting sqref="T5:T200">
    <cfRule type="expression" rank="0" priority="6" equalAverage="0" aboveAverage="0" dxfId="30" text="" percent="0" bottom="0">
      <formula>LEFT($T5,1)="⚠"</formula>
    </cfRule>
    <cfRule type="expression" rank="0" priority="7" equalAverage="0" aboveAverage="0" dxfId="31" text="" percent="0" bottom="0">
      <formula>LEFT($T5,1)="◐"</formula>
    </cfRule>
    <cfRule type="expression" rank="0" priority="8" equalAverage="0" aboveAverage="0" dxfId="32" text="" percent="0" bottom="0">
      <formula>LEFT($T5,1)="○"</formula>
    </cfRule>
    <cfRule type="expression" rank="0" priority="9" equalAverage="0" aboveAverage="0" dxfId="33" text="" percent="0" bottom="0">
      <formula>LEFT($T5,1)="✔"</formula>
    </cfRule>
  </conditionalFormatting>
  <conditionalFormatting sqref="N5:N200">
    <cfRule type="cellIs" rank="0" priority="10" equalAverage="0" operator="equal" aboveAverage="0" dxfId="30" text="" percent="0" bottom="0">
      <formula>"P0"</formula>
    </cfRule>
    <cfRule type="cellIs" rank="0" priority="11" equalAverage="0" operator="equal" aboveAverage="0" dxfId="31" text="" percent="0" bottom="0">
      <formula>"P1"</formula>
    </cfRule>
    <cfRule type="cellIs" rank="0" priority="12" equalAverage="0" operator="equal" aboveAverage="0" dxfId="32" text="" percent="0" bottom="0">
      <formula>"P2"</formula>
    </cfRule>
  </conditionalFormatting>
  <conditionalFormatting sqref="P5:P200">
    <cfRule type="cellIs" rank="0" priority="13" equalAverage="0" operator="equal" aboveAverage="0" dxfId="19" text="" percent="0" bottom="0">
      <formula>"Sim"</formula>
    </cfRule>
  </conditionalFormatting>
  <conditionalFormatting sqref="R5:S200">
    <cfRule type="dataBar" priority="14">
      <dataBar minLength="10" maxLength="90" showValue="1">
        <cfvo type="num" val="0"/>
        <cfvo type="max" val="0"/>
        <color rgb="FF7FB2E5"/>
      </dataBar>
    </cfRule>
  </conditionalFormatting>
  <dataValidations count="8">
    <dataValidation sqref="C5:C200" showDropDown="0" showInputMessage="0" showErrorMessage="1" allowBlank="1" type="list" errorStyle="stop" operator="between">
      <formula1>"Metric"</formula1>
      <formula2>0</formula2>
    </dataValidation>
    <dataValidation sqref="D5:D200" showDropDown="0" showInputMessage="0" showErrorMessage="1" allowBlank="1" type="list" errorStyle="stop" operator="between">
      <formula1>Listas!$P$5:$P$16</formula1>
      <formula2>0</formula2>
    </dataValidation>
    <dataValidation sqref="I5:I200" showDropDown="0" showInputMessage="0" showErrorMessage="1" allowBlank="1" type="list" errorStyle="stop" operator="between">
      <formula1>Listas!$L$5:$L$8</formula1>
      <formula2>0</formula2>
    </dataValidation>
    <dataValidation sqref="L5:L200" showDropDown="0" showInputMessage="0" showErrorMessage="1" allowBlank="1" type="list" errorStyle="stop" operator="between">
      <formula1>Listas!$N$5:$N$9</formula1>
      <formula2>0</formula2>
    </dataValidation>
    <dataValidation sqref="M5:M200" showDropDown="0" showInputMessage="0" showErrorMessage="1" allowBlank="1" type="list" errorStyle="stop" operator="between">
      <formula1>Fases!$A$5:$A$14</formula1>
      <formula2>0</formula2>
    </dataValidation>
    <dataValidation sqref="N5:N200" showDropDown="0" showInputMessage="0" showErrorMessage="1" allowBlank="1" type="list" errorStyle="stop" operator="between">
      <formula1>"P0,P1,P2"</formula1>
      <formula2>0</formula2>
    </dataValidation>
    <dataValidation sqref="O5:O200" showDropDown="0" showInputMessage="0" showErrorMessage="1" allowBlank="1" type="list" errorStyle="stop" operator="between">
      <formula1>Roadmap!$A$6:$A$200</formula1>
      <formula2>0</formula2>
    </dataValidation>
    <dataValidation sqref="P5:P200" showDropDown="0" showInputMessage="0" showErrorMessage="1" allowBlank="1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8A70"/>
    <outlinePr summaryBelow="1" summaryRight="1"/>
    <pageSetUpPr fitToPage="1"/>
  </sheetPr>
  <dimension ref="A1:W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49" min="1" max="1"/>
    <col width="34" customWidth="1" style="49" min="2" max="2"/>
    <col width="15" customWidth="1" style="49" min="3" max="3"/>
    <col width="20" customWidth="1" style="49" min="4" max="4"/>
    <col width="16" customWidth="1" style="49" min="5" max="5"/>
    <col width="60" customWidth="1" style="49" min="6" max="6"/>
    <col width="32" customWidth="1" style="49" min="7" max="7"/>
    <col width="30" customWidth="1" style="49" min="8" max="8"/>
    <col width="16" customWidth="1" style="49" min="9" max="9"/>
    <col width="28" customWidth="1" style="49" min="10" max="10"/>
    <col width="40" customWidth="1" style="49" min="11" max="11"/>
    <col width="26" customWidth="1" style="49" min="12" max="12"/>
    <col width="12" customWidth="1" style="49" min="13" max="13"/>
    <col width="10" customWidth="1" style="49" min="14" max="14"/>
    <col width="12" customWidth="1" style="49" min="15" max="15"/>
    <col width="14" customWidth="1" style="49" min="16" max="16"/>
    <col width="38" customWidth="1" style="49" min="17" max="17"/>
    <col width="11" customWidth="1" style="49" min="18" max="19"/>
    <col width="24" customWidth="1" style="49" min="20" max="20"/>
    <col width="18" customWidth="1" style="49" min="21" max="21"/>
    <col width="44" customWidth="1" style="49" min="22" max="22"/>
    <col width="40" customWidth="1" style="49" min="23" max="23"/>
  </cols>
  <sheetData>
    <row r="1" ht="25.5" customHeight="1" s="50">
      <c r="A1" s="90" t="inlineStr">
        <is>
          <t>Projections &amp; Dashboards — contratos de leitura e composições visuais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</row>
    <row r="2" ht="15" customHeight="1" s="50">
      <c r="A2" s="60" t="inlineStr">
        <is>
          <t>Projeção NÃO é constante nem saldo contábil: é cálculo sobre dados, premissas e um instante de referência. Dashboard só compõe métricas (sem autoridade de cálculo). Linhas iniciais são PROPOSTAS, não afirmam que já existem no código.</t>
        </is>
      </c>
    </row>
    <row r="3" ht="43.25" customHeight="1" s="50">
      <c r="F3" s="91" t="inlineStr">
        <is>
          <t>Regra ou fórmula formal, testável.</t>
        </is>
      </c>
      <c r="G3" s="91" t="inlineStr">
        <is>
          <t>Ledger, PostgreSQL, subledger…</t>
        </is>
      </c>
      <c r="J3" s="91" t="inlineStr">
        <is>
          <t>Link ao código real. Vazio se não existir.</t>
        </is>
      </c>
      <c r="K3" s="91" t="inlineStr">
        <is>
          <t>Testes de cálculo, reconciliação, atualização.</t>
        </is>
      </c>
      <c r="P3" s="91" t="inlineStr">
        <is>
          <t>Sim = proprietário ainda indefinido (ver Decisões pendentes).</t>
        </is>
      </c>
      <c r="R3" s="91" t="inlineStr">
        <is>
          <t>Calculado a partir da aba Dependencies.</t>
        </is>
      </c>
      <c r="T3" s="91" t="inlineStr">
        <is>
          <t>Calculado: sinaliza lacunas.</t>
        </is>
      </c>
    </row>
    <row r="4" ht="43.5" customHeight="1" s="50">
      <c r="A4" s="92" t="inlineStr">
        <is>
          <t>ID</t>
        </is>
      </c>
      <c r="B4" s="92" t="inlineStr">
        <is>
          <t>Name (EN)</t>
        </is>
      </c>
      <c r="C4" s="92" t="inlineStr">
        <is>
          <t>Type</t>
        </is>
      </c>
      <c r="D4" s="92" t="inlineStr">
        <is>
          <t>Parent Module</t>
        </is>
      </c>
      <c r="E4" s="92" t="inlineStr">
        <is>
          <t>Submodule</t>
        </is>
      </c>
      <c r="F4" s="92" t="inlineStr">
        <is>
          <t>Definition / Formula</t>
        </is>
      </c>
      <c r="G4" s="92" t="inlineStr">
        <is>
          <t>Data Source</t>
        </is>
      </c>
      <c r="H4" s="92" t="inlineStr">
        <is>
          <t>Dimensions &amp; Filters</t>
        </is>
      </c>
      <c r="I4" s="92" t="inlineStr">
        <is>
          <t>Implementation Status</t>
        </is>
      </c>
      <c r="J4" s="92" t="inlineStr">
        <is>
          <t>Code Link</t>
        </is>
      </c>
      <c r="K4" s="92" t="inlineStr">
        <is>
          <t>Tests / Evidence</t>
        </is>
      </c>
      <c r="L4" s="92" t="inlineStr">
        <is>
          <t>Authority Level</t>
        </is>
      </c>
      <c r="M4" s="92" t="inlineStr">
        <is>
          <t>Repository Phase</t>
        </is>
      </c>
      <c r="N4" s="92" t="inlineStr">
        <is>
          <t>Priority</t>
        </is>
      </c>
      <c r="O4" s="92" t="inlineStr">
        <is>
          <t>Roadmap Item</t>
        </is>
      </c>
      <c r="P4" s="92" t="inlineStr">
        <is>
          <t>Ownership Decision Pending</t>
        </is>
      </c>
      <c r="Q4" s="92" t="inlineStr">
        <is>
          <t>Notes / Source</t>
        </is>
      </c>
      <c r="R4" s="92" t="inlineStr">
        <is>
          <t>Depends on (#)</t>
        </is>
      </c>
      <c r="S4" s="92" t="inlineStr">
        <is>
          <t>Used by (#)</t>
        </is>
      </c>
      <c r="T4" s="92" t="inlineStr">
        <is>
          <t>Health</t>
        </is>
      </c>
      <c r="U4" s="92" t="inlineStr">
        <is>
          <t>Horizon / Period</t>
        </is>
      </c>
      <c r="V4" s="92" t="inlineStr">
        <is>
          <t>Assumptions &amp; Reference Instant</t>
        </is>
      </c>
      <c r="W4" s="92" t="inlineStr">
        <is>
          <t>Non-authoritative Notice</t>
        </is>
      </c>
    </row>
    <row r="5" ht="55.2" customHeight="1" s="50">
      <c r="A5" s="93" t="inlineStr">
        <is>
          <t>PROJ-001</t>
        </is>
      </c>
      <c r="B5" s="93" t="inlineStr">
        <is>
          <t>Cash flow forecast, 30/60/90 days</t>
        </is>
      </c>
      <c r="C5" s="93" t="inlineStr">
        <is>
          <t>Projection</t>
        </is>
      </c>
      <c r="D5" s="93" t="inlineStr">
        <is>
          <t>accounting</t>
        </is>
      </c>
      <c r="E5" s="93" t="inlineStr">
        <is>
          <t>reports</t>
        </is>
      </c>
      <c r="F5" s="93" t="inlineStr">
        <is>
          <t>Opening balance at the reference date + expected receipts − expected payments for each horizon. Overdue, recurring and uncertain items follow a versioned assumption set; every output carries the assumption version and its generation instant.</t>
        </is>
      </c>
      <c r="G5" s="93" t="inlineStr">
        <is>
          <t>Ledger opening balance + receivable/payable subledgers</t>
        </is>
      </c>
      <c r="H5" s="93" t="inlineStr">
        <is>
          <t>Organization, horizon (30/60/90), currency, scenario</t>
        </is>
      </c>
      <c r="I5" s="93" t="inlineStr">
        <is>
          <t>Planned</t>
        </is>
      </c>
      <c r="J5" s="93" t="n"/>
      <c r="K5" s="93" t="inlineStr">
        <is>
          <t>Expected: reproducible from the same inputs and assumption version; realized vs projected variance tracked.</t>
        </is>
      </c>
      <c r="L5" s="93" t="inlineStr">
        <is>
          <t>Projection (non-authoritative)</t>
        </is>
      </c>
      <c r="M5" s="93" t="inlineStr">
        <is>
          <t>A1</t>
        </is>
      </c>
      <c r="N5" s="93" t="inlineStr">
        <is>
          <t>P1</t>
        </is>
      </c>
      <c r="O5" s="93" t="inlineStr">
        <is>
          <t>RM-025</t>
        </is>
      </c>
      <c r="P5" s="93" t="inlineStr">
        <is>
          <t>Não</t>
        </is>
      </c>
      <c r="Q5" s="93" t="inlineStr">
        <is>
          <t>Proposed by review — existence in code not asserted.</t>
        </is>
      </c>
      <c r="R5" s="94">
        <f>IF(A5="","",COUNTIF(Dependencies!$B$5:$B$300,A5))</f>
        <v/>
      </c>
      <c r="S5" s="94">
        <f>IF(A5="","",COUNTIF(Dependencies!$F$5:$F$300,A5))</f>
        <v/>
      </c>
      <c r="T5" s="94">
        <f>IF(A5="","",IF(AND(OR(I5="Implemented",I5="Verified"),J5=""),"⚠ Sem link de código",IF(AND(I5="Verified",K5=""),"⚠ Sem evidência",IF(OR(P5="Sim",D5="TBD (owner pending)"),"◐ Proprietário pendente",IF(R5+S5=0,"○ Sem relações","✔ OK")))))</f>
        <v/>
      </c>
      <c r="U5" s="93" t="inlineStr">
        <is>
          <t>30 / 60 / 90 days</t>
        </is>
      </c>
      <c r="V5" s="93" t="inlineStr">
        <is>
          <t>Reference date and instant required; assumption set versioned.</t>
        </is>
      </c>
      <c r="W5" s="93" t="inlineStr">
        <is>
          <t>Must be labelled "Projection" and never shown as an official ledger balance.</t>
        </is>
      </c>
    </row>
    <row r="6" ht="41.75" customHeight="1" s="50">
      <c r="A6" s="93" t="inlineStr">
        <is>
          <t>PROJ-002</t>
        </is>
      </c>
      <c r="B6" s="93" t="inlineStr">
        <is>
          <t>Actual versus budget</t>
        </is>
      </c>
      <c r="C6" s="93" t="inlineStr">
        <is>
          <t>Projection</t>
        </is>
      </c>
      <c r="D6" s="93" t="inlineStr">
        <is>
          <t>accounting</t>
        </is>
      </c>
      <c r="E6" s="93" t="inlineStr">
        <is>
          <t>reports</t>
        </is>
      </c>
      <c r="F6" s="93" t="inlineStr">
        <is>
          <t>Compares realized values (ledger) with budgeted values per account and period, using METRIC-006.</t>
        </is>
      </c>
      <c r="G6" s="93" t="inlineStr">
        <is>
          <t>Ledger actuals + budget data (source to be defined)</t>
        </is>
      </c>
      <c r="H6" s="93" t="inlineStr">
        <is>
          <t>Organization, account, period, budget version</t>
        </is>
      </c>
      <c r="I6" s="93" t="inlineStr">
        <is>
          <t>Planned</t>
        </is>
      </c>
      <c r="J6" s="93" t="n"/>
      <c r="K6" s="93" t="inlineStr">
        <is>
          <t>Expected: totals tie to METRIC-006; budget version and cut-off shown.</t>
        </is>
      </c>
      <c r="L6" s="93" t="inlineStr">
        <is>
          <t>Projection (non-authoritative)</t>
        </is>
      </c>
      <c r="M6" s="93" t="inlineStr">
        <is>
          <t>A1</t>
        </is>
      </c>
      <c r="N6" s="93" t="inlineStr">
        <is>
          <t>P2</t>
        </is>
      </c>
      <c r="O6" s="93" t="inlineStr">
        <is>
          <t>RM-025</t>
        </is>
      </c>
      <c r="P6" s="93" t="inlineStr">
        <is>
          <t>Sim</t>
        </is>
      </c>
      <c r="Q6" s="93" t="inlineStr">
        <is>
          <t>Proposed by review — existence in code not asserted. Owner undecided — see DEC-001.</t>
        </is>
      </c>
      <c r="R6" s="94">
        <f>IF(A6="","",COUNTIF(Dependencies!$B$5:$B$300,A6))</f>
        <v/>
      </c>
      <c r="S6" s="94">
        <f>IF(A6="","",COUNTIF(Dependencies!$F$5:$F$300,A6))</f>
        <v/>
      </c>
      <c r="T6" s="94">
        <f>IF(A6="","",IF(AND(OR(I6="Implemented",I6="Verified"),J6=""),"⚠ Sem link de código",IF(AND(I6="Verified",K6=""),"⚠ Sem evidência",IF(OR(P6="Sim",D6="TBD (owner pending)"),"◐ Proprietário pendente",IF(R6+S6=0,"○ Sem relações","✔ OK")))))</f>
        <v/>
      </c>
      <c r="U6" s="93" t="inlineStr">
        <is>
          <t>Month / quarter / year</t>
        </is>
      </c>
      <c r="V6" s="93" t="inlineStr">
        <is>
          <t>Budget version and cut-off date required.</t>
        </is>
      </c>
      <c r="W6" s="93" t="inlineStr">
        <is>
          <t>Budget is a plan, not an accounting balance; label accordingly.</t>
        </is>
      </c>
    </row>
    <row r="7" ht="41.75" customHeight="1" s="50">
      <c r="A7" s="93" t="inlineStr">
        <is>
          <t>DASH-001</t>
        </is>
      </c>
      <c r="B7" s="93" t="inlineStr">
        <is>
          <t>Finance overview dashboard</t>
        </is>
      </c>
      <c r="C7" s="93" t="inlineStr">
        <is>
          <t>Dashboard</t>
        </is>
      </c>
      <c r="D7" s="93" t="inlineStr">
        <is>
          <t>apps/kalkulisto</t>
        </is>
      </c>
      <c r="E7" s="93" t="inlineStr">
        <is>
          <t>Dashboard archetype</t>
        </is>
      </c>
      <c r="F7" s="93" t="inlineStr">
        <is>
          <t>Composes METRIC-001, METRIC-002, METRIC-004 and PROJ-001 into one screen. Presentation only — no calculation authority.</t>
        </is>
      </c>
      <c r="G7" s="93" t="inlineStr">
        <is>
          <t>Accounting read models</t>
        </is>
      </c>
      <c r="H7" s="93" t="inlineStr">
        <is>
          <t>Organization, period, currency</t>
        </is>
      </c>
      <c r="I7" s="93" t="inlineStr">
        <is>
          <t>Planned</t>
        </is>
      </c>
      <c r="J7" s="93" t="n"/>
      <c r="K7" s="93" t="inlineStr">
        <is>
          <t>Expected: every figure traces to a canonical metric ID; loading/empty/error states covered.</t>
        </is>
      </c>
      <c r="L7" s="93" t="inlineStr">
        <is>
          <t>Presentation only</t>
        </is>
      </c>
      <c r="M7" s="93" t="inlineStr">
        <is>
          <t>A1</t>
        </is>
      </c>
      <c r="N7" s="93" t="inlineStr">
        <is>
          <t>P1</t>
        </is>
      </c>
      <c r="O7" s="93" t="inlineStr">
        <is>
          <t>RM-017</t>
        </is>
      </c>
      <c r="P7" s="93" t="inlineStr">
        <is>
          <t>Não</t>
        </is>
      </c>
      <c r="Q7" s="93" t="inlineStr">
        <is>
          <t>Proposed by review — existence in code not asserted.</t>
        </is>
      </c>
      <c r="R7" s="94">
        <f>IF(A7="","",COUNTIF(Dependencies!$B$5:$B$300,A7))</f>
        <v/>
      </c>
      <c r="S7" s="94">
        <f>IF(A7="","",COUNTIF(Dependencies!$F$5:$F$300,A7))</f>
        <v/>
      </c>
      <c r="T7" s="94">
        <f>IF(A7="","",IF(AND(OR(I7="Implemented",I7="Verified"),J7=""),"⚠ Sem link de código",IF(AND(I7="Verified",K7=""),"⚠ Sem evidência",IF(OR(P7="Sim",D7="TBD (owner pending)"),"◐ Proprietário pendente",IF(R7+S7=0,"○ Sem relações","✔ OK")))))</f>
        <v/>
      </c>
      <c r="U7" s="93" t="inlineStr">
        <is>
          <t>—</t>
        </is>
      </c>
      <c r="V7" s="93" t="inlineStr">
        <is>
          <t>—</t>
        </is>
      </c>
      <c r="W7" s="93" t="inlineStr">
        <is>
          <t>Projection widgets must carry the projection label and generation instant.</t>
        </is>
      </c>
    </row>
    <row r="8" ht="41.75" customHeight="1" s="50">
      <c r="A8" s="93" t="inlineStr">
        <is>
          <t>DASH-002</t>
        </is>
      </c>
      <c r="B8" s="93" t="inlineStr">
        <is>
          <t>Reconciliation exceptions dashboard</t>
        </is>
      </c>
      <c r="C8" s="93" t="inlineStr">
        <is>
          <t>Dashboard</t>
        </is>
      </c>
      <c r="D8" s="93" t="inlineStr">
        <is>
          <t>accounting</t>
        </is>
      </c>
      <c r="E8" s="93" t="inlineStr">
        <is>
          <t>bank</t>
        </is>
      </c>
      <c r="F8" s="93" t="inlineStr">
        <is>
          <t>Data and rules (exception selection, aging of exceptions) live in the accounting module; apps/kalkulisto only presents them.</t>
        </is>
      </c>
      <c r="G8" s="93" t="inlineStr">
        <is>
          <t>Reconciliation history (PostgreSQL) + ledger</t>
        </is>
      </c>
      <c r="H8" s="93" t="inlineStr">
        <is>
          <t>Organization, account, period</t>
        </is>
      </c>
      <c r="I8" s="93" t="inlineStr">
        <is>
          <t>Planned</t>
        </is>
      </c>
      <c r="J8" s="93" t="n"/>
      <c r="K8" s="93" t="inlineStr">
        <is>
          <t>Expected: exception counts equal ENUM-004 states; no silent adjustments shown as matched.</t>
        </is>
      </c>
      <c r="L8" s="93" t="inlineStr">
        <is>
          <t>Derived read model</t>
        </is>
      </c>
      <c r="M8" s="93" t="inlineStr">
        <is>
          <t>A1</t>
        </is>
      </c>
      <c r="N8" s="93" t="inlineStr">
        <is>
          <t>P1</t>
        </is>
      </c>
      <c r="O8" s="93" t="inlineStr">
        <is>
          <t>RM-015</t>
        </is>
      </c>
      <c r="P8" s="93" t="inlineStr">
        <is>
          <t>Não</t>
        </is>
      </c>
      <c r="Q8" s="93" t="inlineStr">
        <is>
          <t>Proposed by review — existence in code not asserted. Data/rules: accounting; presentation: apps/kalkulisto.</t>
        </is>
      </c>
      <c r="R8" s="94">
        <f>IF(A8="","",COUNTIF(Dependencies!$B$5:$B$300,A8))</f>
        <v/>
      </c>
      <c r="S8" s="94">
        <f>IF(A8="","",COUNTIF(Dependencies!$F$5:$F$300,A8))</f>
        <v/>
      </c>
      <c r="T8" s="94">
        <f>IF(A8="","",IF(AND(OR(I8="Implemented",I8="Verified"),J8=""),"⚠ Sem link de código",IF(AND(I8="Verified",K8=""),"⚠ Sem evidência",IF(OR(P8="Sim",D8="TBD (owner pending)"),"◐ Proprietário pendente",IF(R8+S8=0,"○ Sem relações","✔ OK")))))</f>
        <v/>
      </c>
      <c r="U8" s="93" t="inlineStr">
        <is>
          <t>—</t>
        </is>
      </c>
      <c r="V8" s="93" t="inlineStr">
        <is>
          <t>—</t>
        </is>
      </c>
      <c r="W8" s="93" t="inlineStr">
        <is>
          <t>—</t>
        </is>
      </c>
    </row>
    <row r="9" ht="15" customHeight="1" s="50">
      <c r="A9" s="93" t="n"/>
      <c r="B9" s="93" t="n"/>
      <c r="C9" s="93" t="n"/>
      <c r="D9" s="93" t="n"/>
      <c r="E9" s="93" t="n"/>
      <c r="F9" s="93" t="n"/>
      <c r="G9" s="93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4">
        <f>IF(A9="","",COUNTIF(Dependencies!$B$5:$B$300,A9))</f>
        <v/>
      </c>
      <c r="S9" s="94">
        <f>IF(A9="","",COUNTIF(Dependencies!$F$5:$F$300,A9))</f>
        <v/>
      </c>
      <c r="T9" s="94">
        <f>IF(A9="","",IF(AND(OR(I9="Implemented",I9="Verified"),J9=""),"⚠ Sem link de código",IF(AND(I9="Verified",K9=""),"⚠ Sem evidência",IF(OR(P9="Sim",D9="TBD (owner pending)"),"◐ Proprietário pendente",IF(R9+S9=0,"○ Sem relações","✔ OK")))))</f>
        <v/>
      </c>
      <c r="U9" s="93" t="n"/>
      <c r="V9" s="93" t="n"/>
      <c r="W9" s="93" t="n"/>
    </row>
    <row r="10" ht="15" customHeight="1" s="50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4">
        <f>IF(A10="","",COUNTIF(Dependencies!$B$5:$B$300,A10))</f>
        <v/>
      </c>
      <c r="S10" s="94">
        <f>IF(A10="","",COUNTIF(Dependencies!$F$5:$F$300,A10))</f>
        <v/>
      </c>
      <c r="T10" s="94">
        <f>IF(A10="","",IF(AND(OR(I10="Implemented",I10="Verified"),J10=""),"⚠ Sem link de código",IF(AND(I10="Verified",K10=""),"⚠ Sem evidência",IF(OR(P10="Sim",D10="TBD (owner pending)"),"◐ Proprietário pendente",IF(R10+S10=0,"○ Sem relações","✔ OK")))))</f>
        <v/>
      </c>
      <c r="U10" s="93" t="n"/>
      <c r="V10" s="93" t="n"/>
      <c r="W10" s="93" t="n"/>
    </row>
    <row r="11" ht="15" customHeight="1" s="50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4">
        <f>IF(A11="","",COUNTIF(Dependencies!$B$5:$B$300,A11))</f>
        <v/>
      </c>
      <c r="S11" s="94">
        <f>IF(A11="","",COUNTIF(Dependencies!$F$5:$F$300,A11))</f>
        <v/>
      </c>
      <c r="T11" s="94">
        <f>IF(A11="","",IF(AND(OR(I11="Implemented",I11="Verified"),J11=""),"⚠ Sem link de código",IF(AND(I11="Verified",K11=""),"⚠ Sem evidência",IF(OR(P11="Sim",D11="TBD (owner pending)"),"◐ Proprietário pendente",IF(R11+S11=0,"○ Sem relações","✔ OK")))))</f>
        <v/>
      </c>
      <c r="U11" s="93" t="n"/>
      <c r="V11" s="93" t="n"/>
      <c r="W11" s="93" t="n"/>
    </row>
    <row r="12" ht="15" customHeight="1" s="50">
      <c r="A12" s="93" t="n"/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3" t="n"/>
      <c r="R12" s="94">
        <f>IF(A12="","",COUNTIF(Dependencies!$B$5:$B$300,A12))</f>
        <v/>
      </c>
      <c r="S12" s="94">
        <f>IF(A12="","",COUNTIF(Dependencies!$F$5:$F$300,A12))</f>
        <v/>
      </c>
      <c r="T12" s="94">
        <f>IF(A12="","",IF(AND(OR(I12="Implemented",I12="Verified"),J12=""),"⚠ Sem link de código",IF(AND(I12="Verified",K12=""),"⚠ Sem evidência",IF(OR(P12="Sim",D12="TBD (owner pending)"),"◐ Proprietário pendente",IF(R12+S12=0,"○ Sem relações","✔ OK")))))</f>
        <v/>
      </c>
      <c r="U12" s="93" t="n"/>
      <c r="V12" s="93" t="n"/>
      <c r="W12" s="93" t="n"/>
    </row>
    <row r="13" ht="15" customHeight="1" s="50">
      <c r="A13" s="93" t="n"/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4">
        <f>IF(A13="","",COUNTIF(Dependencies!$B$5:$B$300,A13))</f>
        <v/>
      </c>
      <c r="S13" s="94">
        <f>IF(A13="","",COUNTIF(Dependencies!$F$5:$F$300,A13))</f>
        <v/>
      </c>
      <c r="T13" s="94">
        <f>IF(A13="","",IF(AND(OR(I13="Implemented",I13="Verified"),J13=""),"⚠ Sem link de código",IF(AND(I13="Verified",K13=""),"⚠ Sem evidência",IF(OR(P13="Sim",D13="TBD (owner pending)"),"◐ Proprietário pendente",IF(R13+S13=0,"○ Sem relações","✔ OK")))))</f>
        <v/>
      </c>
      <c r="U13" s="93" t="n"/>
      <c r="V13" s="93" t="n"/>
      <c r="W13" s="93" t="n"/>
    </row>
    <row r="14" ht="15" customHeight="1" s="50">
      <c r="A14" s="93" t="n"/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3" t="n"/>
      <c r="R14" s="94">
        <f>IF(A14="","",COUNTIF(Dependencies!$B$5:$B$300,A14))</f>
        <v/>
      </c>
      <c r="S14" s="94">
        <f>IF(A14="","",COUNTIF(Dependencies!$F$5:$F$300,A14))</f>
        <v/>
      </c>
      <c r="T14" s="94">
        <f>IF(A14="","",IF(AND(OR(I14="Implemented",I14="Verified"),J14=""),"⚠ Sem link de código",IF(AND(I14="Verified",K14=""),"⚠ Sem evidência",IF(OR(P14="Sim",D14="TBD (owner pending)"),"◐ Proprietário pendente",IF(R14+S14=0,"○ Sem relações","✔ OK")))))</f>
        <v/>
      </c>
      <c r="U14" s="93" t="n"/>
      <c r="V14" s="93" t="n"/>
      <c r="W14" s="93" t="n"/>
    </row>
    <row r="15" ht="15" customHeight="1" s="50">
      <c r="A15" s="93" t="n"/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  <c r="K15" s="93" t="n"/>
      <c r="L15" s="93" t="n"/>
      <c r="M15" s="93" t="n"/>
      <c r="N15" s="93" t="n"/>
      <c r="O15" s="93" t="n"/>
      <c r="P15" s="93" t="n"/>
      <c r="Q15" s="93" t="n"/>
      <c r="R15" s="94">
        <f>IF(A15="","",COUNTIF(Dependencies!$B$5:$B$300,A15))</f>
        <v/>
      </c>
      <c r="S15" s="94">
        <f>IF(A15="","",COUNTIF(Dependencies!$F$5:$F$300,A15))</f>
        <v/>
      </c>
      <c r="T15" s="94">
        <f>IF(A15="","",IF(AND(OR(I15="Implemented",I15="Verified"),J15=""),"⚠ Sem link de código",IF(AND(I15="Verified",K15=""),"⚠ Sem evidência",IF(OR(P15="Sim",D15="TBD (owner pending)"),"◐ Proprietário pendente",IF(R15+S15=0,"○ Sem relações","✔ OK")))))</f>
        <v/>
      </c>
      <c r="U15" s="93" t="n"/>
      <c r="V15" s="93" t="n"/>
      <c r="W15" s="93" t="n"/>
    </row>
    <row r="16" ht="15" customHeight="1" s="50">
      <c r="A16" s="93" t="n"/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4">
        <f>IF(A16="","",COUNTIF(Dependencies!$B$5:$B$300,A16))</f>
        <v/>
      </c>
      <c r="S16" s="94">
        <f>IF(A16="","",COUNTIF(Dependencies!$F$5:$F$300,A16))</f>
        <v/>
      </c>
      <c r="T16" s="94">
        <f>IF(A16="","",IF(AND(OR(I16="Implemented",I16="Verified"),J16=""),"⚠ Sem link de código",IF(AND(I16="Verified",K16=""),"⚠ Sem evidência",IF(OR(P16="Sim",D16="TBD (owner pending)"),"◐ Proprietário pendente",IF(R16+S16=0,"○ Sem relações","✔ OK")))))</f>
        <v/>
      </c>
      <c r="U16" s="93" t="n"/>
      <c r="V16" s="93" t="n"/>
      <c r="W16" s="93" t="n"/>
    </row>
    <row r="17" ht="15" customHeight="1" s="50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4">
        <f>IF(A17="","",COUNTIF(Dependencies!$B$5:$B$300,A17))</f>
        <v/>
      </c>
      <c r="S17" s="94">
        <f>IF(A17="","",COUNTIF(Dependencies!$F$5:$F$300,A17))</f>
        <v/>
      </c>
      <c r="T17" s="94">
        <f>IF(A17="","",IF(AND(OR(I17="Implemented",I17="Verified"),J17=""),"⚠ Sem link de código",IF(AND(I17="Verified",K17=""),"⚠ Sem evidência",IF(OR(P17="Sim",D17="TBD (owner pending)"),"◐ Proprietário pendente",IF(R17+S17=0,"○ Sem relações","✔ OK")))))</f>
        <v/>
      </c>
      <c r="U17" s="93" t="n"/>
      <c r="V17" s="93" t="n"/>
      <c r="W17" s="93" t="n"/>
    </row>
    <row r="18" ht="15" customHeight="1" s="50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3" t="n"/>
      <c r="R18" s="94">
        <f>IF(A18="","",COUNTIF(Dependencies!$B$5:$B$300,A18))</f>
        <v/>
      </c>
      <c r="S18" s="94">
        <f>IF(A18="","",COUNTIF(Dependencies!$F$5:$F$300,A18))</f>
        <v/>
      </c>
      <c r="T18" s="94">
        <f>IF(A18="","",IF(AND(OR(I18="Implemented",I18="Verified"),J18=""),"⚠ Sem link de código",IF(AND(I18="Verified",K18=""),"⚠ Sem evidência",IF(OR(P18="Sim",D18="TBD (owner pending)"),"◐ Proprietário pendente",IF(R18+S18=0,"○ Sem relações","✔ OK")))))</f>
        <v/>
      </c>
      <c r="U18" s="93" t="n"/>
      <c r="V18" s="93" t="n"/>
      <c r="W18" s="93" t="n"/>
    </row>
    <row r="19" ht="15" customHeight="1" s="50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4">
        <f>IF(A19="","",COUNTIF(Dependencies!$B$5:$B$300,A19))</f>
        <v/>
      </c>
      <c r="S19" s="94">
        <f>IF(A19="","",COUNTIF(Dependencies!$F$5:$F$300,A19))</f>
        <v/>
      </c>
      <c r="T19" s="94">
        <f>IF(A19="","",IF(AND(OR(I19="Implemented",I19="Verified"),J19=""),"⚠ Sem link de código",IF(AND(I19="Verified",K19=""),"⚠ Sem evidência",IF(OR(P19="Sim",D19="TBD (owner pending)"),"◐ Proprietário pendente",IF(R19+S19=0,"○ Sem relações","✔ OK")))))</f>
        <v/>
      </c>
      <c r="U19" s="93" t="n"/>
      <c r="V19" s="93" t="n"/>
      <c r="W19" s="93" t="n"/>
    </row>
    <row r="20" ht="15" customHeight="1" s="5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4">
        <f>IF(A20="","",COUNTIF(Dependencies!$B$5:$B$300,A20))</f>
        <v/>
      </c>
      <c r="S20" s="94">
        <f>IF(A20="","",COUNTIF(Dependencies!$F$5:$F$300,A20))</f>
        <v/>
      </c>
      <c r="T20" s="94">
        <f>IF(A20="","",IF(AND(OR(I20="Implemented",I20="Verified"),J20=""),"⚠ Sem link de código",IF(AND(I20="Verified",K20=""),"⚠ Sem evidência",IF(OR(P20="Sim",D20="TBD (owner pending)"),"◐ Proprietário pendente",IF(R20+S20=0,"○ Sem relações","✔ OK")))))</f>
        <v/>
      </c>
      <c r="U20" s="93" t="n"/>
      <c r="V20" s="93" t="n"/>
      <c r="W20" s="93" t="n"/>
    </row>
    <row r="21" ht="15" customHeight="1" s="50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4">
        <f>IF(A21="","",COUNTIF(Dependencies!$B$5:$B$300,A21))</f>
        <v/>
      </c>
      <c r="S21" s="94">
        <f>IF(A21="","",COUNTIF(Dependencies!$F$5:$F$300,A21))</f>
        <v/>
      </c>
      <c r="T21" s="94">
        <f>IF(A21="","",IF(AND(OR(I21="Implemented",I21="Verified"),J21=""),"⚠ Sem link de código",IF(AND(I21="Verified",K21=""),"⚠ Sem evidência",IF(OR(P21="Sim",D21="TBD (owner pending)"),"◐ Proprietário pendente",IF(R21+S21=0,"○ Sem relações","✔ OK")))))</f>
        <v/>
      </c>
      <c r="U21" s="93" t="n"/>
      <c r="V21" s="93" t="n"/>
      <c r="W21" s="93" t="n"/>
    </row>
    <row r="22" ht="15" customHeight="1" s="50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4">
        <f>IF(A22="","",COUNTIF(Dependencies!$B$5:$B$300,A22))</f>
        <v/>
      </c>
      <c r="S22" s="94">
        <f>IF(A22="","",COUNTIF(Dependencies!$F$5:$F$300,A22))</f>
        <v/>
      </c>
      <c r="T22" s="94">
        <f>IF(A22="","",IF(AND(OR(I22="Implemented",I22="Verified"),J22=""),"⚠ Sem link de código",IF(AND(I22="Verified",K22=""),"⚠ Sem evidência",IF(OR(P22="Sim",D22="TBD (owner pending)"),"◐ Proprietário pendente",IF(R22+S22=0,"○ Sem relações","✔ OK")))))</f>
        <v/>
      </c>
      <c r="U22" s="93" t="n"/>
      <c r="V22" s="93" t="n"/>
      <c r="W22" s="93" t="n"/>
    </row>
    <row r="23" ht="15" customHeight="1" s="50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4">
        <f>IF(A23="","",COUNTIF(Dependencies!$B$5:$B$300,A23))</f>
        <v/>
      </c>
      <c r="S23" s="94">
        <f>IF(A23="","",COUNTIF(Dependencies!$F$5:$F$300,A23))</f>
        <v/>
      </c>
      <c r="T23" s="94">
        <f>IF(A23="","",IF(AND(OR(I23="Implemented",I23="Verified"),J23=""),"⚠ Sem link de código",IF(AND(I23="Verified",K23=""),"⚠ Sem evidência",IF(OR(P23="Sim",D23="TBD (owner pending)"),"◐ Proprietário pendente",IF(R23+S23=0,"○ Sem relações","✔ OK")))))</f>
        <v/>
      </c>
      <c r="U23" s="93" t="n"/>
      <c r="V23" s="93" t="n"/>
      <c r="W23" s="93" t="n"/>
    </row>
    <row r="24" ht="15" customHeight="1" s="50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>
        <f>IF(A24="","",COUNTIF(Dependencies!$B$5:$B$300,A24))</f>
        <v/>
      </c>
      <c r="S24" s="94">
        <f>IF(A24="","",COUNTIF(Dependencies!$F$5:$F$300,A24))</f>
        <v/>
      </c>
      <c r="T24" s="94">
        <f>IF(A24="","",IF(AND(OR(I24="Implemented",I24="Verified"),J24=""),"⚠ Sem link de código",IF(AND(I24="Verified",K24=""),"⚠ Sem evidência",IF(OR(P24="Sim",D24="TBD (owner pending)"),"◐ Proprietário pendente",IF(R24+S24=0,"○ Sem relações","✔ OK")))))</f>
        <v/>
      </c>
      <c r="U24" s="93" t="n"/>
      <c r="V24" s="93" t="n"/>
      <c r="W24" s="93" t="n"/>
    </row>
    <row r="25" ht="15" customHeight="1" s="50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4">
        <f>IF(A25="","",COUNTIF(Dependencies!$B$5:$B$300,A25))</f>
        <v/>
      </c>
      <c r="S25" s="94">
        <f>IF(A25="","",COUNTIF(Dependencies!$F$5:$F$300,A25))</f>
        <v/>
      </c>
      <c r="T25" s="94">
        <f>IF(A25="","",IF(AND(OR(I25="Implemented",I25="Verified"),J25=""),"⚠ Sem link de código",IF(AND(I25="Verified",K25=""),"⚠ Sem evidência",IF(OR(P25="Sim",D25="TBD (owner pending)"),"◐ Proprietário pendente",IF(R25+S25=0,"○ Sem relações","✔ OK")))))</f>
        <v/>
      </c>
      <c r="U25" s="93" t="n"/>
      <c r="V25" s="93" t="n"/>
      <c r="W25" s="93" t="n"/>
    </row>
    <row r="26" ht="15" customHeight="1" s="50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4">
        <f>IF(A26="","",COUNTIF(Dependencies!$B$5:$B$300,A26))</f>
        <v/>
      </c>
      <c r="S26" s="94">
        <f>IF(A26="","",COUNTIF(Dependencies!$F$5:$F$300,A26))</f>
        <v/>
      </c>
      <c r="T26" s="94">
        <f>IF(A26="","",IF(AND(OR(I26="Implemented",I26="Verified"),J26=""),"⚠ Sem link de código",IF(AND(I26="Verified",K26=""),"⚠ Sem evidência",IF(OR(P26="Sim",D26="TBD (owner pending)"),"◐ Proprietário pendente",IF(R26+S26=0,"○ Sem relações","✔ OK")))))</f>
        <v/>
      </c>
      <c r="U26" s="93" t="n"/>
      <c r="V26" s="93" t="n"/>
      <c r="W26" s="93" t="n"/>
    </row>
    <row r="27" ht="15" customHeight="1" s="50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4">
        <f>IF(A27="","",COUNTIF(Dependencies!$B$5:$B$300,A27))</f>
        <v/>
      </c>
      <c r="S27" s="94">
        <f>IF(A27="","",COUNTIF(Dependencies!$F$5:$F$300,A27))</f>
        <v/>
      </c>
      <c r="T27" s="94">
        <f>IF(A27="","",IF(AND(OR(I27="Implemented",I27="Verified"),J27=""),"⚠ Sem link de código",IF(AND(I27="Verified",K27=""),"⚠ Sem evidência",IF(OR(P27="Sim",D27="TBD (owner pending)"),"◐ Proprietário pendente",IF(R27+S27=0,"○ Sem relações","✔ OK")))))</f>
        <v/>
      </c>
      <c r="U27" s="93" t="n"/>
      <c r="V27" s="93" t="n"/>
      <c r="W27" s="93" t="n"/>
    </row>
    <row r="28" ht="15" customHeight="1" s="50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4">
        <f>IF(A28="","",COUNTIF(Dependencies!$B$5:$B$300,A28))</f>
        <v/>
      </c>
      <c r="S28" s="94">
        <f>IF(A28="","",COUNTIF(Dependencies!$F$5:$F$300,A28))</f>
        <v/>
      </c>
      <c r="T28" s="94">
        <f>IF(A28="","",IF(AND(OR(I28="Implemented",I28="Verified"),J28=""),"⚠ Sem link de código",IF(AND(I28="Verified",K28=""),"⚠ Sem evidência",IF(OR(P28="Sim",D28="TBD (owner pending)"),"◐ Proprietário pendente",IF(R28+S28=0,"○ Sem relações","✔ OK")))))</f>
        <v/>
      </c>
      <c r="U28" s="93" t="n"/>
      <c r="V28" s="93" t="n"/>
      <c r="W28" s="93" t="n"/>
    </row>
    <row r="29" ht="15" customHeight="1" s="50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4">
        <f>IF(A29="","",COUNTIF(Dependencies!$B$5:$B$300,A29))</f>
        <v/>
      </c>
      <c r="S29" s="94">
        <f>IF(A29="","",COUNTIF(Dependencies!$F$5:$F$300,A29))</f>
        <v/>
      </c>
      <c r="T29" s="94">
        <f>IF(A29="","",IF(AND(OR(I29="Implemented",I29="Verified"),J29=""),"⚠ Sem link de código",IF(AND(I29="Verified",K29=""),"⚠ Sem evidência",IF(OR(P29="Sim",D29="TBD (owner pending)"),"◐ Proprietário pendente",IF(R29+S29=0,"○ Sem relações","✔ OK")))))</f>
        <v/>
      </c>
      <c r="U29" s="93" t="n"/>
      <c r="V29" s="93" t="n"/>
      <c r="W29" s="93" t="n"/>
    </row>
    <row r="30" ht="15" customHeight="1" s="50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4">
        <f>IF(A30="","",COUNTIF(Dependencies!$B$5:$B$300,A30))</f>
        <v/>
      </c>
      <c r="S30" s="94">
        <f>IF(A30="","",COUNTIF(Dependencies!$F$5:$F$300,A30))</f>
        <v/>
      </c>
      <c r="T30" s="94">
        <f>IF(A30="","",IF(AND(OR(I30="Implemented",I30="Verified"),J30=""),"⚠ Sem link de código",IF(AND(I30="Verified",K30=""),"⚠ Sem evidência",IF(OR(P30="Sim",D30="TBD (owner pending)"),"◐ Proprietário pendente",IF(R30+S30=0,"○ Sem relações","✔ OK")))))</f>
        <v/>
      </c>
      <c r="U30" s="93" t="n"/>
      <c r="V30" s="93" t="n"/>
      <c r="W30" s="93" t="n"/>
    </row>
    <row r="31" ht="15" customHeight="1" s="50">
      <c r="A31" s="93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4">
        <f>IF(A31="","",COUNTIF(Dependencies!$B$5:$B$300,A31))</f>
        <v/>
      </c>
      <c r="S31" s="94">
        <f>IF(A31="","",COUNTIF(Dependencies!$F$5:$F$300,A31))</f>
        <v/>
      </c>
      <c r="T31" s="94">
        <f>IF(A31="","",IF(AND(OR(I31="Implemented",I31="Verified"),J31=""),"⚠ Sem link de código",IF(AND(I31="Verified",K31=""),"⚠ Sem evidência",IF(OR(P31="Sim",D31="TBD (owner pending)"),"◐ Proprietário pendente",IF(R31+S31=0,"○ Sem relações","✔ OK")))))</f>
        <v/>
      </c>
      <c r="U31" s="93" t="n"/>
      <c r="V31" s="93" t="n"/>
      <c r="W31" s="93" t="n"/>
    </row>
    <row r="32" ht="15" customHeight="1" s="50">
      <c r="A32" s="93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4">
        <f>IF(A32="","",COUNTIF(Dependencies!$B$5:$B$300,A32))</f>
        <v/>
      </c>
      <c r="S32" s="94">
        <f>IF(A32="","",COUNTIF(Dependencies!$F$5:$F$300,A32))</f>
        <v/>
      </c>
      <c r="T32" s="94">
        <f>IF(A32="","",IF(AND(OR(I32="Implemented",I32="Verified"),J32=""),"⚠ Sem link de código",IF(AND(I32="Verified",K32=""),"⚠ Sem evidência",IF(OR(P32="Sim",D32="TBD (owner pending)"),"◐ Proprietário pendente",IF(R32+S32=0,"○ Sem relações","✔ OK")))))</f>
        <v/>
      </c>
      <c r="U32" s="93" t="n"/>
      <c r="V32" s="93" t="n"/>
      <c r="W32" s="93" t="n"/>
    </row>
    <row r="33" ht="15" customHeight="1" s="50">
      <c r="A33" s="93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4">
        <f>IF(A33="","",COUNTIF(Dependencies!$B$5:$B$300,A33))</f>
        <v/>
      </c>
      <c r="S33" s="94">
        <f>IF(A33="","",COUNTIF(Dependencies!$F$5:$F$300,A33))</f>
        <v/>
      </c>
      <c r="T33" s="94">
        <f>IF(A33="","",IF(AND(OR(I33="Implemented",I33="Verified"),J33=""),"⚠ Sem link de código",IF(AND(I33="Verified",K33=""),"⚠ Sem evidência",IF(OR(P33="Sim",D33="TBD (owner pending)"),"◐ Proprietário pendente",IF(R33+S33=0,"○ Sem relações","✔ OK")))))</f>
        <v/>
      </c>
      <c r="U33" s="93" t="n"/>
      <c r="V33" s="93" t="n"/>
      <c r="W33" s="93" t="n"/>
    </row>
    <row r="34" ht="15" customHeight="1" s="50">
      <c r="A34" s="93" t="n"/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4">
        <f>IF(A34="","",COUNTIF(Dependencies!$B$5:$B$300,A34))</f>
        <v/>
      </c>
      <c r="S34" s="94">
        <f>IF(A34="","",COUNTIF(Dependencies!$F$5:$F$300,A34))</f>
        <v/>
      </c>
      <c r="T34" s="94">
        <f>IF(A34="","",IF(AND(OR(I34="Implemented",I34="Verified"),J34=""),"⚠ Sem link de código",IF(AND(I34="Verified",K34=""),"⚠ Sem evidência",IF(OR(P34="Sim",D34="TBD (owner pending)"),"◐ Proprietário pendente",IF(R34+S34=0,"○ Sem relações","✔ OK")))))</f>
        <v/>
      </c>
      <c r="U34" s="93" t="n"/>
      <c r="V34" s="93" t="n"/>
      <c r="W34" s="93" t="n"/>
    </row>
    <row r="35" ht="15" customHeight="1" s="50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4">
        <f>IF(A35="","",COUNTIF(Dependencies!$B$5:$B$300,A35))</f>
        <v/>
      </c>
      <c r="S35" s="94">
        <f>IF(A35="","",COUNTIF(Dependencies!$F$5:$F$300,A35))</f>
        <v/>
      </c>
      <c r="T35" s="94">
        <f>IF(A35="","",IF(AND(OR(I35="Implemented",I35="Verified"),J35=""),"⚠ Sem link de código",IF(AND(I35="Verified",K35=""),"⚠ Sem evidência",IF(OR(P35="Sim",D35="TBD (owner pending)"),"◐ Proprietário pendente",IF(R35+S35=0,"○ Sem relações","✔ OK")))))</f>
        <v/>
      </c>
      <c r="U35" s="93" t="n"/>
      <c r="V35" s="93" t="n"/>
      <c r="W35" s="93" t="n"/>
    </row>
    <row r="36" ht="15" customHeight="1" s="50">
      <c r="A36" s="93" t="n"/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4">
        <f>IF(A36="","",COUNTIF(Dependencies!$B$5:$B$300,A36))</f>
        <v/>
      </c>
      <c r="S36" s="94">
        <f>IF(A36="","",COUNTIF(Dependencies!$F$5:$F$300,A36))</f>
        <v/>
      </c>
      <c r="T36" s="94">
        <f>IF(A36="","",IF(AND(OR(I36="Implemented",I36="Verified"),J36=""),"⚠ Sem link de código",IF(AND(I36="Verified",K36=""),"⚠ Sem evidência",IF(OR(P36="Sim",D36="TBD (owner pending)"),"◐ Proprietário pendente",IF(R36+S36=0,"○ Sem relações","✔ OK")))))</f>
        <v/>
      </c>
      <c r="U36" s="93" t="n"/>
      <c r="V36" s="93" t="n"/>
      <c r="W36" s="93" t="n"/>
    </row>
    <row r="37" ht="15" customHeight="1" s="50">
      <c r="A37" s="93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4">
        <f>IF(A37="","",COUNTIF(Dependencies!$B$5:$B$300,A37))</f>
        <v/>
      </c>
      <c r="S37" s="94">
        <f>IF(A37="","",COUNTIF(Dependencies!$F$5:$F$300,A37))</f>
        <v/>
      </c>
      <c r="T37" s="94">
        <f>IF(A37="","",IF(AND(OR(I37="Implemented",I37="Verified"),J37=""),"⚠ Sem link de código",IF(AND(I37="Verified",K37=""),"⚠ Sem evidência",IF(OR(P37="Sim",D37="TBD (owner pending)"),"◐ Proprietário pendente",IF(R37+S37=0,"○ Sem relações","✔ OK")))))</f>
        <v/>
      </c>
      <c r="U37" s="93" t="n"/>
      <c r="V37" s="93" t="n"/>
      <c r="W37" s="93" t="n"/>
    </row>
    <row r="38" ht="15" customHeight="1" s="50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4">
        <f>IF(A38="","",COUNTIF(Dependencies!$B$5:$B$300,A38))</f>
        <v/>
      </c>
      <c r="S38" s="94">
        <f>IF(A38="","",COUNTIF(Dependencies!$F$5:$F$300,A38))</f>
        <v/>
      </c>
      <c r="T38" s="94">
        <f>IF(A38="","",IF(AND(OR(I38="Implemented",I38="Verified"),J38=""),"⚠ Sem link de código",IF(AND(I38="Verified",K38=""),"⚠ Sem evidência",IF(OR(P38="Sim",D38="TBD (owner pending)"),"◐ Proprietário pendente",IF(R38+S38=0,"○ Sem relações","✔ OK")))))</f>
        <v/>
      </c>
      <c r="U38" s="93" t="n"/>
      <c r="V38" s="93" t="n"/>
      <c r="W38" s="93" t="n"/>
    </row>
    <row r="39" ht="15" customHeight="1" s="50">
      <c r="A39" s="93" t="n"/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4">
        <f>IF(A39="","",COUNTIF(Dependencies!$B$5:$B$300,A39))</f>
        <v/>
      </c>
      <c r="S39" s="94">
        <f>IF(A39="","",COUNTIF(Dependencies!$F$5:$F$300,A39))</f>
        <v/>
      </c>
      <c r="T39" s="94">
        <f>IF(A39="","",IF(AND(OR(I39="Implemented",I39="Verified"),J39=""),"⚠ Sem link de código",IF(AND(I39="Verified",K39=""),"⚠ Sem evidência",IF(OR(P39="Sim",D39="TBD (owner pending)"),"◐ Proprietário pendente",IF(R39+S39=0,"○ Sem relações","✔ OK")))))</f>
        <v/>
      </c>
      <c r="U39" s="93" t="n"/>
      <c r="V39" s="93" t="n"/>
      <c r="W39" s="93" t="n"/>
    </row>
    <row r="40" ht="15" customHeight="1" s="50">
      <c r="A40" s="93" t="n"/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4">
        <f>IF(A40="","",COUNTIF(Dependencies!$B$5:$B$300,A40))</f>
        <v/>
      </c>
      <c r="S40" s="94">
        <f>IF(A40="","",COUNTIF(Dependencies!$F$5:$F$300,A40))</f>
        <v/>
      </c>
      <c r="T40" s="94">
        <f>IF(A40="","",IF(AND(OR(I40="Implemented",I40="Verified"),J40=""),"⚠ Sem link de código",IF(AND(I40="Verified",K40=""),"⚠ Sem evidência",IF(OR(P40="Sim",D40="TBD (owner pending)"),"◐ Proprietário pendente",IF(R40+S40=0,"○ Sem relações","✔ OK")))))</f>
        <v/>
      </c>
      <c r="U40" s="93" t="n"/>
      <c r="V40" s="93" t="n"/>
      <c r="W40" s="93" t="n"/>
    </row>
    <row r="41" ht="15" customHeight="1" s="50">
      <c r="A41" s="93" t="n"/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4">
        <f>IF(A41="","",COUNTIF(Dependencies!$B$5:$B$300,A41))</f>
        <v/>
      </c>
      <c r="S41" s="94">
        <f>IF(A41="","",COUNTIF(Dependencies!$F$5:$F$300,A41))</f>
        <v/>
      </c>
      <c r="T41" s="94">
        <f>IF(A41="","",IF(AND(OR(I41="Implemented",I41="Verified"),J41=""),"⚠ Sem link de código",IF(AND(I41="Verified",K41=""),"⚠ Sem evidência",IF(OR(P41="Sim",D41="TBD (owner pending)"),"◐ Proprietário pendente",IF(R41+S41=0,"○ Sem relações","✔ OK")))))</f>
        <v/>
      </c>
      <c r="U41" s="93" t="n"/>
      <c r="V41" s="93" t="n"/>
      <c r="W41" s="93" t="n"/>
    </row>
    <row r="42" ht="15" customHeight="1" s="50">
      <c r="A42" s="93" t="n"/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4">
        <f>IF(A42="","",COUNTIF(Dependencies!$B$5:$B$300,A42))</f>
        <v/>
      </c>
      <c r="S42" s="94">
        <f>IF(A42="","",COUNTIF(Dependencies!$F$5:$F$300,A42))</f>
        <v/>
      </c>
      <c r="T42" s="94">
        <f>IF(A42="","",IF(AND(OR(I42="Implemented",I42="Verified"),J42=""),"⚠ Sem link de código",IF(AND(I42="Verified",K42=""),"⚠ Sem evidência",IF(OR(P42="Sim",D42="TBD (owner pending)"),"◐ Proprietário pendente",IF(R42+S42=0,"○ Sem relações","✔ OK")))))</f>
        <v/>
      </c>
      <c r="U42" s="93" t="n"/>
      <c r="V42" s="93" t="n"/>
      <c r="W42" s="93" t="n"/>
    </row>
    <row r="43" ht="15" customHeight="1" s="50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4">
        <f>IF(A43="","",COUNTIF(Dependencies!$B$5:$B$300,A43))</f>
        <v/>
      </c>
      <c r="S43" s="94">
        <f>IF(A43="","",COUNTIF(Dependencies!$F$5:$F$300,A43))</f>
        <v/>
      </c>
      <c r="T43" s="94">
        <f>IF(A43="","",IF(AND(OR(I43="Implemented",I43="Verified"),J43=""),"⚠ Sem link de código",IF(AND(I43="Verified",K43=""),"⚠ Sem evidência",IF(OR(P43="Sim",D43="TBD (owner pending)"),"◐ Proprietário pendente",IF(R43+S43=0,"○ Sem relações","✔ OK")))))</f>
        <v/>
      </c>
      <c r="U43" s="93" t="n"/>
      <c r="V43" s="93" t="n"/>
      <c r="W43" s="93" t="n"/>
    </row>
    <row r="44" ht="15" customHeight="1" s="50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4">
        <f>IF(A44="","",COUNTIF(Dependencies!$B$5:$B$300,A44))</f>
        <v/>
      </c>
      <c r="S44" s="94">
        <f>IF(A44="","",COUNTIF(Dependencies!$F$5:$F$300,A44))</f>
        <v/>
      </c>
      <c r="T44" s="94">
        <f>IF(A44="","",IF(AND(OR(I44="Implemented",I44="Verified"),J44=""),"⚠ Sem link de código",IF(AND(I44="Verified",K44=""),"⚠ Sem evidência",IF(OR(P44="Sim",D44="TBD (owner pending)"),"◐ Proprietário pendente",IF(R44+S44=0,"○ Sem relações","✔ OK")))))</f>
        <v/>
      </c>
      <c r="U44" s="93" t="n"/>
      <c r="V44" s="93" t="n"/>
      <c r="W44" s="93" t="n"/>
    </row>
    <row r="45" ht="15" customHeight="1" s="50">
      <c r="A45" s="93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4">
        <f>IF(A45="","",COUNTIF(Dependencies!$B$5:$B$300,A45))</f>
        <v/>
      </c>
      <c r="S45" s="94">
        <f>IF(A45="","",COUNTIF(Dependencies!$F$5:$F$300,A45))</f>
        <v/>
      </c>
      <c r="T45" s="94">
        <f>IF(A45="","",IF(AND(OR(I45="Implemented",I45="Verified"),J45=""),"⚠ Sem link de código",IF(AND(I45="Verified",K45=""),"⚠ Sem evidência",IF(OR(P45="Sim",D45="TBD (owner pending)"),"◐ Proprietário pendente",IF(R45+S45=0,"○ Sem relações","✔ OK")))))</f>
        <v/>
      </c>
      <c r="U45" s="93" t="n"/>
      <c r="V45" s="93" t="n"/>
      <c r="W45" s="93" t="n"/>
    </row>
    <row r="46" ht="15" customHeight="1" s="50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4">
        <f>IF(A46="","",COUNTIF(Dependencies!$B$5:$B$300,A46))</f>
        <v/>
      </c>
      <c r="S46" s="94">
        <f>IF(A46="","",COUNTIF(Dependencies!$F$5:$F$300,A46))</f>
        <v/>
      </c>
      <c r="T46" s="94">
        <f>IF(A46="","",IF(AND(OR(I46="Implemented",I46="Verified"),J46=""),"⚠ Sem link de código",IF(AND(I46="Verified",K46=""),"⚠ Sem evidência",IF(OR(P46="Sim",D46="TBD (owner pending)"),"◐ Proprietário pendente",IF(R46+S46=0,"○ Sem relações","✔ OK")))))</f>
        <v/>
      </c>
      <c r="U46" s="93" t="n"/>
      <c r="V46" s="93" t="n"/>
      <c r="W46" s="93" t="n"/>
    </row>
    <row r="47" ht="15" customHeight="1" s="50">
      <c r="A47" s="93" t="n"/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4">
        <f>IF(A47="","",COUNTIF(Dependencies!$B$5:$B$300,A47))</f>
        <v/>
      </c>
      <c r="S47" s="94">
        <f>IF(A47="","",COUNTIF(Dependencies!$F$5:$F$300,A47))</f>
        <v/>
      </c>
      <c r="T47" s="94">
        <f>IF(A47="","",IF(AND(OR(I47="Implemented",I47="Verified"),J47=""),"⚠ Sem link de código",IF(AND(I47="Verified",K47=""),"⚠ Sem evidência",IF(OR(P47="Sim",D47="TBD (owner pending)"),"◐ Proprietário pendente",IF(R47+S47=0,"○ Sem relações","✔ OK")))))</f>
        <v/>
      </c>
      <c r="U47" s="93" t="n"/>
      <c r="V47" s="93" t="n"/>
      <c r="W47" s="93" t="n"/>
    </row>
    <row r="48" ht="15" customHeight="1" s="50">
      <c r="A48" s="93" t="n"/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4">
        <f>IF(A48="","",COUNTIF(Dependencies!$B$5:$B$300,A48))</f>
        <v/>
      </c>
      <c r="S48" s="94">
        <f>IF(A48="","",COUNTIF(Dependencies!$F$5:$F$300,A48))</f>
        <v/>
      </c>
      <c r="T48" s="94">
        <f>IF(A48="","",IF(AND(OR(I48="Implemented",I48="Verified"),J48=""),"⚠ Sem link de código",IF(AND(I48="Verified",K48=""),"⚠ Sem evidência",IF(OR(P48="Sim",D48="TBD (owner pending)"),"◐ Proprietário pendente",IF(R48+S48=0,"○ Sem relações","✔ OK")))))</f>
        <v/>
      </c>
      <c r="U48" s="93" t="n"/>
      <c r="V48" s="93" t="n"/>
      <c r="W48" s="93" t="n"/>
    </row>
    <row r="49" ht="15" customHeight="1" s="50">
      <c r="A49" s="93" t="n"/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4">
        <f>IF(A49="","",COUNTIF(Dependencies!$B$5:$B$300,A49))</f>
        <v/>
      </c>
      <c r="S49" s="94">
        <f>IF(A49="","",COUNTIF(Dependencies!$F$5:$F$300,A49))</f>
        <v/>
      </c>
      <c r="T49" s="94">
        <f>IF(A49="","",IF(AND(OR(I49="Implemented",I49="Verified"),J49=""),"⚠ Sem link de código",IF(AND(I49="Verified",K49=""),"⚠ Sem evidência",IF(OR(P49="Sim",D49="TBD (owner pending)"),"◐ Proprietário pendente",IF(R49+S49=0,"○ Sem relações","✔ OK")))))</f>
        <v/>
      </c>
      <c r="U49" s="93" t="n"/>
      <c r="V49" s="93" t="n"/>
      <c r="W49" s="93" t="n"/>
    </row>
    <row r="50" ht="15" customHeight="1" s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4">
        <f>IF(A50="","",COUNTIF(Dependencies!$B$5:$B$300,A50))</f>
        <v/>
      </c>
      <c r="S50" s="94">
        <f>IF(A50="","",COUNTIF(Dependencies!$F$5:$F$300,A50))</f>
        <v/>
      </c>
      <c r="T50" s="94">
        <f>IF(A50="","",IF(AND(OR(I50="Implemented",I50="Verified"),J50=""),"⚠ Sem link de código",IF(AND(I50="Verified",K50=""),"⚠ Sem evidência",IF(OR(P50="Sim",D50="TBD (owner pending)"),"◐ Proprietário pendente",IF(R50+S50=0,"○ Sem relações","✔ OK")))))</f>
        <v/>
      </c>
      <c r="U50" s="93" t="n"/>
      <c r="V50" s="93" t="n"/>
      <c r="W50" s="93" t="n"/>
    </row>
    <row r="51" ht="15" customHeight="1" s="50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4">
        <f>IF(A51="","",COUNTIF(Dependencies!$B$5:$B$300,A51))</f>
        <v/>
      </c>
      <c r="S51" s="94">
        <f>IF(A51="","",COUNTIF(Dependencies!$F$5:$F$300,A51))</f>
        <v/>
      </c>
      <c r="T51" s="94">
        <f>IF(A51="","",IF(AND(OR(I51="Implemented",I51="Verified"),J51=""),"⚠ Sem link de código",IF(AND(I51="Verified",K51=""),"⚠ Sem evidência",IF(OR(P51="Sim",D51="TBD (owner pending)"),"◐ Proprietário pendente",IF(R51+S51=0,"○ Sem relações","✔ OK")))))</f>
        <v/>
      </c>
      <c r="U51" s="93" t="n"/>
      <c r="V51" s="93" t="n"/>
      <c r="W51" s="93" t="n"/>
    </row>
    <row r="52" ht="15" customHeight="1" s="50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4">
        <f>IF(A52="","",COUNTIF(Dependencies!$B$5:$B$300,A52))</f>
        <v/>
      </c>
      <c r="S52" s="94">
        <f>IF(A52="","",COUNTIF(Dependencies!$F$5:$F$300,A52))</f>
        <v/>
      </c>
      <c r="T52" s="94">
        <f>IF(A52="","",IF(AND(OR(I52="Implemented",I52="Verified"),J52=""),"⚠ Sem link de código",IF(AND(I52="Verified",K52=""),"⚠ Sem evidência",IF(OR(P52="Sim",D52="TBD (owner pending)"),"◐ Proprietário pendente",IF(R52+S52=0,"○ Sem relações","✔ OK")))))</f>
        <v/>
      </c>
      <c r="U52" s="93" t="n"/>
      <c r="V52" s="93" t="n"/>
      <c r="W52" s="93" t="n"/>
    </row>
    <row r="53" ht="15" customHeight="1" s="50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4">
        <f>IF(A53="","",COUNTIF(Dependencies!$B$5:$B$300,A53))</f>
        <v/>
      </c>
      <c r="S53" s="94">
        <f>IF(A53="","",COUNTIF(Dependencies!$F$5:$F$300,A53))</f>
        <v/>
      </c>
      <c r="T53" s="94">
        <f>IF(A53="","",IF(AND(OR(I53="Implemented",I53="Verified"),J53=""),"⚠ Sem link de código",IF(AND(I53="Verified",K53=""),"⚠ Sem evidência",IF(OR(P53="Sim",D53="TBD (owner pending)"),"◐ Proprietário pendente",IF(R53+S53=0,"○ Sem relações","✔ OK")))))</f>
        <v/>
      </c>
      <c r="U53" s="93" t="n"/>
      <c r="V53" s="93" t="n"/>
      <c r="W53" s="93" t="n"/>
    </row>
    <row r="54" ht="15" customHeight="1" s="50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4">
        <f>IF(A54="","",COUNTIF(Dependencies!$B$5:$B$300,A54))</f>
        <v/>
      </c>
      <c r="S54" s="94">
        <f>IF(A54="","",COUNTIF(Dependencies!$F$5:$F$300,A54))</f>
        <v/>
      </c>
      <c r="T54" s="94">
        <f>IF(A54="","",IF(AND(OR(I54="Implemented",I54="Verified"),J54=""),"⚠ Sem link de código",IF(AND(I54="Verified",K54=""),"⚠ Sem evidência",IF(OR(P54="Sim",D54="TBD (owner pending)"),"◐ Proprietário pendente",IF(R54+S54=0,"○ Sem relações","✔ OK")))))</f>
        <v/>
      </c>
      <c r="U54" s="93" t="n"/>
      <c r="V54" s="93" t="n"/>
      <c r="W54" s="93" t="n"/>
    </row>
    <row r="55" ht="15" customHeight="1" s="50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4">
        <f>IF(A55="","",COUNTIF(Dependencies!$B$5:$B$300,A55))</f>
        <v/>
      </c>
      <c r="S55" s="94">
        <f>IF(A55="","",COUNTIF(Dependencies!$F$5:$F$300,A55))</f>
        <v/>
      </c>
      <c r="T55" s="94">
        <f>IF(A55="","",IF(AND(OR(I55="Implemented",I55="Verified"),J55=""),"⚠ Sem link de código",IF(AND(I55="Verified",K55=""),"⚠ Sem evidência",IF(OR(P55="Sim",D55="TBD (owner pending)"),"◐ Proprietário pendente",IF(R55+S55=0,"○ Sem relações","✔ OK")))))</f>
        <v/>
      </c>
      <c r="U55" s="93" t="n"/>
      <c r="V55" s="93" t="n"/>
      <c r="W55" s="93" t="n"/>
    </row>
    <row r="56" ht="15" customHeight="1" s="50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  <c r="R56" s="94">
        <f>IF(A56="","",COUNTIF(Dependencies!$B$5:$B$300,A56))</f>
        <v/>
      </c>
      <c r="S56" s="94">
        <f>IF(A56="","",COUNTIF(Dependencies!$F$5:$F$300,A56))</f>
        <v/>
      </c>
      <c r="T56" s="94">
        <f>IF(A56="","",IF(AND(OR(I56="Implemented",I56="Verified"),J56=""),"⚠ Sem link de código",IF(AND(I56="Verified",K56=""),"⚠ Sem evidência",IF(OR(P56="Sim",D56="TBD (owner pending)"),"◐ Proprietário pendente",IF(R56+S56=0,"○ Sem relações","✔ OK")))))</f>
        <v/>
      </c>
      <c r="U56" s="93" t="n"/>
      <c r="V56" s="93" t="n"/>
      <c r="W56" s="93" t="n"/>
    </row>
    <row r="57" ht="15" customHeight="1" s="50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4">
        <f>IF(A57="","",COUNTIF(Dependencies!$B$5:$B$300,A57))</f>
        <v/>
      </c>
      <c r="S57" s="94">
        <f>IF(A57="","",COUNTIF(Dependencies!$F$5:$F$300,A57))</f>
        <v/>
      </c>
      <c r="T57" s="94">
        <f>IF(A57="","",IF(AND(OR(I57="Implemented",I57="Verified"),J57=""),"⚠ Sem link de código",IF(AND(I57="Verified",K57=""),"⚠ Sem evidência",IF(OR(P57="Sim",D57="TBD (owner pending)"),"◐ Proprietário pendente",IF(R57+S57=0,"○ Sem relações","✔ OK")))))</f>
        <v/>
      </c>
      <c r="U57" s="93" t="n"/>
      <c r="V57" s="93" t="n"/>
      <c r="W57" s="93" t="n"/>
    </row>
    <row r="58" ht="15" customHeight="1" s="50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4">
        <f>IF(A58="","",COUNTIF(Dependencies!$B$5:$B$300,A58))</f>
        <v/>
      </c>
      <c r="S58" s="94">
        <f>IF(A58="","",COUNTIF(Dependencies!$F$5:$F$300,A58))</f>
        <v/>
      </c>
      <c r="T58" s="94">
        <f>IF(A58="","",IF(AND(OR(I58="Implemented",I58="Verified"),J58=""),"⚠ Sem link de código",IF(AND(I58="Verified",K58=""),"⚠ Sem evidência",IF(OR(P58="Sim",D58="TBD (owner pending)"),"◐ Proprietário pendente",IF(R58+S58=0,"○ Sem relações","✔ OK")))))</f>
        <v/>
      </c>
      <c r="U58" s="93" t="n"/>
      <c r="V58" s="93" t="n"/>
      <c r="W58" s="93" t="n"/>
    </row>
    <row r="59" ht="15" customHeight="1" s="50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4">
        <f>IF(A59="","",COUNTIF(Dependencies!$B$5:$B$300,A59))</f>
        <v/>
      </c>
      <c r="S59" s="94">
        <f>IF(A59="","",COUNTIF(Dependencies!$F$5:$F$300,A59))</f>
        <v/>
      </c>
      <c r="T59" s="94">
        <f>IF(A59="","",IF(AND(OR(I59="Implemented",I59="Verified"),J59=""),"⚠ Sem link de código",IF(AND(I59="Verified",K59=""),"⚠ Sem evidência",IF(OR(P59="Sim",D59="TBD (owner pending)"),"◐ Proprietário pendente",IF(R59+S59=0,"○ Sem relações","✔ OK")))))</f>
        <v/>
      </c>
      <c r="U59" s="93" t="n"/>
      <c r="V59" s="93" t="n"/>
      <c r="W59" s="93" t="n"/>
    </row>
    <row r="60" ht="15" customHeight="1" s="5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4">
        <f>IF(A60="","",COUNTIF(Dependencies!$B$5:$B$300,A60))</f>
        <v/>
      </c>
      <c r="S60" s="94">
        <f>IF(A60="","",COUNTIF(Dependencies!$F$5:$F$300,A60))</f>
        <v/>
      </c>
      <c r="T60" s="94">
        <f>IF(A60="","",IF(AND(OR(I60="Implemented",I60="Verified"),J60=""),"⚠ Sem link de código",IF(AND(I60="Verified",K60=""),"⚠ Sem evidência",IF(OR(P60="Sim",D60="TBD (owner pending)"),"◐ Proprietário pendente",IF(R60+S60=0,"○ Sem relações","✔ OK")))))</f>
        <v/>
      </c>
      <c r="U60" s="93" t="n"/>
      <c r="V60" s="93" t="n"/>
      <c r="W60" s="93" t="n"/>
    </row>
    <row r="61" ht="15" customHeight="1" s="50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4">
        <f>IF(A61="","",COUNTIF(Dependencies!$B$5:$B$300,A61))</f>
        <v/>
      </c>
      <c r="S61" s="94">
        <f>IF(A61="","",COUNTIF(Dependencies!$F$5:$F$300,A61))</f>
        <v/>
      </c>
      <c r="T61" s="94">
        <f>IF(A61="","",IF(AND(OR(I61="Implemented",I61="Verified"),J61=""),"⚠ Sem link de código",IF(AND(I61="Verified",K61=""),"⚠ Sem evidência",IF(OR(P61="Sim",D61="TBD (owner pending)"),"◐ Proprietário pendente",IF(R61+S61=0,"○ Sem relações","✔ OK")))))</f>
        <v/>
      </c>
      <c r="U61" s="93" t="n"/>
      <c r="V61" s="93" t="n"/>
      <c r="W61" s="93" t="n"/>
    </row>
    <row r="62" ht="15" customHeight="1" s="50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4">
        <f>IF(A62="","",COUNTIF(Dependencies!$B$5:$B$300,A62))</f>
        <v/>
      </c>
      <c r="S62" s="94">
        <f>IF(A62="","",COUNTIF(Dependencies!$F$5:$F$300,A62))</f>
        <v/>
      </c>
      <c r="T62" s="94">
        <f>IF(A62="","",IF(AND(OR(I62="Implemented",I62="Verified"),J62=""),"⚠ Sem link de código",IF(AND(I62="Verified",K62=""),"⚠ Sem evidência",IF(OR(P62="Sim",D62="TBD (owner pending)"),"◐ Proprietário pendente",IF(R62+S62=0,"○ Sem relações","✔ OK")))))</f>
        <v/>
      </c>
      <c r="U62" s="93" t="n"/>
      <c r="V62" s="93" t="n"/>
      <c r="W62" s="93" t="n"/>
    </row>
    <row r="63" ht="15" customHeight="1" s="50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4">
        <f>IF(A63="","",COUNTIF(Dependencies!$B$5:$B$300,A63))</f>
        <v/>
      </c>
      <c r="S63" s="94">
        <f>IF(A63="","",COUNTIF(Dependencies!$F$5:$F$300,A63))</f>
        <v/>
      </c>
      <c r="T63" s="94">
        <f>IF(A63="","",IF(AND(OR(I63="Implemented",I63="Verified"),J63=""),"⚠ Sem link de código",IF(AND(I63="Verified",K63=""),"⚠ Sem evidência",IF(OR(P63="Sim",D63="TBD (owner pending)"),"◐ Proprietário pendente",IF(R63+S63=0,"○ Sem relações","✔ OK")))))</f>
        <v/>
      </c>
      <c r="U63" s="93" t="n"/>
      <c r="V63" s="93" t="n"/>
      <c r="W63" s="93" t="n"/>
    </row>
    <row r="64" ht="15" customHeight="1" s="50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4">
        <f>IF(A64="","",COUNTIF(Dependencies!$B$5:$B$300,A64))</f>
        <v/>
      </c>
      <c r="S64" s="94">
        <f>IF(A64="","",COUNTIF(Dependencies!$F$5:$F$300,A64))</f>
        <v/>
      </c>
      <c r="T64" s="94">
        <f>IF(A64="","",IF(AND(OR(I64="Implemented",I64="Verified"),J64=""),"⚠ Sem link de código",IF(AND(I64="Verified",K64=""),"⚠ Sem evidência",IF(OR(P64="Sim",D64="TBD (owner pending)"),"◐ Proprietário pendente",IF(R64+S64=0,"○ Sem relações","✔ OK")))))</f>
        <v/>
      </c>
      <c r="U64" s="93" t="n"/>
      <c r="V64" s="93" t="n"/>
      <c r="W64" s="93" t="n"/>
    </row>
    <row r="65" ht="15" customHeight="1" s="50">
      <c r="R65" s="94">
        <f>IF(A65="","",COUNTIF(Dependencies!$B$5:$B$300,A65))</f>
        <v/>
      </c>
      <c r="S65" s="94">
        <f>IF(A65="","",COUNTIF(Dependencies!$F$5:$F$300,A65))</f>
        <v/>
      </c>
      <c r="T65" s="94">
        <f>IF(A65="","",IF(AND(OR(I65="Implemented",I65="Verified"),J65=""),"⚠ Sem link de código",IF(AND(I65="Verified",K65=""),"⚠ Sem evidência",IF(OR(P65="Sim",D65="TBD (owner pending)"),"◐ Proprietário pendente",IF(R65+S65=0,"○ Sem relações","✔ OK")))))</f>
        <v/>
      </c>
    </row>
    <row r="66" ht="15" customHeight="1" s="50">
      <c r="R66" s="94">
        <f>IF(A66="","",COUNTIF(Dependencies!$B$5:$B$300,A66))</f>
        <v/>
      </c>
      <c r="S66" s="94">
        <f>IF(A66="","",COUNTIF(Dependencies!$F$5:$F$300,A66))</f>
        <v/>
      </c>
      <c r="T66" s="94">
        <f>IF(A66="","",IF(AND(OR(I66="Implemented",I66="Verified"),J66=""),"⚠ Sem link de código",IF(AND(I66="Verified",K66=""),"⚠ Sem evidência",IF(OR(P66="Sim",D66="TBD (owner pending)"),"◐ Proprietário pendente",IF(R66+S66=0,"○ Sem relações","✔ OK")))))</f>
        <v/>
      </c>
    </row>
    <row r="67" ht="15" customHeight="1" s="50">
      <c r="R67" s="94">
        <f>IF(A67="","",COUNTIF(Dependencies!$B$5:$B$300,A67))</f>
        <v/>
      </c>
      <c r="S67" s="94">
        <f>IF(A67="","",COUNTIF(Dependencies!$F$5:$F$300,A67))</f>
        <v/>
      </c>
      <c r="T67" s="94">
        <f>IF(A67="","",IF(AND(OR(I67="Implemented",I67="Verified"),J67=""),"⚠ Sem link de código",IF(AND(I67="Verified",K67=""),"⚠ Sem evidência",IF(OR(P67="Sim",D67="TBD (owner pending)"),"◐ Proprietário pendente",IF(R67+S67=0,"○ Sem relações","✔ OK")))))</f>
        <v/>
      </c>
    </row>
    <row r="68" ht="15" customHeight="1" s="50">
      <c r="R68" s="94">
        <f>IF(A68="","",COUNTIF(Dependencies!$B$5:$B$300,A68))</f>
        <v/>
      </c>
      <c r="S68" s="94">
        <f>IF(A68="","",COUNTIF(Dependencies!$F$5:$F$300,A68))</f>
        <v/>
      </c>
      <c r="T68" s="94">
        <f>IF(A68="","",IF(AND(OR(I68="Implemented",I68="Verified"),J68=""),"⚠ Sem link de código",IF(AND(I68="Verified",K68=""),"⚠ Sem evidência",IF(OR(P68="Sim",D68="TBD (owner pending)"),"◐ Proprietário pendente",IF(R68+S68=0,"○ Sem relações","✔ OK")))))</f>
        <v/>
      </c>
    </row>
    <row r="69" ht="15" customHeight="1" s="50">
      <c r="R69" s="94">
        <f>IF(A69="","",COUNTIF(Dependencies!$B$5:$B$300,A69))</f>
        <v/>
      </c>
      <c r="S69" s="94">
        <f>IF(A69="","",COUNTIF(Dependencies!$F$5:$F$300,A69))</f>
        <v/>
      </c>
      <c r="T69" s="94">
        <f>IF(A69="","",IF(AND(OR(I69="Implemented",I69="Verified"),J69=""),"⚠ Sem link de código",IF(AND(I69="Verified",K69=""),"⚠ Sem evidência",IF(OR(P69="Sim",D69="TBD (owner pending)"),"◐ Proprietário pendente",IF(R69+S69=0,"○ Sem relações","✔ OK")))))</f>
        <v/>
      </c>
    </row>
    <row r="70" ht="15" customHeight="1" s="50">
      <c r="R70" s="94">
        <f>IF(A70="","",COUNTIF(Dependencies!$B$5:$B$300,A70))</f>
        <v/>
      </c>
      <c r="S70" s="94">
        <f>IF(A70="","",COUNTIF(Dependencies!$F$5:$F$300,A70))</f>
        <v/>
      </c>
      <c r="T70" s="94">
        <f>IF(A70="","",IF(AND(OR(I70="Implemented",I70="Verified"),J70=""),"⚠ Sem link de código",IF(AND(I70="Verified",K70=""),"⚠ Sem evidência",IF(OR(P70="Sim",D70="TBD (owner pending)"),"◐ Proprietário pendente",IF(R70+S70=0,"○ Sem relações","✔ OK")))))</f>
        <v/>
      </c>
    </row>
    <row r="71" ht="15" customHeight="1" s="50">
      <c r="R71" s="94">
        <f>IF(A71="","",COUNTIF(Dependencies!$B$5:$B$300,A71))</f>
        <v/>
      </c>
      <c r="S71" s="94">
        <f>IF(A71="","",COUNTIF(Dependencies!$F$5:$F$300,A71))</f>
        <v/>
      </c>
      <c r="T71" s="94">
        <f>IF(A71="","",IF(AND(OR(I71="Implemented",I71="Verified"),J71=""),"⚠ Sem link de código",IF(AND(I71="Verified",K71=""),"⚠ Sem evidência",IF(OR(P71="Sim",D71="TBD (owner pending)"),"◐ Proprietário pendente",IF(R71+S71=0,"○ Sem relações","✔ OK")))))</f>
        <v/>
      </c>
    </row>
    <row r="72" ht="15" customHeight="1" s="50">
      <c r="R72" s="94">
        <f>IF(A72="","",COUNTIF(Dependencies!$B$5:$B$300,A72))</f>
        <v/>
      </c>
      <c r="S72" s="94">
        <f>IF(A72="","",COUNTIF(Dependencies!$F$5:$F$300,A72))</f>
        <v/>
      </c>
      <c r="T72" s="94">
        <f>IF(A72="","",IF(AND(OR(I72="Implemented",I72="Verified"),J72=""),"⚠ Sem link de código",IF(AND(I72="Verified",K72=""),"⚠ Sem evidência",IF(OR(P72="Sim",D72="TBD (owner pending)"),"◐ Proprietário pendente",IF(R72+S72=0,"○ Sem relações","✔ OK")))))</f>
        <v/>
      </c>
    </row>
    <row r="73" ht="15" customHeight="1" s="50">
      <c r="R73" s="94">
        <f>IF(A73="","",COUNTIF(Dependencies!$B$5:$B$300,A73))</f>
        <v/>
      </c>
      <c r="S73" s="94">
        <f>IF(A73="","",COUNTIF(Dependencies!$F$5:$F$300,A73))</f>
        <v/>
      </c>
      <c r="T73" s="94">
        <f>IF(A73="","",IF(AND(OR(I73="Implemented",I73="Verified"),J73=""),"⚠ Sem link de código",IF(AND(I73="Verified",K73=""),"⚠ Sem evidência",IF(OR(P73="Sim",D73="TBD (owner pending)"),"◐ Proprietário pendente",IF(R73+S73=0,"○ Sem relações","✔ OK")))))</f>
        <v/>
      </c>
    </row>
    <row r="74" ht="15" customHeight="1" s="50">
      <c r="R74" s="94">
        <f>IF(A74="","",COUNTIF(Dependencies!$B$5:$B$300,A74))</f>
        <v/>
      </c>
      <c r="S74" s="94">
        <f>IF(A74="","",COUNTIF(Dependencies!$F$5:$F$300,A74))</f>
        <v/>
      </c>
      <c r="T74" s="94">
        <f>IF(A74="","",IF(AND(OR(I74="Implemented",I74="Verified"),J74=""),"⚠ Sem link de código",IF(AND(I74="Verified",K74=""),"⚠ Sem evidência",IF(OR(P74="Sim",D74="TBD (owner pending)"),"◐ Proprietário pendente",IF(R74+S74=0,"○ Sem relações","✔ OK")))))</f>
        <v/>
      </c>
    </row>
    <row r="75" ht="15" customHeight="1" s="50">
      <c r="R75" s="94">
        <f>IF(A75="","",COUNTIF(Dependencies!$B$5:$B$300,A75))</f>
        <v/>
      </c>
      <c r="S75" s="94">
        <f>IF(A75="","",COUNTIF(Dependencies!$F$5:$F$300,A75))</f>
        <v/>
      </c>
      <c r="T75" s="94">
        <f>IF(A75="","",IF(AND(OR(I75="Implemented",I75="Verified"),J75=""),"⚠ Sem link de código",IF(AND(I75="Verified",K75=""),"⚠ Sem evidência",IF(OR(P75="Sim",D75="TBD (owner pending)"),"◐ Proprietário pendente",IF(R75+S75=0,"○ Sem relações","✔ OK")))))</f>
        <v/>
      </c>
    </row>
    <row r="76" ht="15" customHeight="1" s="50">
      <c r="R76" s="94">
        <f>IF(A76="","",COUNTIF(Dependencies!$B$5:$B$300,A76))</f>
        <v/>
      </c>
      <c r="S76" s="94">
        <f>IF(A76="","",COUNTIF(Dependencies!$F$5:$F$300,A76))</f>
        <v/>
      </c>
      <c r="T76" s="94">
        <f>IF(A76="","",IF(AND(OR(I76="Implemented",I76="Verified"),J76=""),"⚠ Sem link de código",IF(AND(I76="Verified",K76=""),"⚠ Sem evidência",IF(OR(P76="Sim",D76="TBD (owner pending)"),"◐ Proprietário pendente",IF(R76+S76=0,"○ Sem relações","✔ OK")))))</f>
        <v/>
      </c>
    </row>
    <row r="77" ht="15" customHeight="1" s="50">
      <c r="R77" s="94">
        <f>IF(A77="","",COUNTIF(Dependencies!$B$5:$B$300,A77))</f>
        <v/>
      </c>
      <c r="S77" s="94">
        <f>IF(A77="","",COUNTIF(Dependencies!$F$5:$F$300,A77))</f>
        <v/>
      </c>
      <c r="T77" s="94">
        <f>IF(A77="","",IF(AND(OR(I77="Implemented",I77="Verified"),J77=""),"⚠ Sem link de código",IF(AND(I77="Verified",K77=""),"⚠ Sem evidência",IF(OR(P77="Sim",D77="TBD (owner pending)"),"◐ Proprietário pendente",IF(R77+S77=0,"○ Sem relações","✔ OK")))))</f>
        <v/>
      </c>
    </row>
    <row r="78" ht="15" customHeight="1" s="50">
      <c r="R78" s="94">
        <f>IF(A78="","",COUNTIF(Dependencies!$B$5:$B$300,A78))</f>
        <v/>
      </c>
      <c r="S78" s="94">
        <f>IF(A78="","",COUNTIF(Dependencies!$F$5:$F$300,A78))</f>
        <v/>
      </c>
      <c r="T78" s="94">
        <f>IF(A78="","",IF(AND(OR(I78="Implemented",I78="Verified"),J78=""),"⚠ Sem link de código",IF(AND(I78="Verified",K78=""),"⚠ Sem evidência",IF(OR(P78="Sim",D78="TBD (owner pending)"),"◐ Proprietário pendente",IF(R78+S78=0,"○ Sem relações","✔ OK")))))</f>
        <v/>
      </c>
    </row>
    <row r="79" ht="15" customHeight="1" s="50">
      <c r="R79" s="94">
        <f>IF(A79="","",COUNTIF(Dependencies!$B$5:$B$300,A79))</f>
        <v/>
      </c>
      <c r="S79" s="94">
        <f>IF(A79="","",COUNTIF(Dependencies!$F$5:$F$300,A79))</f>
        <v/>
      </c>
      <c r="T79" s="94">
        <f>IF(A79="","",IF(AND(OR(I79="Implemented",I79="Verified"),J79=""),"⚠ Sem link de código",IF(AND(I79="Verified",K79=""),"⚠ Sem evidência",IF(OR(P79="Sim",D79="TBD (owner pending)"),"◐ Proprietário pendente",IF(R79+S79=0,"○ Sem relações","✔ OK")))))</f>
        <v/>
      </c>
    </row>
    <row r="80" ht="15" customHeight="1" s="50">
      <c r="R80" s="94">
        <f>IF(A80="","",COUNTIF(Dependencies!$B$5:$B$300,A80))</f>
        <v/>
      </c>
      <c r="S80" s="94">
        <f>IF(A80="","",COUNTIF(Dependencies!$F$5:$F$300,A80))</f>
        <v/>
      </c>
      <c r="T80" s="94">
        <f>IF(A80="","",IF(AND(OR(I80="Implemented",I80="Verified"),J80=""),"⚠ Sem link de código",IF(AND(I80="Verified",K80=""),"⚠ Sem evidência",IF(OR(P80="Sim",D80="TBD (owner pending)"),"◐ Proprietário pendente",IF(R80+S80=0,"○ Sem relações","✔ OK")))))</f>
        <v/>
      </c>
    </row>
    <row r="81" ht="15" customHeight="1" s="50">
      <c r="R81" s="94">
        <f>IF(A81="","",COUNTIF(Dependencies!$B$5:$B$300,A81))</f>
        <v/>
      </c>
      <c r="S81" s="94">
        <f>IF(A81="","",COUNTIF(Dependencies!$F$5:$F$300,A81))</f>
        <v/>
      </c>
      <c r="T81" s="94">
        <f>IF(A81="","",IF(AND(OR(I81="Implemented",I81="Verified"),J81=""),"⚠ Sem link de código",IF(AND(I81="Verified",K81=""),"⚠ Sem evidência",IF(OR(P81="Sim",D81="TBD (owner pending)"),"◐ Proprietário pendente",IF(R81+S81=0,"○ Sem relações","✔ OK")))))</f>
        <v/>
      </c>
    </row>
    <row r="82" ht="15" customHeight="1" s="50">
      <c r="R82" s="94">
        <f>IF(A82="","",COUNTIF(Dependencies!$B$5:$B$300,A82))</f>
        <v/>
      </c>
      <c r="S82" s="94">
        <f>IF(A82="","",COUNTIF(Dependencies!$F$5:$F$300,A82))</f>
        <v/>
      </c>
      <c r="T82" s="94">
        <f>IF(A82="","",IF(AND(OR(I82="Implemented",I82="Verified"),J82=""),"⚠ Sem link de código",IF(AND(I82="Verified",K82=""),"⚠ Sem evidência",IF(OR(P82="Sim",D82="TBD (owner pending)"),"◐ Proprietário pendente",IF(R82+S82=0,"○ Sem relações","✔ OK")))))</f>
        <v/>
      </c>
    </row>
    <row r="83" ht="15" customHeight="1" s="50">
      <c r="R83" s="94">
        <f>IF(A83="","",COUNTIF(Dependencies!$B$5:$B$300,A83))</f>
        <v/>
      </c>
      <c r="S83" s="94">
        <f>IF(A83="","",COUNTIF(Dependencies!$F$5:$F$300,A83))</f>
        <v/>
      </c>
      <c r="T83" s="94">
        <f>IF(A83="","",IF(AND(OR(I83="Implemented",I83="Verified"),J83=""),"⚠ Sem link de código",IF(AND(I83="Verified",K83=""),"⚠ Sem evidência",IF(OR(P83="Sim",D83="TBD (owner pending)"),"◐ Proprietário pendente",IF(R83+S83=0,"○ Sem relações","✔ OK")))))</f>
        <v/>
      </c>
    </row>
    <row r="84" ht="15" customHeight="1" s="50">
      <c r="R84" s="94">
        <f>IF(A84="","",COUNTIF(Dependencies!$B$5:$B$300,A84))</f>
        <v/>
      </c>
      <c r="S84" s="94">
        <f>IF(A84="","",COUNTIF(Dependencies!$F$5:$F$300,A84))</f>
        <v/>
      </c>
      <c r="T84" s="94">
        <f>IF(A84="","",IF(AND(OR(I84="Implemented",I84="Verified"),J84=""),"⚠ Sem link de código",IF(AND(I84="Verified",K84=""),"⚠ Sem evidência",IF(OR(P84="Sim",D84="TBD (owner pending)"),"◐ Proprietário pendente",IF(R84+S84=0,"○ Sem relações","✔ OK")))))</f>
        <v/>
      </c>
    </row>
    <row r="85" ht="15" customHeight="1" s="50">
      <c r="R85" s="94">
        <f>IF(A85="","",COUNTIF(Dependencies!$B$5:$B$300,A85))</f>
        <v/>
      </c>
      <c r="S85" s="94">
        <f>IF(A85="","",COUNTIF(Dependencies!$F$5:$F$300,A85))</f>
        <v/>
      </c>
      <c r="T85" s="94">
        <f>IF(A85="","",IF(AND(OR(I85="Implemented",I85="Verified"),J85=""),"⚠ Sem link de código",IF(AND(I85="Verified",K85=""),"⚠ Sem evidência",IF(OR(P85="Sim",D85="TBD (owner pending)"),"◐ Proprietário pendente",IF(R85+S85=0,"○ Sem relações","✔ OK")))))</f>
        <v/>
      </c>
    </row>
    <row r="86" ht="15" customHeight="1" s="50">
      <c r="R86" s="94">
        <f>IF(A86="","",COUNTIF(Dependencies!$B$5:$B$300,A86))</f>
        <v/>
      </c>
      <c r="S86" s="94">
        <f>IF(A86="","",COUNTIF(Dependencies!$F$5:$F$300,A86))</f>
        <v/>
      </c>
      <c r="T86" s="94">
        <f>IF(A86="","",IF(AND(OR(I86="Implemented",I86="Verified"),J86=""),"⚠ Sem link de código",IF(AND(I86="Verified",K86=""),"⚠ Sem evidência",IF(OR(P86="Sim",D86="TBD (owner pending)"),"◐ Proprietário pendente",IF(R86+S86=0,"○ Sem relações","✔ OK")))))</f>
        <v/>
      </c>
    </row>
    <row r="87" ht="15" customHeight="1" s="50">
      <c r="R87" s="94">
        <f>IF(A87="","",COUNTIF(Dependencies!$B$5:$B$300,A87))</f>
        <v/>
      </c>
      <c r="S87" s="94">
        <f>IF(A87="","",COUNTIF(Dependencies!$F$5:$F$300,A87))</f>
        <v/>
      </c>
      <c r="T87" s="94">
        <f>IF(A87="","",IF(AND(OR(I87="Implemented",I87="Verified"),J87=""),"⚠ Sem link de código",IF(AND(I87="Verified",K87=""),"⚠ Sem evidência",IF(OR(P87="Sim",D87="TBD (owner pending)"),"◐ Proprietário pendente",IF(R87+S87=0,"○ Sem relações","✔ OK")))))</f>
        <v/>
      </c>
    </row>
    <row r="88" ht="15" customHeight="1" s="50">
      <c r="R88" s="94">
        <f>IF(A88="","",COUNTIF(Dependencies!$B$5:$B$300,A88))</f>
        <v/>
      </c>
      <c r="S88" s="94">
        <f>IF(A88="","",COUNTIF(Dependencies!$F$5:$F$300,A88))</f>
        <v/>
      </c>
      <c r="T88" s="94">
        <f>IF(A88="","",IF(AND(OR(I88="Implemented",I88="Verified"),J88=""),"⚠ Sem link de código",IF(AND(I88="Verified",K88=""),"⚠ Sem evidência",IF(OR(P88="Sim",D88="TBD (owner pending)"),"◐ Proprietário pendente",IF(R88+S88=0,"○ Sem relações","✔ OK")))))</f>
        <v/>
      </c>
    </row>
    <row r="89" ht="15" customHeight="1" s="50">
      <c r="R89" s="94">
        <f>IF(A89="","",COUNTIF(Dependencies!$B$5:$B$300,A89))</f>
        <v/>
      </c>
      <c r="S89" s="94">
        <f>IF(A89="","",COUNTIF(Dependencies!$F$5:$F$300,A89))</f>
        <v/>
      </c>
      <c r="T89" s="94">
        <f>IF(A89="","",IF(AND(OR(I89="Implemented",I89="Verified"),J89=""),"⚠ Sem link de código",IF(AND(I89="Verified",K89=""),"⚠ Sem evidência",IF(OR(P89="Sim",D89="TBD (owner pending)"),"◐ Proprietário pendente",IF(R89+S89=0,"○ Sem relações","✔ OK")))))</f>
        <v/>
      </c>
    </row>
    <row r="90" ht="15" customHeight="1" s="50">
      <c r="R90" s="94">
        <f>IF(A90="","",COUNTIF(Dependencies!$B$5:$B$300,A90))</f>
        <v/>
      </c>
      <c r="S90" s="94">
        <f>IF(A90="","",COUNTIF(Dependencies!$F$5:$F$300,A90))</f>
        <v/>
      </c>
      <c r="T90" s="94">
        <f>IF(A90="","",IF(AND(OR(I90="Implemented",I90="Verified"),J90=""),"⚠ Sem link de código",IF(AND(I90="Verified",K90=""),"⚠ Sem evidência",IF(OR(P90="Sim",D90="TBD (owner pending)"),"◐ Proprietário pendente",IF(R90+S90=0,"○ Sem relações","✔ OK")))))</f>
        <v/>
      </c>
    </row>
    <row r="91" ht="15" customHeight="1" s="50">
      <c r="R91" s="94">
        <f>IF(A91="","",COUNTIF(Dependencies!$B$5:$B$300,A91))</f>
        <v/>
      </c>
      <c r="S91" s="94">
        <f>IF(A91="","",COUNTIF(Dependencies!$F$5:$F$300,A91))</f>
        <v/>
      </c>
      <c r="T91" s="94">
        <f>IF(A91="","",IF(AND(OR(I91="Implemented",I91="Verified"),J91=""),"⚠ Sem link de código",IF(AND(I91="Verified",K91=""),"⚠ Sem evidência",IF(OR(P91="Sim",D91="TBD (owner pending)"),"◐ Proprietário pendente",IF(R91+S91=0,"○ Sem relações","✔ OK")))))</f>
        <v/>
      </c>
    </row>
    <row r="92" ht="15" customHeight="1" s="50">
      <c r="R92" s="94">
        <f>IF(A92="","",COUNTIF(Dependencies!$B$5:$B$300,A92))</f>
        <v/>
      </c>
      <c r="S92" s="94">
        <f>IF(A92="","",COUNTIF(Dependencies!$F$5:$F$300,A92))</f>
        <v/>
      </c>
      <c r="T92" s="94">
        <f>IF(A92="","",IF(AND(OR(I92="Implemented",I92="Verified"),J92=""),"⚠ Sem link de código",IF(AND(I92="Verified",K92=""),"⚠ Sem evidência",IF(OR(P92="Sim",D92="TBD (owner pending)"),"◐ Proprietário pendente",IF(R92+S92=0,"○ Sem relações","✔ OK")))))</f>
        <v/>
      </c>
    </row>
    <row r="93" ht="15" customHeight="1" s="50">
      <c r="R93" s="94">
        <f>IF(A93="","",COUNTIF(Dependencies!$B$5:$B$300,A93))</f>
        <v/>
      </c>
      <c r="S93" s="94">
        <f>IF(A93="","",COUNTIF(Dependencies!$F$5:$F$300,A93))</f>
        <v/>
      </c>
      <c r="T93" s="94">
        <f>IF(A93="","",IF(AND(OR(I93="Implemented",I93="Verified"),J93=""),"⚠ Sem link de código",IF(AND(I93="Verified",K93=""),"⚠ Sem evidência",IF(OR(P93="Sim",D93="TBD (owner pending)"),"◐ Proprietário pendente",IF(R93+S93=0,"○ Sem relações","✔ OK")))))</f>
        <v/>
      </c>
    </row>
    <row r="94" ht="15" customHeight="1" s="50">
      <c r="R94" s="94">
        <f>IF(A94="","",COUNTIF(Dependencies!$B$5:$B$300,A94))</f>
        <v/>
      </c>
      <c r="S94" s="94">
        <f>IF(A94="","",COUNTIF(Dependencies!$F$5:$F$300,A94))</f>
        <v/>
      </c>
      <c r="T94" s="94">
        <f>IF(A94="","",IF(AND(OR(I94="Implemented",I94="Verified"),J94=""),"⚠ Sem link de código",IF(AND(I94="Verified",K94=""),"⚠ Sem evidência",IF(OR(P94="Sim",D94="TBD (owner pending)"),"◐ Proprietário pendente",IF(R94+S94=0,"○ Sem relações","✔ OK")))))</f>
        <v/>
      </c>
    </row>
    <row r="95" ht="15" customHeight="1" s="50">
      <c r="R95" s="94">
        <f>IF(A95="","",COUNTIF(Dependencies!$B$5:$B$300,A95))</f>
        <v/>
      </c>
      <c r="S95" s="94">
        <f>IF(A95="","",COUNTIF(Dependencies!$F$5:$F$300,A95))</f>
        <v/>
      </c>
      <c r="T95" s="94">
        <f>IF(A95="","",IF(AND(OR(I95="Implemented",I95="Verified"),J95=""),"⚠ Sem link de código",IF(AND(I95="Verified",K95=""),"⚠ Sem evidência",IF(OR(P95="Sim",D95="TBD (owner pending)"),"◐ Proprietário pendente",IF(R95+S95=0,"○ Sem relações","✔ OK")))))</f>
        <v/>
      </c>
    </row>
    <row r="96" ht="15" customHeight="1" s="50">
      <c r="R96" s="94">
        <f>IF(A96="","",COUNTIF(Dependencies!$B$5:$B$300,A96))</f>
        <v/>
      </c>
      <c r="S96" s="94">
        <f>IF(A96="","",COUNTIF(Dependencies!$F$5:$F$300,A96))</f>
        <v/>
      </c>
      <c r="T96" s="94">
        <f>IF(A96="","",IF(AND(OR(I96="Implemented",I96="Verified"),J96=""),"⚠ Sem link de código",IF(AND(I96="Verified",K96=""),"⚠ Sem evidência",IF(OR(P96="Sim",D96="TBD (owner pending)"),"◐ Proprietário pendente",IF(R96+S96=0,"○ Sem relações","✔ OK")))))</f>
        <v/>
      </c>
    </row>
    <row r="97" ht="15" customHeight="1" s="50">
      <c r="R97" s="94">
        <f>IF(A97="","",COUNTIF(Dependencies!$B$5:$B$300,A97))</f>
        <v/>
      </c>
      <c r="S97" s="94">
        <f>IF(A97="","",COUNTIF(Dependencies!$F$5:$F$300,A97))</f>
        <v/>
      </c>
      <c r="T97" s="94">
        <f>IF(A97="","",IF(AND(OR(I97="Implemented",I97="Verified"),J97=""),"⚠ Sem link de código",IF(AND(I97="Verified",K97=""),"⚠ Sem evidência",IF(OR(P97="Sim",D97="TBD (owner pending)"),"◐ Proprietário pendente",IF(R97+S97=0,"○ Sem relações","✔ OK")))))</f>
        <v/>
      </c>
    </row>
    <row r="98" ht="15" customHeight="1" s="50">
      <c r="R98" s="94">
        <f>IF(A98="","",COUNTIF(Dependencies!$B$5:$B$300,A98))</f>
        <v/>
      </c>
      <c r="S98" s="94">
        <f>IF(A98="","",COUNTIF(Dependencies!$F$5:$F$300,A98))</f>
        <v/>
      </c>
      <c r="T98" s="94">
        <f>IF(A98="","",IF(AND(OR(I98="Implemented",I98="Verified"),J98=""),"⚠ Sem link de código",IF(AND(I98="Verified",K98=""),"⚠ Sem evidência",IF(OR(P98="Sim",D98="TBD (owner pending)"),"◐ Proprietário pendente",IF(R98+S98=0,"○ Sem relações","✔ OK")))))</f>
        <v/>
      </c>
    </row>
    <row r="99" ht="15" customHeight="1" s="50">
      <c r="R99" s="94">
        <f>IF(A99="","",COUNTIF(Dependencies!$B$5:$B$300,A99))</f>
        <v/>
      </c>
      <c r="S99" s="94">
        <f>IF(A99="","",COUNTIF(Dependencies!$F$5:$F$300,A99))</f>
        <v/>
      </c>
      <c r="T99" s="94">
        <f>IF(A99="","",IF(AND(OR(I99="Implemented",I99="Verified"),J99=""),"⚠ Sem link de código",IF(AND(I99="Verified",K99=""),"⚠ Sem evidência",IF(OR(P99="Sim",D99="TBD (owner pending)"),"◐ Proprietário pendente",IF(R99+S99=0,"○ Sem relações","✔ OK")))))</f>
        <v/>
      </c>
    </row>
    <row r="100" ht="15" customHeight="1" s="50">
      <c r="R100" s="94">
        <f>IF(A100="","",COUNTIF(Dependencies!$B$5:$B$300,A100))</f>
        <v/>
      </c>
      <c r="S100" s="94">
        <f>IF(A100="","",COUNTIF(Dependencies!$F$5:$F$300,A100))</f>
        <v/>
      </c>
      <c r="T100" s="94">
        <f>IF(A100="","",IF(AND(OR(I100="Implemented",I100="Verified"),J100=""),"⚠ Sem link de código",IF(AND(I100="Verified",K100=""),"⚠ Sem evidência",IF(OR(P100="Sim",D100="TBD (owner pending)"),"◐ Proprietário pendente",IF(R100+S100=0,"○ Sem relações","✔ OK")))))</f>
        <v/>
      </c>
    </row>
    <row r="101" ht="15" customHeight="1" s="50">
      <c r="R101" s="94">
        <f>IF(A101="","",COUNTIF(Dependencies!$B$5:$B$300,A101))</f>
        <v/>
      </c>
      <c r="S101" s="94">
        <f>IF(A101="","",COUNTIF(Dependencies!$F$5:$F$300,A101))</f>
        <v/>
      </c>
      <c r="T101" s="94">
        <f>IF(A101="","",IF(AND(OR(I101="Implemented",I101="Verified"),J101=""),"⚠ Sem link de código",IF(AND(I101="Verified",K101=""),"⚠ Sem evidência",IF(OR(P101="Sim",D101="TBD (owner pending)"),"◐ Proprietário pendente",IF(R101+S101=0,"○ Sem relações","✔ OK")))))</f>
        <v/>
      </c>
    </row>
    <row r="102" ht="15" customHeight="1" s="50">
      <c r="R102" s="94">
        <f>IF(A102="","",COUNTIF(Dependencies!$B$5:$B$300,A102))</f>
        <v/>
      </c>
      <c r="S102" s="94">
        <f>IF(A102="","",COUNTIF(Dependencies!$F$5:$F$300,A102))</f>
        <v/>
      </c>
      <c r="T102" s="94">
        <f>IF(A102="","",IF(AND(OR(I102="Implemented",I102="Verified"),J102=""),"⚠ Sem link de código",IF(AND(I102="Verified",K102=""),"⚠ Sem evidência",IF(OR(P102="Sim",D102="TBD (owner pending)"),"◐ Proprietário pendente",IF(R102+S102=0,"○ Sem relações","✔ OK")))))</f>
        <v/>
      </c>
    </row>
    <row r="103" ht="15" customHeight="1" s="50">
      <c r="R103" s="94">
        <f>IF(A103="","",COUNTIF(Dependencies!$B$5:$B$300,A103))</f>
        <v/>
      </c>
      <c r="S103" s="94">
        <f>IF(A103="","",COUNTIF(Dependencies!$F$5:$F$300,A103))</f>
        <v/>
      </c>
      <c r="T103" s="94">
        <f>IF(A103="","",IF(AND(OR(I103="Implemented",I103="Verified"),J103=""),"⚠ Sem link de código",IF(AND(I103="Verified",K103=""),"⚠ Sem evidência",IF(OR(P103="Sim",D103="TBD (owner pending)"),"◐ Proprietário pendente",IF(R103+S103=0,"○ Sem relações","✔ OK")))))</f>
        <v/>
      </c>
    </row>
    <row r="104" ht="15" customHeight="1" s="50">
      <c r="R104" s="94">
        <f>IF(A104="","",COUNTIF(Dependencies!$B$5:$B$300,A104))</f>
        <v/>
      </c>
      <c r="S104" s="94">
        <f>IF(A104="","",COUNTIF(Dependencies!$F$5:$F$300,A104))</f>
        <v/>
      </c>
      <c r="T104" s="94">
        <f>IF(A104="","",IF(AND(OR(I104="Implemented",I104="Verified"),J104=""),"⚠ Sem link de código",IF(AND(I104="Verified",K104=""),"⚠ Sem evidência",IF(OR(P104="Sim",D104="TBD (owner pending)"),"◐ Proprietário pendente",IF(R104+S104=0,"○ Sem relações","✔ OK")))))</f>
        <v/>
      </c>
    </row>
    <row r="105" ht="15" customHeight="1" s="50">
      <c r="R105" s="94">
        <f>IF(A105="","",COUNTIF(Dependencies!$B$5:$B$300,A105))</f>
        <v/>
      </c>
      <c r="S105" s="94">
        <f>IF(A105="","",COUNTIF(Dependencies!$F$5:$F$300,A105))</f>
        <v/>
      </c>
      <c r="T105" s="94">
        <f>IF(A105="","",IF(AND(OR(I105="Implemented",I105="Verified"),J105=""),"⚠ Sem link de código",IF(AND(I105="Verified",K105=""),"⚠ Sem evidência",IF(OR(P105="Sim",D105="TBD (owner pending)"),"◐ Proprietário pendente",IF(R105+S105=0,"○ Sem relações","✔ OK")))))</f>
        <v/>
      </c>
    </row>
    <row r="106" ht="15" customHeight="1" s="50">
      <c r="R106" s="94">
        <f>IF(A106="","",COUNTIF(Dependencies!$B$5:$B$300,A106))</f>
        <v/>
      </c>
      <c r="S106" s="94">
        <f>IF(A106="","",COUNTIF(Dependencies!$F$5:$F$300,A106))</f>
        <v/>
      </c>
      <c r="T106" s="94">
        <f>IF(A106="","",IF(AND(OR(I106="Implemented",I106="Verified"),J106=""),"⚠ Sem link de código",IF(AND(I106="Verified",K106=""),"⚠ Sem evidência",IF(OR(P106="Sim",D106="TBD (owner pending)"),"◐ Proprietário pendente",IF(R106+S106=0,"○ Sem relações","✔ OK")))))</f>
        <v/>
      </c>
    </row>
    <row r="107" ht="15" customHeight="1" s="50">
      <c r="R107" s="94">
        <f>IF(A107="","",COUNTIF(Dependencies!$B$5:$B$300,A107))</f>
        <v/>
      </c>
      <c r="S107" s="94">
        <f>IF(A107="","",COUNTIF(Dependencies!$F$5:$F$300,A107))</f>
        <v/>
      </c>
      <c r="T107" s="94">
        <f>IF(A107="","",IF(AND(OR(I107="Implemented",I107="Verified"),J107=""),"⚠ Sem link de código",IF(AND(I107="Verified",K107=""),"⚠ Sem evidência",IF(OR(P107="Sim",D107="TBD (owner pending)"),"◐ Proprietário pendente",IF(R107+S107=0,"○ Sem relações","✔ OK")))))</f>
        <v/>
      </c>
    </row>
    <row r="108" ht="15" customHeight="1" s="50">
      <c r="R108" s="94">
        <f>IF(A108="","",COUNTIF(Dependencies!$B$5:$B$300,A108))</f>
        <v/>
      </c>
      <c r="S108" s="94">
        <f>IF(A108="","",COUNTIF(Dependencies!$F$5:$F$300,A108))</f>
        <v/>
      </c>
      <c r="T108" s="94">
        <f>IF(A108="","",IF(AND(OR(I108="Implemented",I108="Verified"),J108=""),"⚠ Sem link de código",IF(AND(I108="Verified",K108=""),"⚠ Sem evidência",IF(OR(P108="Sim",D108="TBD (owner pending)"),"◐ Proprietário pendente",IF(R108+S108=0,"○ Sem relações","✔ OK")))))</f>
        <v/>
      </c>
    </row>
    <row r="109" ht="15" customHeight="1" s="50">
      <c r="R109" s="94">
        <f>IF(A109="","",COUNTIF(Dependencies!$B$5:$B$300,A109))</f>
        <v/>
      </c>
      <c r="S109" s="94">
        <f>IF(A109="","",COUNTIF(Dependencies!$F$5:$F$300,A109))</f>
        <v/>
      </c>
      <c r="T109" s="94">
        <f>IF(A109="","",IF(AND(OR(I109="Implemented",I109="Verified"),J109=""),"⚠ Sem link de código",IF(AND(I109="Verified",K109=""),"⚠ Sem evidência",IF(OR(P109="Sim",D109="TBD (owner pending)"),"◐ Proprietário pendente",IF(R109+S109=0,"○ Sem relações","✔ OK")))))</f>
        <v/>
      </c>
    </row>
    <row r="110" ht="15" customHeight="1" s="50">
      <c r="R110" s="94">
        <f>IF(A110="","",COUNTIF(Dependencies!$B$5:$B$300,A110))</f>
        <v/>
      </c>
      <c r="S110" s="94">
        <f>IF(A110="","",COUNTIF(Dependencies!$F$5:$F$300,A110))</f>
        <v/>
      </c>
      <c r="T110" s="94">
        <f>IF(A110="","",IF(AND(OR(I110="Implemented",I110="Verified"),J110=""),"⚠ Sem link de código",IF(AND(I110="Verified",K110=""),"⚠ Sem evidência",IF(OR(P110="Sim",D110="TBD (owner pending)"),"◐ Proprietário pendente",IF(R110+S110=0,"○ Sem relações","✔ OK")))))</f>
        <v/>
      </c>
    </row>
    <row r="111" ht="15" customHeight="1" s="50">
      <c r="R111" s="94">
        <f>IF(A111="","",COUNTIF(Dependencies!$B$5:$B$300,A111))</f>
        <v/>
      </c>
      <c r="S111" s="94">
        <f>IF(A111="","",COUNTIF(Dependencies!$F$5:$F$300,A111))</f>
        <v/>
      </c>
      <c r="T111" s="94">
        <f>IF(A111="","",IF(AND(OR(I111="Implemented",I111="Verified"),J111=""),"⚠ Sem link de código",IF(AND(I111="Verified",K111=""),"⚠ Sem evidência",IF(OR(P111="Sim",D111="TBD (owner pending)"),"◐ Proprietário pendente",IF(R111+S111=0,"○ Sem relações","✔ OK")))))</f>
        <v/>
      </c>
    </row>
    <row r="112" ht="15" customHeight="1" s="50">
      <c r="R112" s="94">
        <f>IF(A112="","",COUNTIF(Dependencies!$B$5:$B$300,A112))</f>
        <v/>
      </c>
      <c r="S112" s="94">
        <f>IF(A112="","",COUNTIF(Dependencies!$F$5:$F$300,A112))</f>
        <v/>
      </c>
      <c r="T112" s="94">
        <f>IF(A112="","",IF(AND(OR(I112="Implemented",I112="Verified"),J112=""),"⚠ Sem link de código",IF(AND(I112="Verified",K112=""),"⚠ Sem evidência",IF(OR(P112="Sim",D112="TBD (owner pending)"),"◐ Proprietário pendente",IF(R112+S112=0,"○ Sem relações","✔ OK")))))</f>
        <v/>
      </c>
    </row>
    <row r="113" ht="15" customHeight="1" s="50">
      <c r="R113" s="94">
        <f>IF(A113="","",COUNTIF(Dependencies!$B$5:$B$300,A113))</f>
        <v/>
      </c>
      <c r="S113" s="94">
        <f>IF(A113="","",COUNTIF(Dependencies!$F$5:$F$300,A113))</f>
        <v/>
      </c>
      <c r="T113" s="94">
        <f>IF(A113="","",IF(AND(OR(I113="Implemented",I113="Verified"),J113=""),"⚠ Sem link de código",IF(AND(I113="Verified",K113=""),"⚠ Sem evidência",IF(OR(P113="Sim",D113="TBD (owner pending)"),"◐ Proprietário pendente",IF(R113+S113=0,"○ Sem relações","✔ OK")))))</f>
        <v/>
      </c>
    </row>
    <row r="114" ht="15" customHeight="1" s="50">
      <c r="R114" s="94">
        <f>IF(A114="","",COUNTIF(Dependencies!$B$5:$B$300,A114))</f>
        <v/>
      </c>
      <c r="S114" s="94">
        <f>IF(A114="","",COUNTIF(Dependencies!$F$5:$F$300,A114))</f>
        <v/>
      </c>
      <c r="T114" s="94">
        <f>IF(A114="","",IF(AND(OR(I114="Implemented",I114="Verified"),J114=""),"⚠ Sem link de código",IF(AND(I114="Verified",K114=""),"⚠ Sem evidência",IF(OR(P114="Sim",D114="TBD (owner pending)"),"◐ Proprietário pendente",IF(R114+S114=0,"○ Sem relações","✔ OK")))))</f>
        <v/>
      </c>
    </row>
    <row r="115" ht="15" customHeight="1" s="50">
      <c r="R115" s="94">
        <f>IF(A115="","",COUNTIF(Dependencies!$B$5:$B$300,A115))</f>
        <v/>
      </c>
      <c r="S115" s="94">
        <f>IF(A115="","",COUNTIF(Dependencies!$F$5:$F$300,A115))</f>
        <v/>
      </c>
      <c r="T115" s="94">
        <f>IF(A115="","",IF(AND(OR(I115="Implemented",I115="Verified"),J115=""),"⚠ Sem link de código",IF(AND(I115="Verified",K115=""),"⚠ Sem evidência",IF(OR(P115="Sim",D115="TBD (owner pending)"),"◐ Proprietário pendente",IF(R115+S115=0,"○ Sem relações","✔ OK")))))</f>
        <v/>
      </c>
    </row>
    <row r="116" ht="15" customHeight="1" s="50">
      <c r="R116" s="94">
        <f>IF(A116="","",COUNTIF(Dependencies!$B$5:$B$300,A116))</f>
        <v/>
      </c>
      <c r="S116" s="94">
        <f>IF(A116="","",COUNTIF(Dependencies!$F$5:$F$300,A116))</f>
        <v/>
      </c>
      <c r="T116" s="94">
        <f>IF(A116="","",IF(AND(OR(I116="Implemented",I116="Verified"),J116=""),"⚠ Sem link de código",IF(AND(I116="Verified",K116=""),"⚠ Sem evidência",IF(OR(P116="Sim",D116="TBD (owner pending)"),"◐ Proprietário pendente",IF(R116+S116=0,"○ Sem relações","✔ OK")))))</f>
        <v/>
      </c>
    </row>
    <row r="117" ht="15" customHeight="1" s="50">
      <c r="R117" s="94">
        <f>IF(A117="","",COUNTIF(Dependencies!$B$5:$B$300,A117))</f>
        <v/>
      </c>
      <c r="S117" s="94">
        <f>IF(A117="","",COUNTIF(Dependencies!$F$5:$F$300,A117))</f>
        <v/>
      </c>
      <c r="T117" s="94">
        <f>IF(A117="","",IF(AND(OR(I117="Implemented",I117="Verified"),J117=""),"⚠ Sem link de código",IF(AND(I117="Verified",K117=""),"⚠ Sem evidência",IF(OR(P117="Sim",D117="TBD (owner pending)"),"◐ Proprietário pendente",IF(R117+S117=0,"○ Sem relações","✔ OK")))))</f>
        <v/>
      </c>
    </row>
    <row r="118" ht="15" customHeight="1" s="50">
      <c r="R118" s="94">
        <f>IF(A118="","",COUNTIF(Dependencies!$B$5:$B$300,A118))</f>
        <v/>
      </c>
      <c r="S118" s="94">
        <f>IF(A118="","",COUNTIF(Dependencies!$F$5:$F$300,A118))</f>
        <v/>
      </c>
      <c r="T118" s="94">
        <f>IF(A118="","",IF(AND(OR(I118="Implemented",I118="Verified"),J118=""),"⚠ Sem link de código",IF(AND(I118="Verified",K118=""),"⚠ Sem evidência",IF(OR(P118="Sim",D118="TBD (owner pending)"),"◐ Proprietário pendente",IF(R118+S118=0,"○ Sem relações","✔ OK")))))</f>
        <v/>
      </c>
    </row>
    <row r="119" ht="15" customHeight="1" s="50">
      <c r="R119" s="94">
        <f>IF(A119="","",COUNTIF(Dependencies!$B$5:$B$300,A119))</f>
        <v/>
      </c>
      <c r="S119" s="94">
        <f>IF(A119="","",COUNTIF(Dependencies!$F$5:$F$300,A119))</f>
        <v/>
      </c>
      <c r="T119" s="94">
        <f>IF(A119="","",IF(AND(OR(I119="Implemented",I119="Verified"),J119=""),"⚠ Sem link de código",IF(AND(I119="Verified",K119=""),"⚠ Sem evidência",IF(OR(P119="Sim",D119="TBD (owner pending)"),"◐ Proprietário pendente",IF(R119+S119=0,"○ Sem relações","✔ OK")))))</f>
        <v/>
      </c>
    </row>
    <row r="120" ht="15" customHeight="1" s="50">
      <c r="R120" s="94">
        <f>IF(A120="","",COUNTIF(Dependencies!$B$5:$B$300,A120))</f>
        <v/>
      </c>
      <c r="S120" s="94">
        <f>IF(A120="","",COUNTIF(Dependencies!$F$5:$F$300,A120))</f>
        <v/>
      </c>
      <c r="T120" s="94">
        <f>IF(A120="","",IF(AND(OR(I120="Implemented",I120="Verified"),J120=""),"⚠ Sem link de código",IF(AND(I120="Verified",K120=""),"⚠ Sem evidência",IF(OR(P120="Sim",D120="TBD (owner pending)"),"◐ Proprietário pendente",IF(R120+S120=0,"○ Sem relações","✔ OK")))))</f>
        <v/>
      </c>
    </row>
    <row r="121" ht="15" customHeight="1" s="50">
      <c r="R121" s="94">
        <f>IF(A121="","",COUNTIF(Dependencies!$B$5:$B$300,A121))</f>
        <v/>
      </c>
      <c r="S121" s="94">
        <f>IF(A121="","",COUNTIF(Dependencies!$F$5:$F$300,A121))</f>
        <v/>
      </c>
      <c r="T121" s="94">
        <f>IF(A121="","",IF(AND(OR(I121="Implemented",I121="Verified"),J121=""),"⚠ Sem link de código",IF(AND(I121="Verified",K121=""),"⚠ Sem evidência",IF(OR(P121="Sim",D121="TBD (owner pending)"),"◐ Proprietário pendente",IF(R121+S121=0,"○ Sem relações","✔ OK")))))</f>
        <v/>
      </c>
    </row>
    <row r="122" ht="15" customHeight="1" s="50">
      <c r="R122" s="94">
        <f>IF(A122="","",COUNTIF(Dependencies!$B$5:$B$300,A122))</f>
        <v/>
      </c>
      <c r="S122" s="94">
        <f>IF(A122="","",COUNTIF(Dependencies!$F$5:$F$300,A122))</f>
        <v/>
      </c>
      <c r="T122" s="94">
        <f>IF(A122="","",IF(AND(OR(I122="Implemented",I122="Verified"),J122=""),"⚠ Sem link de código",IF(AND(I122="Verified",K122=""),"⚠ Sem evidência",IF(OR(P122="Sim",D122="TBD (owner pending)"),"◐ Proprietário pendente",IF(R122+S122=0,"○ Sem relações","✔ OK")))))</f>
        <v/>
      </c>
    </row>
    <row r="123" ht="15" customHeight="1" s="50">
      <c r="R123" s="94">
        <f>IF(A123="","",COUNTIF(Dependencies!$B$5:$B$300,A123))</f>
        <v/>
      </c>
      <c r="S123" s="94">
        <f>IF(A123="","",COUNTIF(Dependencies!$F$5:$F$300,A123))</f>
        <v/>
      </c>
      <c r="T123" s="94">
        <f>IF(A123="","",IF(AND(OR(I123="Implemented",I123="Verified"),J123=""),"⚠ Sem link de código",IF(AND(I123="Verified",K123=""),"⚠ Sem evidência",IF(OR(P123="Sim",D123="TBD (owner pending)"),"◐ Proprietário pendente",IF(R123+S123=0,"○ Sem relações","✔ OK")))))</f>
        <v/>
      </c>
    </row>
    <row r="124" ht="15" customHeight="1" s="50">
      <c r="R124" s="94">
        <f>IF(A124="","",COUNTIF(Dependencies!$B$5:$B$300,A124))</f>
        <v/>
      </c>
      <c r="S124" s="94">
        <f>IF(A124="","",COUNTIF(Dependencies!$F$5:$F$300,A124))</f>
        <v/>
      </c>
      <c r="T124" s="94">
        <f>IF(A124="","",IF(AND(OR(I124="Implemented",I124="Verified"),J124=""),"⚠ Sem link de código",IF(AND(I124="Verified",K124=""),"⚠ Sem evidência",IF(OR(P124="Sim",D124="TBD (owner pending)"),"◐ Proprietário pendente",IF(R124+S124=0,"○ Sem relações","✔ OK")))))</f>
        <v/>
      </c>
    </row>
    <row r="125" ht="15" customHeight="1" s="50">
      <c r="R125" s="94">
        <f>IF(A125="","",COUNTIF(Dependencies!$B$5:$B$300,A125))</f>
        <v/>
      </c>
      <c r="S125" s="94">
        <f>IF(A125="","",COUNTIF(Dependencies!$F$5:$F$300,A125))</f>
        <v/>
      </c>
      <c r="T125" s="94">
        <f>IF(A125="","",IF(AND(OR(I125="Implemented",I125="Verified"),J125=""),"⚠ Sem link de código",IF(AND(I125="Verified",K125=""),"⚠ Sem evidência",IF(OR(P125="Sim",D125="TBD (owner pending)"),"◐ Proprietário pendente",IF(R125+S125=0,"○ Sem relações","✔ OK")))))</f>
        <v/>
      </c>
    </row>
    <row r="126" ht="15" customHeight="1" s="50">
      <c r="R126" s="94">
        <f>IF(A126="","",COUNTIF(Dependencies!$B$5:$B$300,A126))</f>
        <v/>
      </c>
      <c r="S126" s="94">
        <f>IF(A126="","",COUNTIF(Dependencies!$F$5:$F$300,A126))</f>
        <v/>
      </c>
      <c r="T126" s="94">
        <f>IF(A126="","",IF(AND(OR(I126="Implemented",I126="Verified"),J126=""),"⚠ Sem link de código",IF(AND(I126="Verified",K126=""),"⚠ Sem evidência",IF(OR(P126="Sim",D126="TBD (owner pending)"),"◐ Proprietário pendente",IF(R126+S126=0,"○ Sem relações","✔ OK")))))</f>
        <v/>
      </c>
    </row>
    <row r="127" ht="15" customHeight="1" s="50">
      <c r="R127" s="94">
        <f>IF(A127="","",COUNTIF(Dependencies!$B$5:$B$300,A127))</f>
        <v/>
      </c>
      <c r="S127" s="94">
        <f>IF(A127="","",COUNTIF(Dependencies!$F$5:$F$300,A127))</f>
        <v/>
      </c>
      <c r="T127" s="94">
        <f>IF(A127="","",IF(AND(OR(I127="Implemented",I127="Verified"),J127=""),"⚠ Sem link de código",IF(AND(I127="Verified",K127=""),"⚠ Sem evidência",IF(OR(P127="Sim",D127="TBD (owner pending)"),"◐ Proprietário pendente",IF(R127+S127=0,"○ Sem relações","✔ OK")))))</f>
        <v/>
      </c>
    </row>
    <row r="128" ht="15" customHeight="1" s="50">
      <c r="R128" s="94">
        <f>IF(A128="","",COUNTIF(Dependencies!$B$5:$B$300,A128))</f>
        <v/>
      </c>
      <c r="S128" s="94">
        <f>IF(A128="","",COUNTIF(Dependencies!$F$5:$F$300,A128))</f>
        <v/>
      </c>
      <c r="T128" s="94">
        <f>IF(A128="","",IF(AND(OR(I128="Implemented",I128="Verified"),J128=""),"⚠ Sem link de código",IF(AND(I128="Verified",K128=""),"⚠ Sem evidência",IF(OR(P128="Sim",D128="TBD (owner pending)"),"◐ Proprietário pendente",IF(R128+S128=0,"○ Sem relações","✔ OK")))))</f>
        <v/>
      </c>
    </row>
    <row r="129" ht="15" customHeight="1" s="50">
      <c r="R129" s="94">
        <f>IF(A129="","",COUNTIF(Dependencies!$B$5:$B$300,A129))</f>
        <v/>
      </c>
      <c r="S129" s="94">
        <f>IF(A129="","",COUNTIF(Dependencies!$F$5:$F$300,A129))</f>
        <v/>
      </c>
      <c r="T129" s="94">
        <f>IF(A129="","",IF(AND(OR(I129="Implemented",I129="Verified"),J129=""),"⚠ Sem link de código",IF(AND(I129="Verified",K129=""),"⚠ Sem evidência",IF(OR(P129="Sim",D129="TBD (owner pending)"),"◐ Proprietário pendente",IF(R129+S129=0,"○ Sem relações","✔ OK")))))</f>
        <v/>
      </c>
    </row>
    <row r="130" ht="15" customHeight="1" s="50">
      <c r="R130" s="94">
        <f>IF(A130="","",COUNTIF(Dependencies!$B$5:$B$300,A130))</f>
        <v/>
      </c>
      <c r="S130" s="94">
        <f>IF(A130="","",COUNTIF(Dependencies!$F$5:$F$300,A130))</f>
        <v/>
      </c>
      <c r="T130" s="94">
        <f>IF(A130="","",IF(AND(OR(I130="Implemented",I130="Verified"),J130=""),"⚠ Sem link de código",IF(AND(I130="Verified",K130=""),"⚠ Sem evidência",IF(OR(P130="Sim",D130="TBD (owner pending)"),"◐ Proprietário pendente",IF(R130+S130=0,"○ Sem relações","✔ OK")))))</f>
        <v/>
      </c>
    </row>
    <row r="131" ht="15" customHeight="1" s="50">
      <c r="R131" s="94">
        <f>IF(A131="","",COUNTIF(Dependencies!$B$5:$B$300,A131))</f>
        <v/>
      </c>
      <c r="S131" s="94">
        <f>IF(A131="","",COUNTIF(Dependencies!$F$5:$F$300,A131))</f>
        <v/>
      </c>
      <c r="T131" s="94">
        <f>IF(A131="","",IF(AND(OR(I131="Implemented",I131="Verified"),J131=""),"⚠ Sem link de código",IF(AND(I131="Verified",K131=""),"⚠ Sem evidência",IF(OR(P131="Sim",D131="TBD (owner pending)"),"◐ Proprietário pendente",IF(R131+S131=0,"○ Sem relações","✔ OK")))))</f>
        <v/>
      </c>
    </row>
    <row r="132" ht="15" customHeight="1" s="50">
      <c r="R132" s="94">
        <f>IF(A132="","",COUNTIF(Dependencies!$B$5:$B$300,A132))</f>
        <v/>
      </c>
      <c r="S132" s="94">
        <f>IF(A132="","",COUNTIF(Dependencies!$F$5:$F$300,A132))</f>
        <v/>
      </c>
      <c r="T132" s="94">
        <f>IF(A132="","",IF(AND(OR(I132="Implemented",I132="Verified"),J132=""),"⚠ Sem link de código",IF(AND(I132="Verified",K132=""),"⚠ Sem evidência",IF(OR(P132="Sim",D132="TBD (owner pending)"),"◐ Proprietário pendente",IF(R132+S132=0,"○ Sem relações","✔ OK")))))</f>
        <v/>
      </c>
    </row>
    <row r="133" ht="15" customHeight="1" s="50">
      <c r="R133" s="94">
        <f>IF(A133="","",COUNTIF(Dependencies!$B$5:$B$300,A133))</f>
        <v/>
      </c>
      <c r="S133" s="94">
        <f>IF(A133="","",COUNTIF(Dependencies!$F$5:$F$300,A133))</f>
        <v/>
      </c>
      <c r="T133" s="94">
        <f>IF(A133="","",IF(AND(OR(I133="Implemented",I133="Verified"),J133=""),"⚠ Sem link de código",IF(AND(I133="Verified",K133=""),"⚠ Sem evidência",IF(OR(P133="Sim",D133="TBD (owner pending)"),"◐ Proprietário pendente",IF(R133+S133=0,"○ Sem relações","✔ OK")))))</f>
        <v/>
      </c>
    </row>
    <row r="134" ht="15" customHeight="1" s="50">
      <c r="R134" s="94">
        <f>IF(A134="","",COUNTIF(Dependencies!$B$5:$B$300,A134))</f>
        <v/>
      </c>
      <c r="S134" s="94">
        <f>IF(A134="","",COUNTIF(Dependencies!$F$5:$F$300,A134))</f>
        <v/>
      </c>
      <c r="T134" s="94">
        <f>IF(A134="","",IF(AND(OR(I134="Implemented",I134="Verified"),J134=""),"⚠ Sem link de código",IF(AND(I134="Verified",K134=""),"⚠ Sem evidência",IF(OR(P134="Sim",D134="TBD (owner pending)"),"◐ Proprietário pendente",IF(R134+S134=0,"○ Sem relações","✔ OK")))))</f>
        <v/>
      </c>
    </row>
    <row r="135" ht="15" customHeight="1" s="50">
      <c r="R135" s="94">
        <f>IF(A135="","",COUNTIF(Dependencies!$B$5:$B$300,A135))</f>
        <v/>
      </c>
      <c r="S135" s="94">
        <f>IF(A135="","",COUNTIF(Dependencies!$F$5:$F$300,A135))</f>
        <v/>
      </c>
      <c r="T135" s="94">
        <f>IF(A135="","",IF(AND(OR(I135="Implemented",I135="Verified"),J135=""),"⚠ Sem link de código",IF(AND(I135="Verified",K135=""),"⚠ Sem evidência",IF(OR(P135="Sim",D135="TBD (owner pending)"),"◐ Proprietário pendente",IF(R135+S135=0,"○ Sem relações","✔ OK")))))</f>
        <v/>
      </c>
    </row>
    <row r="136" ht="15" customHeight="1" s="50">
      <c r="R136" s="94">
        <f>IF(A136="","",COUNTIF(Dependencies!$B$5:$B$300,A136))</f>
        <v/>
      </c>
      <c r="S136" s="94">
        <f>IF(A136="","",COUNTIF(Dependencies!$F$5:$F$300,A136))</f>
        <v/>
      </c>
      <c r="T136" s="94">
        <f>IF(A136="","",IF(AND(OR(I136="Implemented",I136="Verified"),J136=""),"⚠ Sem link de código",IF(AND(I136="Verified",K136=""),"⚠ Sem evidência",IF(OR(P136="Sim",D136="TBD (owner pending)"),"◐ Proprietário pendente",IF(R136+S136=0,"○ Sem relações","✔ OK")))))</f>
        <v/>
      </c>
    </row>
    <row r="137" ht="15" customHeight="1" s="50">
      <c r="R137" s="94">
        <f>IF(A137="","",COUNTIF(Dependencies!$B$5:$B$300,A137))</f>
        <v/>
      </c>
      <c r="S137" s="94">
        <f>IF(A137="","",COUNTIF(Dependencies!$F$5:$F$300,A137))</f>
        <v/>
      </c>
      <c r="T137" s="94">
        <f>IF(A137="","",IF(AND(OR(I137="Implemented",I137="Verified"),J137=""),"⚠ Sem link de código",IF(AND(I137="Verified",K137=""),"⚠ Sem evidência",IF(OR(P137="Sim",D137="TBD (owner pending)"),"◐ Proprietário pendente",IF(R137+S137=0,"○ Sem relações","✔ OK")))))</f>
        <v/>
      </c>
    </row>
    <row r="138" ht="15" customHeight="1" s="50">
      <c r="R138" s="94">
        <f>IF(A138="","",COUNTIF(Dependencies!$B$5:$B$300,A138))</f>
        <v/>
      </c>
      <c r="S138" s="94">
        <f>IF(A138="","",COUNTIF(Dependencies!$F$5:$F$300,A138))</f>
        <v/>
      </c>
      <c r="T138" s="94">
        <f>IF(A138="","",IF(AND(OR(I138="Implemented",I138="Verified"),J138=""),"⚠ Sem link de código",IF(AND(I138="Verified",K138=""),"⚠ Sem evidência",IF(OR(P138="Sim",D138="TBD (owner pending)"),"◐ Proprietário pendente",IF(R138+S138=0,"○ Sem relações","✔ OK")))))</f>
        <v/>
      </c>
    </row>
    <row r="139" ht="15" customHeight="1" s="50">
      <c r="R139" s="94">
        <f>IF(A139="","",COUNTIF(Dependencies!$B$5:$B$300,A139))</f>
        <v/>
      </c>
      <c r="S139" s="94">
        <f>IF(A139="","",COUNTIF(Dependencies!$F$5:$F$300,A139))</f>
        <v/>
      </c>
      <c r="T139" s="94">
        <f>IF(A139="","",IF(AND(OR(I139="Implemented",I139="Verified"),J139=""),"⚠ Sem link de código",IF(AND(I139="Verified",K139=""),"⚠ Sem evidência",IF(OR(P139="Sim",D139="TBD (owner pending)"),"◐ Proprietário pendente",IF(R139+S139=0,"○ Sem relações","✔ OK")))))</f>
        <v/>
      </c>
    </row>
    <row r="140" ht="15" customHeight="1" s="50">
      <c r="R140" s="94">
        <f>IF(A140="","",COUNTIF(Dependencies!$B$5:$B$300,A140))</f>
        <v/>
      </c>
      <c r="S140" s="94">
        <f>IF(A140="","",COUNTIF(Dependencies!$F$5:$F$300,A140))</f>
        <v/>
      </c>
      <c r="T140" s="94">
        <f>IF(A140="","",IF(AND(OR(I140="Implemented",I140="Verified"),J140=""),"⚠ Sem link de código",IF(AND(I140="Verified",K140=""),"⚠ Sem evidência",IF(OR(P140="Sim",D140="TBD (owner pending)"),"◐ Proprietário pendente",IF(R140+S140=0,"○ Sem relações","✔ OK")))))</f>
        <v/>
      </c>
    </row>
    <row r="141" ht="15" customHeight="1" s="50">
      <c r="R141" s="94">
        <f>IF(A141="","",COUNTIF(Dependencies!$B$5:$B$300,A141))</f>
        <v/>
      </c>
      <c r="S141" s="94">
        <f>IF(A141="","",COUNTIF(Dependencies!$F$5:$F$300,A141))</f>
        <v/>
      </c>
      <c r="T141" s="94">
        <f>IF(A141="","",IF(AND(OR(I141="Implemented",I141="Verified"),J141=""),"⚠ Sem link de código",IF(AND(I141="Verified",K141=""),"⚠ Sem evidência",IF(OR(P141="Sim",D141="TBD (owner pending)"),"◐ Proprietário pendente",IF(R141+S141=0,"○ Sem relações","✔ OK")))))</f>
        <v/>
      </c>
    </row>
    <row r="142" ht="15" customHeight="1" s="50">
      <c r="R142" s="94">
        <f>IF(A142="","",COUNTIF(Dependencies!$B$5:$B$300,A142))</f>
        <v/>
      </c>
      <c r="S142" s="94">
        <f>IF(A142="","",COUNTIF(Dependencies!$F$5:$F$300,A142))</f>
        <v/>
      </c>
      <c r="T142" s="94">
        <f>IF(A142="","",IF(AND(OR(I142="Implemented",I142="Verified"),J142=""),"⚠ Sem link de código",IF(AND(I142="Verified",K142=""),"⚠ Sem evidência",IF(OR(P142="Sim",D142="TBD (owner pending)"),"◐ Proprietário pendente",IF(R142+S142=0,"○ Sem relações","✔ OK")))))</f>
        <v/>
      </c>
    </row>
    <row r="143" ht="15" customHeight="1" s="50">
      <c r="R143" s="94">
        <f>IF(A143="","",COUNTIF(Dependencies!$B$5:$B$300,A143))</f>
        <v/>
      </c>
      <c r="S143" s="94">
        <f>IF(A143="","",COUNTIF(Dependencies!$F$5:$F$300,A143))</f>
        <v/>
      </c>
      <c r="T143" s="94">
        <f>IF(A143="","",IF(AND(OR(I143="Implemented",I143="Verified"),J143=""),"⚠ Sem link de código",IF(AND(I143="Verified",K143=""),"⚠ Sem evidência",IF(OR(P143="Sim",D143="TBD (owner pending)"),"◐ Proprietário pendente",IF(R143+S143=0,"○ Sem relações","✔ OK")))))</f>
        <v/>
      </c>
    </row>
    <row r="144" ht="15" customHeight="1" s="50">
      <c r="R144" s="94">
        <f>IF(A144="","",COUNTIF(Dependencies!$B$5:$B$300,A144))</f>
        <v/>
      </c>
      <c r="S144" s="94">
        <f>IF(A144="","",COUNTIF(Dependencies!$F$5:$F$300,A144))</f>
        <v/>
      </c>
      <c r="T144" s="94">
        <f>IF(A144="","",IF(AND(OR(I144="Implemented",I144="Verified"),J144=""),"⚠ Sem link de código",IF(AND(I144="Verified",K144=""),"⚠ Sem evidência",IF(OR(P144="Sim",D144="TBD (owner pending)"),"◐ Proprietário pendente",IF(R144+S144=0,"○ Sem relações","✔ OK")))))</f>
        <v/>
      </c>
    </row>
    <row r="145" ht="15" customHeight="1" s="50">
      <c r="R145" s="94">
        <f>IF(A145="","",COUNTIF(Dependencies!$B$5:$B$300,A145))</f>
        <v/>
      </c>
      <c r="S145" s="94">
        <f>IF(A145="","",COUNTIF(Dependencies!$F$5:$F$300,A145))</f>
        <v/>
      </c>
      <c r="T145" s="94">
        <f>IF(A145="","",IF(AND(OR(I145="Implemented",I145="Verified"),J145=""),"⚠ Sem link de código",IF(AND(I145="Verified",K145=""),"⚠ Sem evidência",IF(OR(P145="Sim",D145="TBD (owner pending)"),"◐ Proprietário pendente",IF(R145+S145=0,"○ Sem relações","✔ OK")))))</f>
        <v/>
      </c>
    </row>
    <row r="146" ht="15" customHeight="1" s="50">
      <c r="R146" s="94">
        <f>IF(A146="","",COUNTIF(Dependencies!$B$5:$B$300,A146))</f>
        <v/>
      </c>
      <c r="S146" s="94">
        <f>IF(A146="","",COUNTIF(Dependencies!$F$5:$F$300,A146))</f>
        <v/>
      </c>
      <c r="T146" s="94">
        <f>IF(A146="","",IF(AND(OR(I146="Implemented",I146="Verified"),J146=""),"⚠ Sem link de código",IF(AND(I146="Verified",K146=""),"⚠ Sem evidência",IF(OR(P146="Sim",D146="TBD (owner pending)"),"◐ Proprietário pendente",IF(R146+S146=0,"○ Sem relações","✔ OK")))))</f>
        <v/>
      </c>
    </row>
    <row r="147" ht="15" customHeight="1" s="50">
      <c r="R147" s="94">
        <f>IF(A147="","",COUNTIF(Dependencies!$B$5:$B$300,A147))</f>
        <v/>
      </c>
      <c r="S147" s="94">
        <f>IF(A147="","",COUNTIF(Dependencies!$F$5:$F$300,A147))</f>
        <v/>
      </c>
      <c r="T147" s="94">
        <f>IF(A147="","",IF(AND(OR(I147="Implemented",I147="Verified"),J147=""),"⚠ Sem link de código",IF(AND(I147="Verified",K147=""),"⚠ Sem evidência",IF(OR(P147="Sim",D147="TBD (owner pending)"),"◐ Proprietário pendente",IF(R147+S147=0,"○ Sem relações","✔ OK")))))</f>
        <v/>
      </c>
    </row>
    <row r="148" ht="15" customHeight="1" s="50">
      <c r="R148" s="94">
        <f>IF(A148="","",COUNTIF(Dependencies!$B$5:$B$300,A148))</f>
        <v/>
      </c>
      <c r="S148" s="94">
        <f>IF(A148="","",COUNTIF(Dependencies!$F$5:$F$300,A148))</f>
        <v/>
      </c>
      <c r="T148" s="94">
        <f>IF(A148="","",IF(AND(OR(I148="Implemented",I148="Verified"),J148=""),"⚠ Sem link de código",IF(AND(I148="Verified",K148=""),"⚠ Sem evidência",IF(OR(P148="Sim",D148="TBD (owner pending)"),"◐ Proprietário pendente",IF(R148+S148=0,"○ Sem relações","✔ OK")))))</f>
        <v/>
      </c>
    </row>
    <row r="149" ht="15" customHeight="1" s="50">
      <c r="R149" s="94">
        <f>IF(A149="","",COUNTIF(Dependencies!$B$5:$B$300,A149))</f>
        <v/>
      </c>
      <c r="S149" s="94">
        <f>IF(A149="","",COUNTIF(Dependencies!$F$5:$F$300,A149))</f>
        <v/>
      </c>
      <c r="T149" s="94">
        <f>IF(A149="","",IF(AND(OR(I149="Implemented",I149="Verified"),J149=""),"⚠ Sem link de código",IF(AND(I149="Verified",K149=""),"⚠ Sem evidência",IF(OR(P149="Sim",D149="TBD (owner pending)"),"◐ Proprietário pendente",IF(R149+S149=0,"○ Sem relações","✔ OK")))))</f>
        <v/>
      </c>
    </row>
    <row r="150" ht="15" customHeight="1" s="50">
      <c r="R150" s="94">
        <f>IF(A150="","",COUNTIF(Dependencies!$B$5:$B$300,A150))</f>
        <v/>
      </c>
      <c r="S150" s="94">
        <f>IF(A150="","",COUNTIF(Dependencies!$F$5:$F$300,A150))</f>
        <v/>
      </c>
      <c r="T150" s="94">
        <f>IF(A150="","",IF(AND(OR(I150="Implemented",I150="Verified"),J150=""),"⚠ Sem link de código",IF(AND(I150="Verified",K150=""),"⚠ Sem evidência",IF(OR(P150="Sim",D150="TBD (owner pending)"),"◐ Proprietário pendente",IF(R150+S150=0,"○ Sem relações","✔ OK")))))</f>
        <v/>
      </c>
    </row>
    <row r="151" ht="15" customHeight="1" s="50">
      <c r="R151" s="94">
        <f>IF(A151="","",COUNTIF(Dependencies!$B$5:$B$300,A151))</f>
        <v/>
      </c>
      <c r="S151" s="94">
        <f>IF(A151="","",COUNTIF(Dependencies!$F$5:$F$300,A151))</f>
        <v/>
      </c>
      <c r="T151" s="94">
        <f>IF(A151="","",IF(AND(OR(I151="Implemented",I151="Verified"),J151=""),"⚠ Sem link de código",IF(AND(I151="Verified",K151=""),"⚠ Sem evidência",IF(OR(P151="Sim",D151="TBD (owner pending)"),"◐ Proprietário pendente",IF(R151+S151=0,"○ Sem relações","✔ OK")))))</f>
        <v/>
      </c>
    </row>
    <row r="152" ht="15" customHeight="1" s="50">
      <c r="R152" s="94">
        <f>IF(A152="","",COUNTIF(Dependencies!$B$5:$B$300,A152))</f>
        <v/>
      </c>
      <c r="S152" s="94">
        <f>IF(A152="","",COUNTIF(Dependencies!$F$5:$F$300,A152))</f>
        <v/>
      </c>
      <c r="T152" s="94">
        <f>IF(A152="","",IF(AND(OR(I152="Implemented",I152="Verified"),J152=""),"⚠ Sem link de código",IF(AND(I152="Verified",K152=""),"⚠ Sem evidência",IF(OR(P152="Sim",D152="TBD (owner pending)"),"◐ Proprietário pendente",IF(R152+S152=0,"○ Sem relações","✔ OK")))))</f>
        <v/>
      </c>
    </row>
    <row r="153" ht="15" customHeight="1" s="50">
      <c r="R153" s="94">
        <f>IF(A153="","",COUNTIF(Dependencies!$B$5:$B$300,A153))</f>
        <v/>
      </c>
      <c r="S153" s="94">
        <f>IF(A153="","",COUNTIF(Dependencies!$F$5:$F$300,A153))</f>
        <v/>
      </c>
      <c r="T153" s="94">
        <f>IF(A153="","",IF(AND(OR(I153="Implemented",I153="Verified"),J153=""),"⚠ Sem link de código",IF(AND(I153="Verified",K153=""),"⚠ Sem evidência",IF(OR(P153="Sim",D153="TBD (owner pending)"),"◐ Proprietário pendente",IF(R153+S153=0,"○ Sem relações","✔ OK")))))</f>
        <v/>
      </c>
    </row>
    <row r="154" ht="15" customHeight="1" s="50">
      <c r="R154" s="94">
        <f>IF(A154="","",COUNTIF(Dependencies!$B$5:$B$300,A154))</f>
        <v/>
      </c>
      <c r="S154" s="94">
        <f>IF(A154="","",COUNTIF(Dependencies!$F$5:$F$300,A154))</f>
        <v/>
      </c>
      <c r="T154" s="94">
        <f>IF(A154="","",IF(AND(OR(I154="Implemented",I154="Verified"),J154=""),"⚠ Sem link de código",IF(AND(I154="Verified",K154=""),"⚠ Sem evidência",IF(OR(P154="Sim",D154="TBD (owner pending)"),"◐ Proprietário pendente",IF(R154+S154=0,"○ Sem relações","✔ OK")))))</f>
        <v/>
      </c>
    </row>
    <row r="155" ht="15" customHeight="1" s="50">
      <c r="R155" s="94">
        <f>IF(A155="","",COUNTIF(Dependencies!$B$5:$B$300,A155))</f>
        <v/>
      </c>
      <c r="S155" s="94">
        <f>IF(A155="","",COUNTIF(Dependencies!$F$5:$F$300,A155))</f>
        <v/>
      </c>
      <c r="T155" s="94">
        <f>IF(A155="","",IF(AND(OR(I155="Implemented",I155="Verified"),J155=""),"⚠ Sem link de código",IF(AND(I155="Verified",K155=""),"⚠ Sem evidência",IF(OR(P155="Sim",D155="TBD (owner pending)"),"◐ Proprietário pendente",IF(R155+S155=0,"○ Sem relações","✔ OK")))))</f>
        <v/>
      </c>
    </row>
    <row r="156" ht="15" customHeight="1" s="50">
      <c r="R156" s="94">
        <f>IF(A156="","",COUNTIF(Dependencies!$B$5:$B$300,A156))</f>
        <v/>
      </c>
      <c r="S156" s="94">
        <f>IF(A156="","",COUNTIF(Dependencies!$F$5:$F$300,A156))</f>
        <v/>
      </c>
      <c r="T156" s="94">
        <f>IF(A156="","",IF(AND(OR(I156="Implemented",I156="Verified"),J156=""),"⚠ Sem link de código",IF(AND(I156="Verified",K156=""),"⚠ Sem evidência",IF(OR(P156="Sim",D156="TBD (owner pending)"),"◐ Proprietário pendente",IF(R156+S156=0,"○ Sem relações","✔ OK")))))</f>
        <v/>
      </c>
    </row>
    <row r="157" ht="15" customHeight="1" s="50">
      <c r="R157" s="94">
        <f>IF(A157="","",COUNTIF(Dependencies!$B$5:$B$300,A157))</f>
        <v/>
      </c>
      <c r="S157" s="94">
        <f>IF(A157="","",COUNTIF(Dependencies!$F$5:$F$300,A157))</f>
        <v/>
      </c>
      <c r="T157" s="94">
        <f>IF(A157="","",IF(AND(OR(I157="Implemented",I157="Verified"),J157=""),"⚠ Sem link de código",IF(AND(I157="Verified",K157=""),"⚠ Sem evidência",IF(OR(P157="Sim",D157="TBD (owner pending)"),"◐ Proprietário pendente",IF(R157+S157=0,"○ Sem relações","✔ OK")))))</f>
        <v/>
      </c>
    </row>
    <row r="158" ht="15" customHeight="1" s="50">
      <c r="R158" s="94">
        <f>IF(A158="","",COUNTIF(Dependencies!$B$5:$B$300,A158))</f>
        <v/>
      </c>
      <c r="S158" s="94">
        <f>IF(A158="","",COUNTIF(Dependencies!$F$5:$F$300,A158))</f>
        <v/>
      </c>
      <c r="T158" s="94">
        <f>IF(A158="","",IF(AND(OR(I158="Implemented",I158="Verified"),J158=""),"⚠ Sem link de código",IF(AND(I158="Verified",K158=""),"⚠ Sem evidência",IF(OR(P158="Sim",D158="TBD (owner pending)"),"◐ Proprietário pendente",IF(R158+S158=0,"○ Sem relações","✔ OK")))))</f>
        <v/>
      </c>
    </row>
    <row r="159" ht="15" customHeight="1" s="50">
      <c r="R159" s="94">
        <f>IF(A159="","",COUNTIF(Dependencies!$B$5:$B$300,A159))</f>
        <v/>
      </c>
      <c r="S159" s="94">
        <f>IF(A159="","",COUNTIF(Dependencies!$F$5:$F$300,A159))</f>
        <v/>
      </c>
      <c r="T159" s="94">
        <f>IF(A159="","",IF(AND(OR(I159="Implemented",I159="Verified"),J159=""),"⚠ Sem link de código",IF(AND(I159="Verified",K159=""),"⚠ Sem evidência",IF(OR(P159="Sim",D159="TBD (owner pending)"),"◐ Proprietário pendente",IF(R159+S159=0,"○ Sem relações","✔ OK")))))</f>
        <v/>
      </c>
    </row>
    <row r="160" ht="15" customHeight="1" s="50">
      <c r="R160" s="94">
        <f>IF(A160="","",COUNTIF(Dependencies!$B$5:$B$300,A160))</f>
        <v/>
      </c>
      <c r="S160" s="94">
        <f>IF(A160="","",COUNTIF(Dependencies!$F$5:$F$300,A160))</f>
        <v/>
      </c>
      <c r="T160" s="94">
        <f>IF(A160="","",IF(AND(OR(I160="Implemented",I160="Verified"),J160=""),"⚠ Sem link de código",IF(AND(I160="Verified",K160=""),"⚠ Sem evidência",IF(OR(P160="Sim",D160="TBD (owner pending)"),"◐ Proprietário pendente",IF(R160+S160=0,"○ Sem relações","✔ OK")))))</f>
        <v/>
      </c>
    </row>
    <row r="161" ht="15" customHeight="1" s="50">
      <c r="R161" s="94">
        <f>IF(A161="","",COUNTIF(Dependencies!$B$5:$B$300,A161))</f>
        <v/>
      </c>
      <c r="S161" s="94">
        <f>IF(A161="","",COUNTIF(Dependencies!$F$5:$F$300,A161))</f>
        <v/>
      </c>
      <c r="T161" s="94">
        <f>IF(A161="","",IF(AND(OR(I161="Implemented",I161="Verified"),J161=""),"⚠ Sem link de código",IF(AND(I161="Verified",K161=""),"⚠ Sem evidência",IF(OR(P161="Sim",D161="TBD (owner pending)"),"◐ Proprietário pendente",IF(R161+S161=0,"○ Sem relações","✔ OK")))))</f>
        <v/>
      </c>
    </row>
    <row r="162" ht="15" customHeight="1" s="50">
      <c r="R162" s="94">
        <f>IF(A162="","",COUNTIF(Dependencies!$B$5:$B$300,A162))</f>
        <v/>
      </c>
      <c r="S162" s="94">
        <f>IF(A162="","",COUNTIF(Dependencies!$F$5:$F$300,A162))</f>
        <v/>
      </c>
      <c r="T162" s="94">
        <f>IF(A162="","",IF(AND(OR(I162="Implemented",I162="Verified"),J162=""),"⚠ Sem link de código",IF(AND(I162="Verified",K162=""),"⚠ Sem evidência",IF(OR(P162="Sim",D162="TBD (owner pending)"),"◐ Proprietário pendente",IF(R162+S162=0,"○ Sem relações","✔ OK")))))</f>
        <v/>
      </c>
    </row>
    <row r="163" ht="15" customHeight="1" s="50">
      <c r="R163" s="94">
        <f>IF(A163="","",COUNTIF(Dependencies!$B$5:$B$300,A163))</f>
        <v/>
      </c>
      <c r="S163" s="94">
        <f>IF(A163="","",COUNTIF(Dependencies!$F$5:$F$300,A163))</f>
        <v/>
      </c>
      <c r="T163" s="94">
        <f>IF(A163="","",IF(AND(OR(I163="Implemented",I163="Verified"),J163=""),"⚠ Sem link de código",IF(AND(I163="Verified",K163=""),"⚠ Sem evidência",IF(OR(P163="Sim",D163="TBD (owner pending)"),"◐ Proprietário pendente",IF(R163+S163=0,"○ Sem relações","✔ OK")))))</f>
        <v/>
      </c>
    </row>
    <row r="164" ht="15" customHeight="1" s="50">
      <c r="R164" s="94">
        <f>IF(A164="","",COUNTIF(Dependencies!$B$5:$B$300,A164))</f>
        <v/>
      </c>
      <c r="S164" s="94">
        <f>IF(A164="","",COUNTIF(Dependencies!$F$5:$F$300,A164))</f>
        <v/>
      </c>
      <c r="T164" s="94">
        <f>IF(A164="","",IF(AND(OR(I164="Implemented",I164="Verified"),J164=""),"⚠ Sem link de código",IF(AND(I164="Verified",K164=""),"⚠ Sem evidência",IF(OR(P164="Sim",D164="TBD (owner pending)"),"◐ Proprietário pendente",IF(R164+S164=0,"○ Sem relações","✔ OK")))))</f>
        <v/>
      </c>
    </row>
    <row r="165" ht="15" customHeight="1" s="50">
      <c r="R165" s="94">
        <f>IF(A165="","",COUNTIF(Dependencies!$B$5:$B$300,A165))</f>
        <v/>
      </c>
      <c r="S165" s="94">
        <f>IF(A165="","",COUNTIF(Dependencies!$F$5:$F$300,A165))</f>
        <v/>
      </c>
      <c r="T165" s="94">
        <f>IF(A165="","",IF(AND(OR(I165="Implemented",I165="Verified"),J165=""),"⚠ Sem link de código",IF(AND(I165="Verified",K165=""),"⚠ Sem evidência",IF(OR(P165="Sim",D165="TBD (owner pending)"),"◐ Proprietário pendente",IF(R165+S165=0,"○ Sem relações","✔ OK")))))</f>
        <v/>
      </c>
    </row>
    <row r="166" ht="15" customHeight="1" s="50">
      <c r="R166" s="94">
        <f>IF(A166="","",COUNTIF(Dependencies!$B$5:$B$300,A166))</f>
        <v/>
      </c>
      <c r="S166" s="94">
        <f>IF(A166="","",COUNTIF(Dependencies!$F$5:$F$300,A166))</f>
        <v/>
      </c>
      <c r="T166" s="94">
        <f>IF(A166="","",IF(AND(OR(I166="Implemented",I166="Verified"),J166=""),"⚠ Sem link de código",IF(AND(I166="Verified",K166=""),"⚠ Sem evidência",IF(OR(P166="Sim",D166="TBD (owner pending)"),"◐ Proprietário pendente",IF(R166+S166=0,"○ Sem relações","✔ OK")))))</f>
        <v/>
      </c>
    </row>
    <row r="167" ht="15" customHeight="1" s="50">
      <c r="R167" s="94">
        <f>IF(A167="","",COUNTIF(Dependencies!$B$5:$B$300,A167))</f>
        <v/>
      </c>
      <c r="S167" s="94">
        <f>IF(A167="","",COUNTIF(Dependencies!$F$5:$F$300,A167))</f>
        <v/>
      </c>
      <c r="T167" s="94">
        <f>IF(A167="","",IF(AND(OR(I167="Implemented",I167="Verified"),J167=""),"⚠ Sem link de código",IF(AND(I167="Verified",K167=""),"⚠ Sem evidência",IF(OR(P167="Sim",D167="TBD (owner pending)"),"◐ Proprietário pendente",IF(R167+S167=0,"○ Sem relações","✔ OK")))))</f>
        <v/>
      </c>
    </row>
    <row r="168" ht="15" customHeight="1" s="50">
      <c r="R168" s="94">
        <f>IF(A168="","",COUNTIF(Dependencies!$B$5:$B$300,A168))</f>
        <v/>
      </c>
      <c r="S168" s="94">
        <f>IF(A168="","",COUNTIF(Dependencies!$F$5:$F$300,A168))</f>
        <v/>
      </c>
      <c r="T168" s="94">
        <f>IF(A168="","",IF(AND(OR(I168="Implemented",I168="Verified"),J168=""),"⚠ Sem link de código",IF(AND(I168="Verified",K168=""),"⚠ Sem evidência",IF(OR(P168="Sim",D168="TBD (owner pending)"),"◐ Proprietário pendente",IF(R168+S168=0,"○ Sem relações","✔ OK")))))</f>
        <v/>
      </c>
    </row>
    <row r="169" ht="15" customHeight="1" s="50">
      <c r="R169" s="94">
        <f>IF(A169="","",COUNTIF(Dependencies!$B$5:$B$300,A169))</f>
        <v/>
      </c>
      <c r="S169" s="94">
        <f>IF(A169="","",COUNTIF(Dependencies!$F$5:$F$300,A169))</f>
        <v/>
      </c>
      <c r="T169" s="94">
        <f>IF(A169="","",IF(AND(OR(I169="Implemented",I169="Verified"),J169=""),"⚠ Sem link de código",IF(AND(I169="Verified",K169=""),"⚠ Sem evidência",IF(OR(P169="Sim",D169="TBD (owner pending)"),"◐ Proprietário pendente",IF(R169+S169=0,"○ Sem relações","✔ OK")))))</f>
        <v/>
      </c>
    </row>
    <row r="170" ht="15" customHeight="1" s="50">
      <c r="R170" s="94">
        <f>IF(A170="","",COUNTIF(Dependencies!$B$5:$B$300,A170))</f>
        <v/>
      </c>
      <c r="S170" s="94">
        <f>IF(A170="","",COUNTIF(Dependencies!$F$5:$F$300,A170))</f>
        <v/>
      </c>
      <c r="T170" s="94">
        <f>IF(A170="","",IF(AND(OR(I170="Implemented",I170="Verified"),J170=""),"⚠ Sem link de código",IF(AND(I170="Verified",K170=""),"⚠ Sem evidência",IF(OR(P170="Sim",D170="TBD (owner pending)"),"◐ Proprietário pendente",IF(R170+S170=0,"○ Sem relações","✔ OK")))))</f>
        <v/>
      </c>
    </row>
    <row r="171" ht="15" customHeight="1" s="50">
      <c r="R171" s="94">
        <f>IF(A171="","",COUNTIF(Dependencies!$B$5:$B$300,A171))</f>
        <v/>
      </c>
      <c r="S171" s="94">
        <f>IF(A171="","",COUNTIF(Dependencies!$F$5:$F$300,A171))</f>
        <v/>
      </c>
      <c r="T171" s="94">
        <f>IF(A171="","",IF(AND(OR(I171="Implemented",I171="Verified"),J171=""),"⚠ Sem link de código",IF(AND(I171="Verified",K171=""),"⚠ Sem evidência",IF(OR(P171="Sim",D171="TBD (owner pending)"),"◐ Proprietário pendente",IF(R171+S171=0,"○ Sem relações","✔ OK")))))</f>
        <v/>
      </c>
    </row>
    <row r="172" ht="15" customHeight="1" s="50">
      <c r="R172" s="94">
        <f>IF(A172="","",COUNTIF(Dependencies!$B$5:$B$300,A172))</f>
        <v/>
      </c>
      <c r="S172" s="94">
        <f>IF(A172="","",COUNTIF(Dependencies!$F$5:$F$300,A172))</f>
        <v/>
      </c>
      <c r="T172" s="94">
        <f>IF(A172="","",IF(AND(OR(I172="Implemented",I172="Verified"),J172=""),"⚠ Sem link de código",IF(AND(I172="Verified",K172=""),"⚠ Sem evidência",IF(OR(P172="Sim",D172="TBD (owner pending)"),"◐ Proprietário pendente",IF(R172+S172=0,"○ Sem relações","✔ OK")))))</f>
        <v/>
      </c>
    </row>
    <row r="173" ht="15" customHeight="1" s="50">
      <c r="R173" s="94">
        <f>IF(A173="","",COUNTIF(Dependencies!$B$5:$B$300,A173))</f>
        <v/>
      </c>
      <c r="S173" s="94">
        <f>IF(A173="","",COUNTIF(Dependencies!$F$5:$F$300,A173))</f>
        <v/>
      </c>
      <c r="T173" s="94">
        <f>IF(A173="","",IF(AND(OR(I173="Implemented",I173="Verified"),J173=""),"⚠ Sem link de código",IF(AND(I173="Verified",K173=""),"⚠ Sem evidência",IF(OR(P173="Sim",D173="TBD (owner pending)"),"◐ Proprietário pendente",IF(R173+S173=0,"○ Sem relações","✔ OK")))))</f>
        <v/>
      </c>
    </row>
    <row r="174" ht="15" customHeight="1" s="50">
      <c r="R174" s="94">
        <f>IF(A174="","",COUNTIF(Dependencies!$B$5:$B$300,A174))</f>
        <v/>
      </c>
      <c r="S174" s="94">
        <f>IF(A174="","",COUNTIF(Dependencies!$F$5:$F$300,A174))</f>
        <v/>
      </c>
      <c r="T174" s="94">
        <f>IF(A174="","",IF(AND(OR(I174="Implemented",I174="Verified"),J174=""),"⚠ Sem link de código",IF(AND(I174="Verified",K174=""),"⚠ Sem evidência",IF(OR(P174="Sim",D174="TBD (owner pending)"),"◐ Proprietário pendente",IF(R174+S174=0,"○ Sem relações","✔ OK")))))</f>
        <v/>
      </c>
    </row>
    <row r="175" ht="15" customHeight="1" s="50">
      <c r="R175" s="94">
        <f>IF(A175="","",COUNTIF(Dependencies!$B$5:$B$300,A175))</f>
        <v/>
      </c>
      <c r="S175" s="94">
        <f>IF(A175="","",COUNTIF(Dependencies!$F$5:$F$300,A175))</f>
        <v/>
      </c>
      <c r="T175" s="94">
        <f>IF(A175="","",IF(AND(OR(I175="Implemented",I175="Verified"),J175=""),"⚠ Sem link de código",IF(AND(I175="Verified",K175=""),"⚠ Sem evidência",IF(OR(P175="Sim",D175="TBD (owner pending)"),"◐ Proprietário pendente",IF(R175+S175=0,"○ Sem relações","✔ OK")))))</f>
        <v/>
      </c>
    </row>
    <row r="176" ht="15" customHeight="1" s="50">
      <c r="R176" s="94">
        <f>IF(A176="","",COUNTIF(Dependencies!$B$5:$B$300,A176))</f>
        <v/>
      </c>
      <c r="S176" s="94">
        <f>IF(A176="","",COUNTIF(Dependencies!$F$5:$F$300,A176))</f>
        <v/>
      </c>
      <c r="T176" s="94">
        <f>IF(A176="","",IF(AND(OR(I176="Implemented",I176="Verified"),J176=""),"⚠ Sem link de código",IF(AND(I176="Verified",K176=""),"⚠ Sem evidência",IF(OR(P176="Sim",D176="TBD (owner pending)"),"◐ Proprietário pendente",IF(R176+S176=0,"○ Sem relações","✔ OK")))))</f>
        <v/>
      </c>
    </row>
    <row r="177" ht="15" customHeight="1" s="50">
      <c r="R177" s="94">
        <f>IF(A177="","",COUNTIF(Dependencies!$B$5:$B$300,A177))</f>
        <v/>
      </c>
      <c r="S177" s="94">
        <f>IF(A177="","",COUNTIF(Dependencies!$F$5:$F$300,A177))</f>
        <v/>
      </c>
      <c r="T177" s="94">
        <f>IF(A177="","",IF(AND(OR(I177="Implemented",I177="Verified"),J177=""),"⚠ Sem link de código",IF(AND(I177="Verified",K177=""),"⚠ Sem evidência",IF(OR(P177="Sim",D177="TBD (owner pending)"),"◐ Proprietário pendente",IF(R177+S177=0,"○ Sem relações","✔ OK")))))</f>
        <v/>
      </c>
    </row>
    <row r="178" ht="15" customHeight="1" s="50">
      <c r="R178" s="94">
        <f>IF(A178="","",COUNTIF(Dependencies!$B$5:$B$300,A178))</f>
        <v/>
      </c>
      <c r="S178" s="94">
        <f>IF(A178="","",COUNTIF(Dependencies!$F$5:$F$300,A178))</f>
        <v/>
      </c>
      <c r="T178" s="94">
        <f>IF(A178="","",IF(AND(OR(I178="Implemented",I178="Verified"),J178=""),"⚠ Sem link de código",IF(AND(I178="Verified",K178=""),"⚠ Sem evidência",IF(OR(P178="Sim",D178="TBD (owner pending)"),"◐ Proprietário pendente",IF(R178+S178=0,"○ Sem relações","✔ OK")))))</f>
        <v/>
      </c>
    </row>
    <row r="179" ht="15" customHeight="1" s="50">
      <c r="R179" s="94">
        <f>IF(A179="","",COUNTIF(Dependencies!$B$5:$B$300,A179))</f>
        <v/>
      </c>
      <c r="S179" s="94">
        <f>IF(A179="","",COUNTIF(Dependencies!$F$5:$F$300,A179))</f>
        <v/>
      </c>
      <c r="T179" s="94">
        <f>IF(A179="","",IF(AND(OR(I179="Implemented",I179="Verified"),J179=""),"⚠ Sem link de código",IF(AND(I179="Verified",K179=""),"⚠ Sem evidência",IF(OR(P179="Sim",D179="TBD (owner pending)"),"◐ Proprietário pendente",IF(R179+S179=0,"○ Sem relações","✔ OK")))))</f>
        <v/>
      </c>
    </row>
    <row r="180" ht="15" customHeight="1" s="50">
      <c r="R180" s="94">
        <f>IF(A180="","",COUNTIF(Dependencies!$B$5:$B$300,A180))</f>
        <v/>
      </c>
      <c r="S180" s="94">
        <f>IF(A180="","",COUNTIF(Dependencies!$F$5:$F$300,A180))</f>
        <v/>
      </c>
      <c r="T180" s="94">
        <f>IF(A180="","",IF(AND(OR(I180="Implemented",I180="Verified"),J180=""),"⚠ Sem link de código",IF(AND(I180="Verified",K180=""),"⚠ Sem evidência",IF(OR(P180="Sim",D180="TBD (owner pending)"),"◐ Proprietário pendente",IF(R180+S180=0,"○ Sem relações","✔ OK")))))</f>
        <v/>
      </c>
    </row>
    <row r="181" ht="15" customHeight="1" s="50">
      <c r="R181" s="94">
        <f>IF(A181="","",COUNTIF(Dependencies!$B$5:$B$300,A181))</f>
        <v/>
      </c>
      <c r="S181" s="94">
        <f>IF(A181="","",COUNTIF(Dependencies!$F$5:$F$300,A181))</f>
        <v/>
      </c>
      <c r="T181" s="94">
        <f>IF(A181="","",IF(AND(OR(I181="Implemented",I181="Verified"),J181=""),"⚠ Sem link de código",IF(AND(I181="Verified",K181=""),"⚠ Sem evidência",IF(OR(P181="Sim",D181="TBD (owner pending)"),"◐ Proprietário pendente",IF(R181+S181=0,"○ Sem relações","✔ OK")))))</f>
        <v/>
      </c>
    </row>
    <row r="182" ht="15" customHeight="1" s="50">
      <c r="R182" s="94">
        <f>IF(A182="","",COUNTIF(Dependencies!$B$5:$B$300,A182))</f>
        <v/>
      </c>
      <c r="S182" s="94">
        <f>IF(A182="","",COUNTIF(Dependencies!$F$5:$F$300,A182))</f>
        <v/>
      </c>
      <c r="T182" s="94">
        <f>IF(A182="","",IF(AND(OR(I182="Implemented",I182="Verified"),J182=""),"⚠ Sem link de código",IF(AND(I182="Verified",K182=""),"⚠ Sem evidência",IF(OR(P182="Sim",D182="TBD (owner pending)"),"◐ Proprietário pendente",IF(R182+S182=0,"○ Sem relações","✔ OK")))))</f>
        <v/>
      </c>
    </row>
    <row r="183" ht="15" customHeight="1" s="50">
      <c r="R183" s="94">
        <f>IF(A183="","",COUNTIF(Dependencies!$B$5:$B$300,A183))</f>
        <v/>
      </c>
      <c r="S183" s="94">
        <f>IF(A183="","",COUNTIF(Dependencies!$F$5:$F$300,A183))</f>
        <v/>
      </c>
      <c r="T183" s="94">
        <f>IF(A183="","",IF(AND(OR(I183="Implemented",I183="Verified"),J183=""),"⚠ Sem link de código",IF(AND(I183="Verified",K183=""),"⚠ Sem evidência",IF(OR(P183="Sim",D183="TBD (owner pending)"),"◐ Proprietário pendente",IF(R183+S183=0,"○ Sem relações","✔ OK")))))</f>
        <v/>
      </c>
    </row>
    <row r="184" ht="15" customHeight="1" s="50">
      <c r="R184" s="94">
        <f>IF(A184="","",COUNTIF(Dependencies!$B$5:$B$300,A184))</f>
        <v/>
      </c>
      <c r="S184" s="94">
        <f>IF(A184="","",COUNTIF(Dependencies!$F$5:$F$300,A184))</f>
        <v/>
      </c>
      <c r="T184" s="94">
        <f>IF(A184="","",IF(AND(OR(I184="Implemented",I184="Verified"),J184=""),"⚠ Sem link de código",IF(AND(I184="Verified",K184=""),"⚠ Sem evidência",IF(OR(P184="Sim",D184="TBD (owner pending)"),"◐ Proprietário pendente",IF(R184+S184=0,"○ Sem relações","✔ OK")))))</f>
        <v/>
      </c>
    </row>
    <row r="185" ht="15" customHeight="1" s="50">
      <c r="R185" s="94">
        <f>IF(A185="","",COUNTIF(Dependencies!$B$5:$B$300,A185))</f>
        <v/>
      </c>
      <c r="S185" s="94">
        <f>IF(A185="","",COUNTIF(Dependencies!$F$5:$F$300,A185))</f>
        <v/>
      </c>
      <c r="T185" s="94">
        <f>IF(A185="","",IF(AND(OR(I185="Implemented",I185="Verified"),J185=""),"⚠ Sem link de código",IF(AND(I185="Verified",K185=""),"⚠ Sem evidência",IF(OR(P185="Sim",D185="TBD (owner pending)"),"◐ Proprietário pendente",IF(R185+S185=0,"○ Sem relações","✔ OK")))))</f>
        <v/>
      </c>
    </row>
    <row r="186" ht="15" customHeight="1" s="50">
      <c r="R186" s="94">
        <f>IF(A186="","",COUNTIF(Dependencies!$B$5:$B$300,A186))</f>
        <v/>
      </c>
      <c r="S186" s="94">
        <f>IF(A186="","",COUNTIF(Dependencies!$F$5:$F$300,A186))</f>
        <v/>
      </c>
      <c r="T186" s="94">
        <f>IF(A186="","",IF(AND(OR(I186="Implemented",I186="Verified"),J186=""),"⚠ Sem link de código",IF(AND(I186="Verified",K186=""),"⚠ Sem evidência",IF(OR(P186="Sim",D186="TBD (owner pending)"),"◐ Proprietário pendente",IF(R186+S186=0,"○ Sem relações","✔ OK")))))</f>
        <v/>
      </c>
    </row>
    <row r="187" ht="15" customHeight="1" s="50">
      <c r="R187" s="94">
        <f>IF(A187="","",COUNTIF(Dependencies!$B$5:$B$300,A187))</f>
        <v/>
      </c>
      <c r="S187" s="94">
        <f>IF(A187="","",COUNTIF(Dependencies!$F$5:$F$300,A187))</f>
        <v/>
      </c>
      <c r="T187" s="94">
        <f>IF(A187="","",IF(AND(OR(I187="Implemented",I187="Verified"),J187=""),"⚠ Sem link de código",IF(AND(I187="Verified",K187=""),"⚠ Sem evidência",IF(OR(P187="Sim",D187="TBD (owner pending)"),"◐ Proprietário pendente",IF(R187+S187=0,"○ Sem relações","✔ OK")))))</f>
        <v/>
      </c>
    </row>
    <row r="188" ht="15" customHeight="1" s="50">
      <c r="R188" s="94">
        <f>IF(A188="","",COUNTIF(Dependencies!$B$5:$B$300,A188))</f>
        <v/>
      </c>
      <c r="S188" s="94">
        <f>IF(A188="","",COUNTIF(Dependencies!$F$5:$F$300,A188))</f>
        <v/>
      </c>
      <c r="T188" s="94">
        <f>IF(A188="","",IF(AND(OR(I188="Implemented",I188="Verified"),J188=""),"⚠ Sem link de código",IF(AND(I188="Verified",K188=""),"⚠ Sem evidência",IF(OR(P188="Sim",D188="TBD (owner pending)"),"◐ Proprietário pendente",IF(R188+S188=0,"○ Sem relações","✔ OK")))))</f>
        <v/>
      </c>
    </row>
    <row r="189" ht="15" customHeight="1" s="50">
      <c r="R189" s="94">
        <f>IF(A189="","",COUNTIF(Dependencies!$B$5:$B$300,A189))</f>
        <v/>
      </c>
      <c r="S189" s="94">
        <f>IF(A189="","",COUNTIF(Dependencies!$F$5:$F$300,A189))</f>
        <v/>
      </c>
      <c r="T189" s="94">
        <f>IF(A189="","",IF(AND(OR(I189="Implemented",I189="Verified"),J189=""),"⚠ Sem link de código",IF(AND(I189="Verified",K189=""),"⚠ Sem evidência",IF(OR(P189="Sim",D189="TBD (owner pending)"),"◐ Proprietário pendente",IF(R189+S189=0,"○ Sem relações","✔ OK")))))</f>
        <v/>
      </c>
    </row>
    <row r="190" ht="15" customHeight="1" s="50">
      <c r="R190" s="94">
        <f>IF(A190="","",COUNTIF(Dependencies!$B$5:$B$300,A190))</f>
        <v/>
      </c>
      <c r="S190" s="94">
        <f>IF(A190="","",COUNTIF(Dependencies!$F$5:$F$300,A190))</f>
        <v/>
      </c>
      <c r="T190" s="94">
        <f>IF(A190="","",IF(AND(OR(I190="Implemented",I190="Verified"),J190=""),"⚠ Sem link de código",IF(AND(I190="Verified",K190=""),"⚠ Sem evidência",IF(OR(P190="Sim",D190="TBD (owner pending)"),"◐ Proprietário pendente",IF(R190+S190=0,"○ Sem relações","✔ OK")))))</f>
        <v/>
      </c>
    </row>
    <row r="191" ht="15" customHeight="1" s="50">
      <c r="R191" s="94">
        <f>IF(A191="","",COUNTIF(Dependencies!$B$5:$B$300,A191))</f>
        <v/>
      </c>
      <c r="S191" s="94">
        <f>IF(A191="","",COUNTIF(Dependencies!$F$5:$F$300,A191))</f>
        <v/>
      </c>
      <c r="T191" s="94">
        <f>IF(A191="","",IF(AND(OR(I191="Implemented",I191="Verified"),J191=""),"⚠ Sem link de código",IF(AND(I191="Verified",K191=""),"⚠ Sem evidência",IF(OR(P191="Sim",D191="TBD (owner pending)"),"◐ Proprietário pendente",IF(R191+S191=0,"○ Sem relações","✔ OK")))))</f>
        <v/>
      </c>
    </row>
    <row r="192" ht="15" customHeight="1" s="50">
      <c r="R192" s="94">
        <f>IF(A192="","",COUNTIF(Dependencies!$B$5:$B$300,A192))</f>
        <v/>
      </c>
      <c r="S192" s="94">
        <f>IF(A192="","",COUNTIF(Dependencies!$F$5:$F$300,A192))</f>
        <v/>
      </c>
      <c r="T192" s="94">
        <f>IF(A192="","",IF(AND(OR(I192="Implemented",I192="Verified"),J192=""),"⚠ Sem link de código",IF(AND(I192="Verified",K192=""),"⚠ Sem evidência",IF(OR(P192="Sim",D192="TBD (owner pending)"),"◐ Proprietário pendente",IF(R192+S192=0,"○ Sem relações","✔ OK")))))</f>
        <v/>
      </c>
    </row>
    <row r="193" ht="15" customHeight="1" s="50">
      <c r="R193" s="94">
        <f>IF(A193="","",COUNTIF(Dependencies!$B$5:$B$300,A193))</f>
        <v/>
      </c>
      <c r="S193" s="94">
        <f>IF(A193="","",COUNTIF(Dependencies!$F$5:$F$300,A193))</f>
        <v/>
      </c>
      <c r="T193" s="94">
        <f>IF(A193="","",IF(AND(OR(I193="Implemented",I193="Verified"),J193=""),"⚠ Sem link de código",IF(AND(I193="Verified",K193=""),"⚠ Sem evidência",IF(OR(P193="Sim",D193="TBD (owner pending)"),"◐ Proprietário pendente",IF(R193+S193=0,"○ Sem relações","✔ OK")))))</f>
        <v/>
      </c>
    </row>
    <row r="194" ht="15" customHeight="1" s="50">
      <c r="R194" s="94">
        <f>IF(A194="","",COUNTIF(Dependencies!$B$5:$B$300,A194))</f>
        <v/>
      </c>
      <c r="S194" s="94">
        <f>IF(A194="","",COUNTIF(Dependencies!$F$5:$F$300,A194))</f>
        <v/>
      </c>
      <c r="T194" s="94">
        <f>IF(A194="","",IF(AND(OR(I194="Implemented",I194="Verified"),J194=""),"⚠ Sem link de código",IF(AND(I194="Verified",K194=""),"⚠ Sem evidência",IF(OR(P194="Sim",D194="TBD (owner pending)"),"◐ Proprietário pendente",IF(R194+S194=0,"○ Sem relações","✔ OK")))))</f>
        <v/>
      </c>
    </row>
    <row r="195" ht="15" customHeight="1" s="50">
      <c r="R195" s="94">
        <f>IF(A195="","",COUNTIF(Dependencies!$B$5:$B$300,A195))</f>
        <v/>
      </c>
      <c r="S195" s="94">
        <f>IF(A195="","",COUNTIF(Dependencies!$F$5:$F$300,A195))</f>
        <v/>
      </c>
      <c r="T195" s="94">
        <f>IF(A195="","",IF(AND(OR(I195="Implemented",I195="Verified"),J195=""),"⚠ Sem link de código",IF(AND(I195="Verified",K195=""),"⚠ Sem evidência",IF(OR(P195="Sim",D195="TBD (owner pending)"),"◐ Proprietário pendente",IF(R195+S195=0,"○ Sem relações","✔ OK")))))</f>
        <v/>
      </c>
    </row>
    <row r="196" ht="15" customHeight="1" s="50">
      <c r="R196" s="94">
        <f>IF(A196="","",COUNTIF(Dependencies!$B$5:$B$300,A196))</f>
        <v/>
      </c>
      <c r="S196" s="94">
        <f>IF(A196="","",COUNTIF(Dependencies!$F$5:$F$300,A196))</f>
        <v/>
      </c>
      <c r="T196" s="94">
        <f>IF(A196="","",IF(AND(OR(I196="Implemented",I196="Verified"),J196=""),"⚠ Sem link de código",IF(AND(I196="Verified",K196=""),"⚠ Sem evidência",IF(OR(P196="Sim",D196="TBD (owner pending)"),"◐ Proprietário pendente",IF(R196+S196=0,"○ Sem relações","✔ OK")))))</f>
        <v/>
      </c>
    </row>
    <row r="197" ht="15" customHeight="1" s="50">
      <c r="R197" s="94">
        <f>IF(A197="","",COUNTIF(Dependencies!$B$5:$B$300,A197))</f>
        <v/>
      </c>
      <c r="S197" s="94">
        <f>IF(A197="","",COUNTIF(Dependencies!$F$5:$F$300,A197))</f>
        <v/>
      </c>
      <c r="T197" s="94">
        <f>IF(A197="","",IF(AND(OR(I197="Implemented",I197="Verified"),J197=""),"⚠ Sem link de código",IF(AND(I197="Verified",K197=""),"⚠ Sem evidência",IF(OR(P197="Sim",D197="TBD (owner pending)"),"◐ Proprietário pendente",IF(R197+S197=0,"○ Sem relações","✔ OK")))))</f>
        <v/>
      </c>
    </row>
    <row r="198" ht="15" customHeight="1" s="50">
      <c r="R198" s="94">
        <f>IF(A198="","",COUNTIF(Dependencies!$B$5:$B$300,A198))</f>
        <v/>
      </c>
      <c r="S198" s="94">
        <f>IF(A198="","",COUNTIF(Dependencies!$F$5:$F$300,A198))</f>
        <v/>
      </c>
      <c r="T198" s="94">
        <f>IF(A198="","",IF(AND(OR(I198="Implemented",I198="Verified"),J198=""),"⚠ Sem link de código",IF(AND(I198="Verified",K198=""),"⚠ Sem evidência",IF(OR(P198="Sim",D198="TBD (owner pending)"),"◐ Proprietário pendente",IF(R198+S198=0,"○ Sem relações","✔ OK")))))</f>
        <v/>
      </c>
    </row>
    <row r="199" ht="15" customHeight="1" s="50">
      <c r="R199" s="94">
        <f>IF(A199="","",COUNTIF(Dependencies!$B$5:$B$300,A199))</f>
        <v/>
      </c>
      <c r="S199" s="94">
        <f>IF(A199="","",COUNTIF(Dependencies!$F$5:$F$300,A199))</f>
        <v/>
      </c>
      <c r="T199" s="94">
        <f>IF(A199="","",IF(AND(OR(I199="Implemented",I199="Verified"),J199=""),"⚠ Sem link de código",IF(AND(I199="Verified",K199=""),"⚠ Sem evidência",IF(OR(P199="Sim",D199="TBD (owner pending)"),"◐ Proprietário pendente",IF(R199+S199=0,"○ Sem relações","✔ OK")))))</f>
        <v/>
      </c>
    </row>
    <row r="200" ht="15" customHeight="1" s="50">
      <c r="R200" s="94">
        <f>IF(A200="","",COUNTIF(Dependencies!$B$5:$B$300,A200))</f>
        <v/>
      </c>
      <c r="S200" s="94">
        <f>IF(A200="","",COUNTIF(Dependencies!$F$5:$F$300,A200))</f>
        <v/>
      </c>
      <c r="T200" s="94">
        <f>IF(A200="","",IF(AND(OR(I200="Implemented",I200="Verified"),J200=""),"⚠ Sem link de código",IF(AND(I200="Verified",K200=""),"⚠ Sem evidência",IF(OR(P200="Sim",D200="TBD (owner pending)"),"◐ Proprietário pendente",IF(R200+S200=0,"○ Sem relações","✔ OK")))))</f>
        <v/>
      </c>
    </row>
  </sheetData>
  <autoFilter ref="A4:W200"/>
  <conditionalFormatting sqref="I5:I200">
    <cfRule type="cellIs" rank="0" priority="2" equalAverage="0" operator="equal" aboveAverage="0" dxfId="11" text="" percent="0" bottom="0">
      <formula>"Planned"</formula>
    </cfRule>
    <cfRule type="cellIs" rank="0" priority="3" equalAverage="0" operator="equal" aboveAverage="0" dxfId="29" text="" percent="0" bottom="0">
      <formula>"Partial"</formula>
    </cfRule>
    <cfRule type="cellIs" rank="0" priority="4" equalAverage="0" operator="equal" aboveAverage="0" dxfId="13" text="" percent="0" bottom="0">
      <formula>"Implemented"</formula>
    </cfRule>
    <cfRule type="cellIs" rank="0" priority="5" equalAverage="0" operator="equal" aboveAverage="0" dxfId="15" text="" percent="0" bottom="0">
      <formula>"Verified"</formula>
    </cfRule>
  </conditionalFormatting>
  <conditionalFormatting sqref="T5:T200">
    <cfRule type="expression" rank="0" priority="6" equalAverage="0" aboveAverage="0" dxfId="30" text="" percent="0" bottom="0">
      <formula>LEFT($T5,1)="⚠"</formula>
    </cfRule>
    <cfRule type="expression" rank="0" priority="7" equalAverage="0" aboveAverage="0" dxfId="31" text="" percent="0" bottom="0">
      <formula>LEFT($T5,1)="◐"</formula>
    </cfRule>
    <cfRule type="expression" rank="0" priority="8" equalAverage="0" aboveAverage="0" dxfId="32" text="" percent="0" bottom="0">
      <formula>LEFT($T5,1)="○"</formula>
    </cfRule>
    <cfRule type="expression" rank="0" priority="9" equalAverage="0" aboveAverage="0" dxfId="33" text="" percent="0" bottom="0">
      <formula>LEFT($T5,1)="✔"</formula>
    </cfRule>
  </conditionalFormatting>
  <conditionalFormatting sqref="N5:N200">
    <cfRule type="cellIs" rank="0" priority="10" equalAverage="0" operator="equal" aboveAverage="0" dxfId="30" text="" percent="0" bottom="0">
      <formula>"P0"</formula>
    </cfRule>
    <cfRule type="cellIs" rank="0" priority="11" equalAverage="0" operator="equal" aboveAverage="0" dxfId="31" text="" percent="0" bottom="0">
      <formula>"P1"</formula>
    </cfRule>
    <cfRule type="cellIs" rank="0" priority="12" equalAverage="0" operator="equal" aboveAverage="0" dxfId="32" text="" percent="0" bottom="0">
      <formula>"P2"</formula>
    </cfRule>
  </conditionalFormatting>
  <conditionalFormatting sqref="P5:P200">
    <cfRule type="cellIs" rank="0" priority="13" equalAverage="0" operator="equal" aboveAverage="0" dxfId="19" text="" percent="0" bottom="0">
      <formula>"Sim"</formula>
    </cfRule>
  </conditionalFormatting>
  <conditionalFormatting sqref="R5:S200">
    <cfRule type="dataBar" priority="14">
      <dataBar minLength="10" maxLength="90" showValue="1">
        <cfvo type="num" val="0"/>
        <cfvo type="max" val="0"/>
        <color rgb="FF7FB2E5"/>
      </dataBar>
    </cfRule>
  </conditionalFormatting>
  <dataValidations count="8">
    <dataValidation sqref="C5:C200" showDropDown="0" showInputMessage="0" showErrorMessage="1" allowBlank="1" type="list" errorStyle="stop" operator="between">
      <formula1>"Projection,Dashboard"</formula1>
      <formula2>0</formula2>
    </dataValidation>
    <dataValidation sqref="D5:D200" showDropDown="0" showInputMessage="0" showErrorMessage="1" allowBlank="1" type="list" errorStyle="stop" operator="between">
      <formula1>Listas!$P$5:$P$16</formula1>
      <formula2>0</formula2>
    </dataValidation>
    <dataValidation sqref="I5:I200" showDropDown="0" showInputMessage="0" showErrorMessage="1" allowBlank="1" type="list" errorStyle="stop" operator="between">
      <formula1>Listas!$L$5:$L$8</formula1>
      <formula2>0</formula2>
    </dataValidation>
    <dataValidation sqref="L5:L200" showDropDown="0" showInputMessage="0" showErrorMessage="1" allowBlank="1" type="list" errorStyle="stop" operator="between">
      <formula1>Listas!$N$5:$N$9</formula1>
      <formula2>0</formula2>
    </dataValidation>
    <dataValidation sqref="M5:M200" showDropDown="0" showInputMessage="0" showErrorMessage="1" allowBlank="1" type="list" errorStyle="stop" operator="between">
      <formula1>Fases!$A$5:$A$14</formula1>
      <formula2>0</formula2>
    </dataValidation>
    <dataValidation sqref="N5:N200" showDropDown="0" showInputMessage="0" showErrorMessage="1" allowBlank="1" type="list" errorStyle="stop" operator="between">
      <formula1>"P0,P1,P2"</formula1>
      <formula2>0</formula2>
    </dataValidation>
    <dataValidation sqref="O5:O200" showDropDown="0" showInputMessage="0" showErrorMessage="1" allowBlank="1" type="list" errorStyle="stop" operator="between">
      <formula1>Roadmap!$A$6:$A$200</formula1>
      <formula2>0</formula2>
    </dataValidation>
    <dataValidation sqref="P5:P200" showDropDown="0" showInputMessage="0" showErrorMessage="1" allowBlank="1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8A70"/>
    <outlinePr summaryBelow="1" summaryRight="1"/>
    <pageSetUpPr fitToPage="0"/>
  </sheetPr>
  <dimension ref="A1:J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9" min="1" max="1"/>
    <col width="14" customWidth="1" style="49" min="2" max="2"/>
    <col width="38" customWidth="1" style="49" min="3" max="3"/>
    <col width="14" customWidth="1" style="49" min="4" max="4"/>
    <col width="16" customWidth="1" style="49" min="5" max="5"/>
    <col width="14" customWidth="1" style="49" min="6" max="6"/>
    <col width="38" customWidth="1" style="49" min="7" max="7"/>
    <col width="14" customWidth="1" style="49" min="8" max="8"/>
    <col width="18" customWidth="1" style="49" min="9" max="9"/>
    <col width="44" customWidth="1" style="49" min="10" max="10"/>
  </cols>
  <sheetData>
    <row r="1" ht="25.5" customHeight="1" s="50">
      <c r="A1" s="90" t="inlineStr">
        <is>
          <t>Dependencies — relações entre definições, funções, telas, módulos e itens do roadmap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</row>
    <row r="2" ht="15" customHeight="1" s="50">
      <c r="A2" s="60" t="inlineStr">
        <is>
          <t>Digite apenas From ID, Relation e To ID (aceita CONST-/ENUM-/POL-/METRIC-/PROJ-/DASH-, FN-, T-, RM- ou o nome do módulo pai da aba Modules). Nome, tipo e validade são calculados. Lê-se: "From &lt;Relation&gt; To".</t>
        </is>
      </c>
    </row>
    <row r="4" ht="36" customHeight="1" s="50">
      <c r="A4" s="92" t="inlineStr">
        <is>
          <t>ID</t>
        </is>
      </c>
      <c r="B4" s="92" t="inlineStr">
        <is>
          <t>From ID</t>
        </is>
      </c>
      <c r="C4" s="92" t="inlineStr">
        <is>
          <t>From Name</t>
        </is>
      </c>
      <c r="D4" s="92" t="inlineStr">
        <is>
          <t>From Type</t>
        </is>
      </c>
      <c r="E4" s="92" t="inlineStr">
        <is>
          <t>Relation</t>
        </is>
      </c>
      <c r="F4" s="92" t="inlineStr">
        <is>
          <t>To ID</t>
        </is>
      </c>
      <c r="G4" s="92" t="inlineStr">
        <is>
          <t>To Name</t>
        </is>
      </c>
      <c r="H4" s="92" t="inlineStr">
        <is>
          <t>To Type</t>
        </is>
      </c>
      <c r="I4" s="92" t="inlineStr">
        <is>
          <t>Valid?</t>
        </is>
      </c>
      <c r="J4" s="92" t="inlineStr">
        <is>
          <t>Notes</t>
        </is>
      </c>
    </row>
    <row r="5" ht="28.35" customHeight="1" s="50">
      <c r="A5" s="93" t="inlineStr">
        <is>
          <t>DEP-001</t>
        </is>
      </c>
      <c r="B5" s="93" t="inlineStr">
        <is>
          <t>METRIC-001</t>
        </is>
      </c>
      <c r="C5" s="95">
        <f>IF(B5="","",IFERROR(INDEX('Constants &amp; Enums'!$B$5:$B$200,MATCH(B5,'Constants &amp; Enums'!$A$5:$A$200,0)),IFERROR(INDEX('Metrics &amp; Formulas'!$B$5:$B$200,MATCH(B5,'Metrics &amp; Formulas'!$A$5:$A$200,0)),IFERROR(INDEX('Projections &amp; Dashboards'!$B$5:$B$200,MATCH(B5,'Projections &amp; Dashboards'!$A$5:$A$200,0)),IFERROR(INDEX(Funções!$O$5:$O$300,MATCH(B5,Funções!$A$5:$A$300,0)),IFERROR(INDEX(Telas!$C$5:$C$400,MATCH(B5,Telas!$A$5:$A$400,0)),IFERROR(INDEX(Roadmap!$D$6:$D$200,MATCH(B5,Roadmap!$A$6:$A$200,0)),IFERROR(INDEX(Modules!$C$5:$C$100,MATCH(B5,Modules!$A$5:$A$100,0)),"NOT FOUND"))))))))</f>
        <v/>
      </c>
      <c r="D5" s="95">
        <f>IF(B5="","",IF(C5="NOT FOUND","—",IFERROR(INDEX(Listas!$J$5:$J$13,MATCH(LEFT(B5,FIND("-",B5)-1),Listas!$I$5:$I$13,0)),"Module / area")))</f>
        <v/>
      </c>
      <c r="E5" s="93" t="inlineStr">
        <is>
          <t>governed by</t>
        </is>
      </c>
      <c r="F5" s="93" t="inlineStr">
        <is>
          <t>CONST-001</t>
        </is>
      </c>
      <c r="G5" s="95">
        <f>IF(F5="","",IFERROR(INDEX('Constants &amp; Enums'!$B$5:$B$200,MATCH(F5,'Constants &amp; Enums'!$A$5:$A$200,0)),IFERROR(INDEX('Metrics &amp; Formulas'!$B$5:$B$200,MATCH(F5,'Metrics &amp; Formulas'!$A$5:$A$200,0)),IFERROR(INDEX('Projections &amp; Dashboards'!$B$5:$B$200,MATCH(F5,'Projections &amp; Dashboards'!$A$5:$A$200,0)),IFERROR(INDEX(Funções!$O$5:$O$300,MATCH(F5,Funções!$A$5:$A$300,0)),IFERROR(INDEX(Telas!$C$5:$C$400,MATCH(F5,Telas!$A$5:$A$400,0)),IFERROR(INDEX(Roadmap!$D$6:$D$200,MATCH(F5,Roadmap!$A$6:$A$200,0)),IFERROR(INDEX(Modules!$C$5:$C$100,MATCH(F5,Modules!$A$5:$A$100,0)),"NOT FOUND"))))))))</f>
        <v/>
      </c>
      <c r="H5" s="95">
        <f>IF(F5="","",IF(G5="NOT FOUND","—",IFERROR(INDEX(Listas!$J$5:$J$13,MATCH(LEFT(F5,FIND("-",F5)-1),Listas!$I$5:$I$13,0)),"Module / area")))</f>
        <v/>
      </c>
      <c r="I5" s="95">
        <f>IF(AND(B5="",F5=""),"",IF(OR(C5="NOT FOUND",G5="NOT FOUND"),"✖ ID inexistente",IF(B5=F5,"✖ Autorreferência",IF(E5="","✖ Sem relação","✔ OK"))))</f>
        <v/>
      </c>
      <c r="J5" s="93" t="inlineStr">
        <is>
          <t>Rounding and scale come from the single canonical rule.</t>
        </is>
      </c>
    </row>
    <row r="6" ht="15" customHeight="1" s="50">
      <c r="A6" s="93" t="inlineStr">
        <is>
          <t>DEP-002</t>
        </is>
      </c>
      <c r="B6" s="93" t="inlineStr">
        <is>
          <t>METRIC-001</t>
        </is>
      </c>
      <c r="C6" s="95">
        <f>IF(B6="","",IFERROR(INDEX('Constants &amp; Enums'!$B$5:$B$200,MATCH(B6,'Constants &amp; Enums'!$A$5:$A$200,0)),IFERROR(INDEX('Metrics &amp; Formulas'!$B$5:$B$200,MATCH(B6,'Metrics &amp; Formulas'!$A$5:$A$200,0)),IFERROR(INDEX('Projections &amp; Dashboards'!$B$5:$B$200,MATCH(B6,'Projections &amp; Dashboards'!$A$5:$A$200,0)),IFERROR(INDEX(Funções!$O$5:$O$300,MATCH(B6,Funções!$A$5:$A$300,0)),IFERROR(INDEX(Telas!$C$5:$C$400,MATCH(B6,Telas!$A$5:$A$400,0)),IFERROR(INDEX(Roadmap!$D$6:$D$200,MATCH(B6,Roadmap!$A$6:$A$200,0)),IFERROR(INDEX(Modules!$C$5:$C$100,MATCH(B6,Modules!$A$5:$A$100,0)),"NOT FOUND"))))))))</f>
        <v/>
      </c>
      <c r="D6" s="95">
        <f>IF(B6="","",IF(C6="NOT FOUND","—",IFERROR(INDEX(Listas!$J$5:$J$13,MATCH(LEFT(B6,FIND("-",B6)-1),Listas!$I$5:$I$13,0)),"Module / area")))</f>
        <v/>
      </c>
      <c r="E6" s="93" t="inlineStr">
        <is>
          <t>governed by</t>
        </is>
      </c>
      <c r="F6" s="93" t="inlineStr">
        <is>
          <t>ENUM-001</t>
        </is>
      </c>
      <c r="G6" s="95">
        <f>IF(F6="","",IFERROR(INDEX('Constants &amp; Enums'!$B$5:$B$200,MATCH(F6,'Constants &amp; Enums'!$A$5:$A$200,0)),IFERROR(INDEX('Metrics &amp; Formulas'!$B$5:$B$200,MATCH(F6,'Metrics &amp; Formulas'!$A$5:$A$200,0)),IFERROR(INDEX('Projections &amp; Dashboards'!$B$5:$B$200,MATCH(F6,'Projections &amp; Dashboards'!$A$5:$A$200,0)),IFERROR(INDEX(Funções!$O$5:$O$300,MATCH(F6,Funções!$A$5:$A$300,0)),IFERROR(INDEX(Telas!$C$5:$C$400,MATCH(F6,Telas!$A$5:$A$400,0)),IFERROR(INDEX(Roadmap!$D$6:$D$200,MATCH(F6,Roadmap!$A$6:$A$200,0)),IFERROR(INDEX(Modules!$C$5:$C$100,MATCH(F6,Modules!$A$5:$A$100,0)),"NOT FOUND"))))))))</f>
        <v/>
      </c>
      <c r="H6" s="95">
        <f>IF(F6="","",IF(G6="NOT FOUND","—",IFERROR(INDEX(Listas!$J$5:$J$13,MATCH(LEFT(F6,FIND("-",F6)-1),Listas!$I$5:$I$13,0)),"Module / area")))</f>
        <v/>
      </c>
      <c r="I6" s="95">
        <f>IF(AND(B6="",F6=""),"",IF(OR(C6="NOT FOUND",G6="NOT FOUND"),"✖ ID inexistente",IF(B6=F6,"✖ Autorreferência",IF(E6="","✖ Sem relação","✔ OK"))))</f>
        <v/>
      </c>
      <c r="J6" s="93" t="inlineStr">
        <is>
          <t>Only posted entries count.</t>
        </is>
      </c>
    </row>
    <row r="7" ht="28.35" customHeight="1" s="50">
      <c r="A7" s="93" t="inlineStr">
        <is>
          <t>DEP-003</t>
        </is>
      </c>
      <c r="B7" s="93" t="inlineStr">
        <is>
          <t>METRIC-001</t>
        </is>
      </c>
      <c r="C7" s="95">
        <f>IF(B7="","",IFERROR(INDEX('Constants &amp; Enums'!$B$5:$B$200,MATCH(B7,'Constants &amp; Enums'!$A$5:$A$200,0)),IFERROR(INDEX('Metrics &amp; Formulas'!$B$5:$B$200,MATCH(B7,'Metrics &amp; Formulas'!$A$5:$A$200,0)),IFERROR(INDEX('Projections &amp; Dashboards'!$B$5:$B$200,MATCH(B7,'Projections &amp; Dashboards'!$A$5:$A$200,0)),IFERROR(INDEX(Funções!$O$5:$O$300,MATCH(B7,Funções!$A$5:$A$300,0)),IFERROR(INDEX(Telas!$C$5:$C$400,MATCH(B7,Telas!$A$5:$A$400,0)),IFERROR(INDEX(Roadmap!$D$6:$D$200,MATCH(B7,Roadmap!$A$6:$A$200,0)),IFERROR(INDEX(Modules!$C$5:$C$100,MATCH(B7,Modules!$A$5:$A$100,0)),"NOT FOUND"))))))))</f>
        <v/>
      </c>
      <c r="D7" s="95">
        <f>IF(B7="","",IF(C7="NOT FOUND","—",IFERROR(INDEX(Listas!$J$5:$J$13,MATCH(LEFT(B7,FIND("-",B7)-1),Listas!$I$5:$I$13,0)),"Module / area")))</f>
        <v/>
      </c>
      <c r="E7" s="93" t="inlineStr">
        <is>
          <t>validated by</t>
        </is>
      </c>
      <c r="F7" s="93" t="inlineStr">
        <is>
          <t>RM-016</t>
        </is>
      </c>
      <c r="G7" s="95">
        <f>IF(F7="","",IFERROR(INDEX('Constants &amp; Enums'!$B$5:$B$200,MATCH(F7,'Constants &amp; Enums'!$A$5:$A$200,0)),IFERROR(INDEX('Metrics &amp; Formulas'!$B$5:$B$200,MATCH(F7,'Metrics &amp; Formulas'!$A$5:$A$200,0)),IFERROR(INDEX('Projections &amp; Dashboards'!$B$5:$B$200,MATCH(F7,'Projections &amp; Dashboards'!$A$5:$A$200,0)),IFERROR(INDEX(Funções!$O$5:$O$300,MATCH(F7,Funções!$A$5:$A$300,0)),IFERROR(INDEX(Telas!$C$5:$C$400,MATCH(F7,Telas!$A$5:$A$400,0)),IFERROR(INDEX(Roadmap!$D$6:$D$200,MATCH(F7,Roadmap!$A$6:$A$200,0)),IFERROR(INDEX(Modules!$C$5:$C$100,MATCH(F7,Modules!$A$5:$A$100,0)),"NOT FOUND"))))))))</f>
        <v/>
      </c>
      <c r="H7" s="95">
        <f>IF(F7="","",IF(G7="NOT FOUND","—",IFERROR(INDEX(Listas!$J$5:$J$13,MATCH(LEFT(F7,FIND("-",F7)-1),Listas!$I$5:$I$13,0)),"Module / area")))</f>
        <v/>
      </c>
      <c r="I7" s="95">
        <f>IF(AND(B7="",F7=""),"",IF(OR(C7="NOT FOUND",G7="NOT FOUND"),"✖ ID inexistente",IF(B7=F7,"✖ Autorreferência",IF(E7="","✖ Sem relação","✔ OK"))))</f>
        <v/>
      </c>
      <c r="J7" s="93" t="inlineStr">
        <is>
          <t>Reports reconcile to the authoritative ledger.</t>
        </is>
      </c>
    </row>
    <row r="8" ht="15" customHeight="1" s="50">
      <c r="A8" s="93" t="inlineStr">
        <is>
          <t>DEP-004</t>
        </is>
      </c>
      <c r="B8" s="93" t="inlineStr">
        <is>
          <t>METRIC-002</t>
        </is>
      </c>
      <c r="C8" s="95">
        <f>IF(B8="","",IFERROR(INDEX('Constants &amp; Enums'!$B$5:$B$200,MATCH(B8,'Constants &amp; Enums'!$A$5:$A$200,0)),IFERROR(INDEX('Metrics &amp; Formulas'!$B$5:$B$200,MATCH(B8,'Metrics &amp; Formulas'!$A$5:$A$200,0)),IFERROR(INDEX('Projections &amp; Dashboards'!$B$5:$B$200,MATCH(B8,'Projections &amp; Dashboards'!$A$5:$A$200,0)),IFERROR(INDEX(Funções!$O$5:$O$300,MATCH(B8,Funções!$A$5:$A$300,0)),IFERROR(INDEX(Telas!$C$5:$C$400,MATCH(B8,Telas!$A$5:$A$400,0)),IFERROR(INDEX(Roadmap!$D$6:$D$200,MATCH(B8,Roadmap!$A$6:$A$200,0)),IFERROR(INDEX(Modules!$C$5:$C$100,MATCH(B8,Modules!$A$5:$A$100,0)),"NOT FOUND"))))))))</f>
        <v/>
      </c>
      <c r="D8" s="95">
        <f>IF(B8="","",IF(C8="NOT FOUND","—",IFERROR(INDEX(Listas!$J$5:$J$13,MATCH(LEFT(B8,FIND("-",B8)-1),Listas!$I$5:$I$13,0)),"Module / area")))</f>
        <v/>
      </c>
      <c r="E8" s="93" t="inlineStr">
        <is>
          <t>governed by</t>
        </is>
      </c>
      <c r="F8" s="93" t="inlineStr">
        <is>
          <t>CONST-001</t>
        </is>
      </c>
      <c r="G8" s="95">
        <f>IF(F8="","",IFERROR(INDEX('Constants &amp; Enums'!$B$5:$B$200,MATCH(F8,'Constants &amp; Enums'!$A$5:$A$200,0)),IFERROR(INDEX('Metrics &amp; Formulas'!$B$5:$B$200,MATCH(F8,'Metrics &amp; Formulas'!$A$5:$A$200,0)),IFERROR(INDEX('Projections &amp; Dashboards'!$B$5:$B$200,MATCH(F8,'Projections &amp; Dashboards'!$A$5:$A$200,0)),IFERROR(INDEX(Funções!$O$5:$O$300,MATCH(F8,Funções!$A$5:$A$300,0)),IFERROR(INDEX(Telas!$C$5:$C$400,MATCH(F8,Telas!$A$5:$A$400,0)),IFERROR(INDEX(Roadmap!$D$6:$D$200,MATCH(F8,Roadmap!$A$6:$A$200,0)),IFERROR(INDEX(Modules!$C$5:$C$100,MATCH(F8,Modules!$A$5:$A$100,0)),"NOT FOUND"))))))))</f>
        <v/>
      </c>
      <c r="H8" s="95">
        <f>IF(F8="","",IF(G8="NOT FOUND","—",IFERROR(INDEX(Listas!$J$5:$J$13,MATCH(LEFT(F8,FIND("-",F8)-1),Listas!$I$5:$I$13,0)),"Module / area")))</f>
        <v/>
      </c>
      <c r="I8" s="95">
        <f>IF(AND(B8="",F8=""),"",IF(OR(C8="NOT FOUND",G8="NOT FOUND"),"✖ ID inexistente",IF(B8=F8,"✖ Autorreferência",IF(E8="","✖ Sem relação","✔ OK"))))</f>
        <v/>
      </c>
      <c r="J8" s="93" t="n"/>
    </row>
    <row r="9" ht="15" customHeight="1" s="50">
      <c r="A9" s="93" t="inlineStr">
        <is>
          <t>DEP-005</t>
        </is>
      </c>
      <c r="B9" s="93" t="inlineStr">
        <is>
          <t>METRIC-003</t>
        </is>
      </c>
      <c r="C9" s="95">
        <f>IF(B9="","",IFERROR(INDEX('Constants &amp; Enums'!$B$5:$B$200,MATCH(B9,'Constants &amp; Enums'!$A$5:$A$200,0)),IFERROR(INDEX('Metrics &amp; Formulas'!$B$5:$B$200,MATCH(B9,'Metrics &amp; Formulas'!$A$5:$A$200,0)),IFERROR(INDEX('Projections &amp; Dashboards'!$B$5:$B$200,MATCH(B9,'Projections &amp; Dashboards'!$A$5:$A$200,0)),IFERROR(INDEX(Funções!$O$5:$O$300,MATCH(B9,Funções!$A$5:$A$300,0)),IFERROR(INDEX(Telas!$C$5:$C$400,MATCH(B9,Telas!$A$5:$A$400,0)),IFERROR(INDEX(Roadmap!$D$6:$D$200,MATCH(B9,Roadmap!$A$6:$A$200,0)),IFERROR(INDEX(Modules!$C$5:$C$100,MATCH(B9,Modules!$A$5:$A$100,0)),"NOT FOUND"))))))))</f>
        <v/>
      </c>
      <c r="D9" s="95">
        <f>IF(B9="","",IF(C9="NOT FOUND","—",IFERROR(INDEX(Listas!$J$5:$J$13,MATCH(LEFT(B9,FIND("-",B9)-1),Listas!$I$5:$I$13,0)),"Module / area")))</f>
        <v/>
      </c>
      <c r="E9" s="93" t="inlineStr">
        <is>
          <t>computed from</t>
        </is>
      </c>
      <c r="F9" s="93" t="inlineStr">
        <is>
          <t>METRIC-002</t>
        </is>
      </c>
      <c r="G9" s="95">
        <f>IF(F9="","",IFERROR(INDEX('Constants &amp; Enums'!$B$5:$B$200,MATCH(F9,'Constants &amp; Enums'!$A$5:$A$200,0)),IFERROR(INDEX('Metrics &amp; Formulas'!$B$5:$B$200,MATCH(F9,'Metrics &amp; Formulas'!$A$5:$A$200,0)),IFERROR(INDEX('Projections &amp; Dashboards'!$B$5:$B$200,MATCH(F9,'Projections &amp; Dashboards'!$A$5:$A$200,0)),IFERROR(INDEX(Funções!$O$5:$O$300,MATCH(F9,Funções!$A$5:$A$300,0)),IFERROR(INDEX(Telas!$C$5:$C$400,MATCH(F9,Telas!$A$5:$A$400,0)),IFERROR(INDEX(Roadmap!$D$6:$D$200,MATCH(F9,Roadmap!$A$6:$A$200,0)),IFERROR(INDEX(Modules!$C$5:$C$100,MATCH(F9,Modules!$A$5:$A$100,0)),"NOT FOUND"))))))))</f>
        <v/>
      </c>
      <c r="H9" s="95">
        <f>IF(F9="","",IF(G9="NOT FOUND","—",IFERROR(INDEX(Listas!$J$5:$J$13,MATCH(LEFT(F9,FIND("-",F9)-1),Listas!$I$5:$I$13,0)),"Module / area")))</f>
        <v/>
      </c>
      <c r="I9" s="95">
        <f>IF(AND(B9="",F9=""),"",IF(OR(C9="NOT FOUND",G9="NOT FOUND"),"✖ ID inexistente",IF(B9=F9,"✖ Autorreferência",IF(E9="","✖ Sem relação","✔ OK"))))</f>
        <v/>
      </c>
      <c r="J9" s="93" t="inlineStr">
        <is>
          <t>Must equal the past-due buckets.</t>
        </is>
      </c>
    </row>
    <row r="10" ht="15" customHeight="1" s="50">
      <c r="A10" s="93" t="inlineStr">
        <is>
          <t>DEP-006</t>
        </is>
      </c>
      <c r="B10" s="93" t="inlineStr">
        <is>
          <t>METRIC-004</t>
        </is>
      </c>
      <c r="C10" s="95">
        <f>IF(B10="","",IFERROR(INDEX('Constants &amp; Enums'!$B$5:$B$200,MATCH(B10,'Constants &amp; Enums'!$A$5:$A$200,0)),IFERROR(INDEX('Metrics &amp; Formulas'!$B$5:$B$200,MATCH(B10,'Metrics &amp; Formulas'!$A$5:$A$200,0)),IFERROR(INDEX('Projections &amp; Dashboards'!$B$5:$B$200,MATCH(B10,'Projections &amp; Dashboards'!$A$5:$A$200,0)),IFERROR(INDEX(Funções!$O$5:$O$300,MATCH(B10,Funções!$A$5:$A$300,0)),IFERROR(INDEX(Telas!$C$5:$C$400,MATCH(B10,Telas!$A$5:$A$400,0)),IFERROR(INDEX(Roadmap!$D$6:$D$200,MATCH(B10,Roadmap!$A$6:$A$200,0)),IFERROR(INDEX(Modules!$C$5:$C$100,MATCH(B10,Modules!$A$5:$A$100,0)),"NOT FOUND"))))))))</f>
        <v/>
      </c>
      <c r="D10" s="95">
        <f>IF(B10="","",IF(C10="NOT FOUND","—",IFERROR(INDEX(Listas!$J$5:$J$13,MATCH(LEFT(B10,FIND("-",B10)-1),Listas!$I$5:$I$13,0)),"Module / area")))</f>
        <v/>
      </c>
      <c r="E10" s="93" t="inlineStr">
        <is>
          <t>governed by</t>
        </is>
      </c>
      <c r="F10" s="93" t="inlineStr">
        <is>
          <t>CONST-002</t>
        </is>
      </c>
      <c r="G10" s="95">
        <f>IF(F10="","",IFERROR(INDEX('Constants &amp; Enums'!$B$5:$B$200,MATCH(F10,'Constants &amp; Enums'!$A$5:$A$200,0)),IFERROR(INDEX('Metrics &amp; Formulas'!$B$5:$B$200,MATCH(F10,'Metrics &amp; Formulas'!$A$5:$A$200,0)),IFERROR(INDEX('Projections &amp; Dashboards'!$B$5:$B$200,MATCH(F10,'Projections &amp; Dashboards'!$A$5:$A$200,0)),IFERROR(INDEX(Funções!$O$5:$O$300,MATCH(F10,Funções!$A$5:$A$300,0)),IFERROR(INDEX(Telas!$C$5:$C$400,MATCH(F10,Telas!$A$5:$A$400,0)),IFERROR(INDEX(Roadmap!$D$6:$D$200,MATCH(F10,Roadmap!$A$6:$A$200,0)),IFERROR(INDEX(Modules!$C$5:$C$100,MATCH(F10,Modules!$A$5:$A$100,0)),"NOT FOUND"))))))))</f>
        <v/>
      </c>
      <c r="H10" s="95">
        <f>IF(F10="","",IF(G10="NOT FOUND","—",IFERROR(INDEX(Listas!$J$5:$J$13,MATCH(LEFT(F10,FIND("-",F10)-1),Listas!$I$5:$I$13,0)),"Module / area")))</f>
        <v/>
      </c>
      <c r="I10" s="95">
        <f>IF(AND(B10="",F10=""),"",IF(OR(C10="NOT FOUND",G10="NOT FOUND"),"✖ ID inexistente",IF(B10=F10,"✖ Autorreferência",IF(E10="","✖ Sem relação","✔ OK"))))</f>
        <v/>
      </c>
      <c r="J10" s="93" t="n"/>
    </row>
    <row r="11" ht="15" customHeight="1" s="50">
      <c r="A11" s="93" t="inlineStr">
        <is>
          <t>DEP-007</t>
        </is>
      </c>
      <c r="B11" s="93" t="inlineStr">
        <is>
          <t>METRIC-004</t>
        </is>
      </c>
      <c r="C11" s="95">
        <f>IF(B11="","",IFERROR(INDEX('Constants &amp; Enums'!$B$5:$B$200,MATCH(B11,'Constants &amp; Enums'!$A$5:$A$200,0)),IFERROR(INDEX('Metrics &amp; Formulas'!$B$5:$B$200,MATCH(B11,'Metrics &amp; Formulas'!$A$5:$A$200,0)),IFERROR(INDEX('Projections &amp; Dashboards'!$B$5:$B$200,MATCH(B11,'Projections &amp; Dashboards'!$A$5:$A$200,0)),IFERROR(INDEX(Funções!$O$5:$O$300,MATCH(B11,Funções!$A$5:$A$300,0)),IFERROR(INDEX(Telas!$C$5:$C$400,MATCH(B11,Telas!$A$5:$A$400,0)),IFERROR(INDEX(Roadmap!$D$6:$D$200,MATCH(B11,Roadmap!$A$6:$A$200,0)),IFERROR(INDEX(Modules!$C$5:$C$100,MATCH(B11,Modules!$A$5:$A$100,0)),"NOT FOUND"))))))))</f>
        <v/>
      </c>
      <c r="D11" s="95">
        <f>IF(B11="","",IF(C11="NOT FOUND","—",IFERROR(INDEX(Listas!$J$5:$J$13,MATCH(LEFT(B11,FIND("-",B11)-1),Listas!$I$5:$I$13,0)),"Module / area")))</f>
        <v/>
      </c>
      <c r="E11" s="93" t="inlineStr">
        <is>
          <t>governed by</t>
        </is>
      </c>
      <c r="F11" s="93" t="inlineStr">
        <is>
          <t>ENUM-001</t>
        </is>
      </c>
      <c r="G11" s="95">
        <f>IF(F11="","",IFERROR(INDEX('Constants &amp; Enums'!$B$5:$B$200,MATCH(F11,'Constants &amp; Enums'!$A$5:$A$200,0)),IFERROR(INDEX('Metrics &amp; Formulas'!$B$5:$B$200,MATCH(F11,'Metrics &amp; Formulas'!$A$5:$A$200,0)),IFERROR(INDEX('Projections &amp; Dashboards'!$B$5:$B$200,MATCH(F11,'Projections &amp; Dashboards'!$A$5:$A$200,0)),IFERROR(INDEX(Funções!$O$5:$O$300,MATCH(F11,Funções!$A$5:$A$300,0)),IFERROR(INDEX(Telas!$C$5:$C$400,MATCH(F11,Telas!$A$5:$A$400,0)),IFERROR(INDEX(Roadmap!$D$6:$D$200,MATCH(F11,Roadmap!$A$6:$A$200,0)),IFERROR(INDEX(Modules!$C$5:$C$100,MATCH(F11,Modules!$A$5:$A$100,0)),"NOT FOUND"))))))))</f>
        <v/>
      </c>
      <c r="H11" s="95">
        <f>IF(F11="","",IF(G11="NOT FOUND","—",IFERROR(INDEX(Listas!$J$5:$J$13,MATCH(LEFT(F11,FIND("-",F11)-1),Listas!$I$5:$I$13,0)),"Module / area")))</f>
        <v/>
      </c>
      <c r="I11" s="95">
        <f>IF(AND(B11="",F11=""),"",IF(OR(C11="NOT FOUND",G11="NOT FOUND"),"✖ ID inexistente",IF(B11=F11,"✖ Autorreferência",IF(E11="","✖ Sem relação","✔ OK"))))</f>
        <v/>
      </c>
      <c r="J11" s="93" t="n"/>
    </row>
    <row r="12" ht="15" customHeight="1" s="50">
      <c r="A12" s="93" t="inlineStr">
        <is>
          <t>DEP-008</t>
        </is>
      </c>
      <c r="B12" s="93" t="inlineStr">
        <is>
          <t>METRIC-005</t>
        </is>
      </c>
      <c r="C12" s="95">
        <f>IF(B12="","",IFERROR(INDEX('Constants &amp; Enums'!$B$5:$B$200,MATCH(B12,'Constants &amp; Enums'!$A$5:$A$200,0)),IFERROR(INDEX('Metrics &amp; Formulas'!$B$5:$B$200,MATCH(B12,'Metrics &amp; Formulas'!$A$5:$A$200,0)),IFERROR(INDEX('Projections &amp; Dashboards'!$B$5:$B$200,MATCH(B12,'Projections &amp; Dashboards'!$A$5:$A$200,0)),IFERROR(INDEX(Funções!$O$5:$O$300,MATCH(B12,Funções!$A$5:$A$300,0)),IFERROR(INDEX(Telas!$C$5:$C$400,MATCH(B12,Telas!$A$5:$A$400,0)),IFERROR(INDEX(Roadmap!$D$6:$D$200,MATCH(B12,Roadmap!$A$6:$A$200,0)),IFERROR(INDEX(Modules!$C$5:$C$100,MATCH(B12,Modules!$A$5:$A$100,0)),"NOT FOUND"))))))))</f>
        <v/>
      </c>
      <c r="D12" s="95">
        <f>IF(B12="","",IF(C12="NOT FOUND","—",IFERROR(INDEX(Listas!$J$5:$J$13,MATCH(LEFT(B12,FIND("-",B12)-1),Listas!$I$5:$I$13,0)),"Module / area")))</f>
        <v/>
      </c>
      <c r="E12" s="93" t="inlineStr">
        <is>
          <t>computed from</t>
        </is>
      </c>
      <c r="F12" s="93" t="inlineStr">
        <is>
          <t>METRIC-001</t>
        </is>
      </c>
      <c r="G12" s="95">
        <f>IF(F12="","",IFERROR(INDEX('Constants &amp; Enums'!$B$5:$B$200,MATCH(F12,'Constants &amp; Enums'!$A$5:$A$200,0)),IFERROR(INDEX('Metrics &amp; Formulas'!$B$5:$B$200,MATCH(F12,'Metrics &amp; Formulas'!$A$5:$A$200,0)),IFERROR(INDEX('Projections &amp; Dashboards'!$B$5:$B$200,MATCH(F12,'Projections &amp; Dashboards'!$A$5:$A$200,0)),IFERROR(INDEX(Funções!$O$5:$O$300,MATCH(F12,Funções!$A$5:$A$300,0)),IFERROR(INDEX(Telas!$C$5:$C$400,MATCH(F12,Telas!$A$5:$A$400,0)),IFERROR(INDEX(Roadmap!$D$6:$D$200,MATCH(F12,Roadmap!$A$6:$A$200,0)),IFERROR(INDEX(Modules!$C$5:$C$100,MATCH(F12,Modules!$A$5:$A$100,0)),"NOT FOUND"))))))))</f>
        <v/>
      </c>
      <c r="H12" s="95">
        <f>IF(F12="","",IF(G12="NOT FOUND","—",IFERROR(INDEX(Listas!$J$5:$J$13,MATCH(LEFT(F12,FIND("-",F12)-1),Listas!$I$5:$I$13,0)),"Module / area")))</f>
        <v/>
      </c>
      <c r="I12" s="95">
        <f>IF(AND(B12="",F12=""),"",IF(OR(C12="NOT FOUND",G12="NOT FOUND"),"✖ ID inexistente",IF(B12=F12,"✖ Autorreferência",IF(E12="","✖ Sem relação","✔ OK"))))</f>
        <v/>
      </c>
      <c r="J12" s="93" t="inlineStr">
        <is>
          <t>Revenue is the denominator.</t>
        </is>
      </c>
    </row>
    <row r="13" ht="28.35" customHeight="1" s="50">
      <c r="A13" s="93" t="inlineStr">
        <is>
          <t>DEP-009</t>
        </is>
      </c>
      <c r="B13" s="93" t="inlineStr">
        <is>
          <t>METRIC-006</t>
        </is>
      </c>
      <c r="C13" s="95">
        <f>IF(B13="","",IFERROR(INDEX('Constants &amp; Enums'!$B$5:$B$200,MATCH(B13,'Constants &amp; Enums'!$A$5:$A$200,0)),IFERROR(INDEX('Metrics &amp; Formulas'!$B$5:$B$200,MATCH(B13,'Metrics &amp; Formulas'!$A$5:$A$200,0)),IFERROR(INDEX('Projections &amp; Dashboards'!$B$5:$B$200,MATCH(B13,'Projections &amp; Dashboards'!$A$5:$A$200,0)),IFERROR(INDEX(Funções!$O$5:$O$300,MATCH(B13,Funções!$A$5:$A$300,0)),IFERROR(INDEX(Telas!$C$5:$C$400,MATCH(B13,Telas!$A$5:$A$400,0)),IFERROR(INDEX(Roadmap!$D$6:$D$200,MATCH(B13,Roadmap!$A$6:$A$200,0)),IFERROR(INDEX(Modules!$C$5:$C$100,MATCH(B13,Modules!$A$5:$A$100,0)),"NOT FOUND"))))))))</f>
        <v/>
      </c>
      <c r="D13" s="95">
        <f>IF(B13="","",IF(C13="NOT FOUND","—",IFERROR(INDEX(Listas!$J$5:$J$13,MATCH(LEFT(B13,FIND("-",B13)-1),Listas!$I$5:$I$13,0)),"Module / area")))</f>
        <v/>
      </c>
      <c r="E13" s="93" t="inlineStr">
        <is>
          <t>reads from</t>
        </is>
      </c>
      <c r="F13" s="93" t="inlineStr">
        <is>
          <t>accounting</t>
        </is>
      </c>
      <c r="G13" s="95">
        <f>IF(F13="","",IFERROR(INDEX('Constants &amp; Enums'!$B$5:$B$200,MATCH(F13,'Constants &amp; Enums'!$A$5:$A$200,0)),IFERROR(INDEX('Metrics &amp; Formulas'!$B$5:$B$200,MATCH(F13,'Metrics &amp; Formulas'!$A$5:$A$200,0)),IFERROR(INDEX('Projections &amp; Dashboards'!$B$5:$B$200,MATCH(F13,'Projections &amp; Dashboards'!$A$5:$A$200,0)),IFERROR(INDEX(Funções!$O$5:$O$300,MATCH(F13,Funções!$A$5:$A$300,0)),IFERROR(INDEX(Telas!$C$5:$C$400,MATCH(F13,Telas!$A$5:$A$400,0)),IFERROR(INDEX(Roadmap!$D$6:$D$200,MATCH(F13,Roadmap!$A$6:$A$200,0)),IFERROR(INDEX(Modules!$C$5:$C$100,MATCH(F13,Modules!$A$5:$A$100,0)),"NOT FOUND"))))))))</f>
        <v/>
      </c>
      <c r="H13" s="95">
        <f>IF(F13="","",IF(G13="NOT FOUND","—",IFERROR(INDEX(Listas!$J$5:$J$13,MATCH(LEFT(F13,FIND("-",F13)-1),Listas!$I$5:$I$13,0)),"Module / area")))</f>
        <v/>
      </c>
      <c r="I13" s="95">
        <f>IF(AND(B13="",F13=""),"",IF(OR(C13="NOT FOUND",G13="NOT FOUND"),"✖ ID inexistente",IF(B13=F13,"✖ Autorreferência",IF(E13="","✖ Sem relação","✔ OK"))))</f>
        <v/>
      </c>
      <c r="J13" s="93" t="inlineStr">
        <is>
          <t>Actuals from the ledger; budget source still to be defined (DEC-001).</t>
        </is>
      </c>
    </row>
    <row r="14" ht="15" customHeight="1" s="50">
      <c r="A14" s="93" t="inlineStr">
        <is>
          <t>DEP-010</t>
        </is>
      </c>
      <c r="B14" s="93" t="inlineStr">
        <is>
          <t>PROJ-001</t>
        </is>
      </c>
      <c r="C14" s="95">
        <f>IF(B14="","",IFERROR(INDEX('Constants &amp; Enums'!$B$5:$B$200,MATCH(B14,'Constants &amp; Enums'!$A$5:$A$200,0)),IFERROR(INDEX('Metrics &amp; Formulas'!$B$5:$B$200,MATCH(B14,'Metrics &amp; Formulas'!$A$5:$A$200,0)),IFERROR(INDEX('Projections &amp; Dashboards'!$B$5:$B$200,MATCH(B14,'Projections &amp; Dashboards'!$A$5:$A$200,0)),IFERROR(INDEX(Funções!$O$5:$O$300,MATCH(B14,Funções!$A$5:$A$300,0)),IFERROR(INDEX(Telas!$C$5:$C$400,MATCH(B14,Telas!$A$5:$A$400,0)),IFERROR(INDEX(Roadmap!$D$6:$D$200,MATCH(B14,Roadmap!$A$6:$A$200,0)),IFERROR(INDEX(Modules!$C$5:$C$100,MATCH(B14,Modules!$A$5:$A$100,0)),"NOT FOUND"))))))))</f>
        <v/>
      </c>
      <c r="D14" s="95">
        <f>IF(B14="","",IF(C14="NOT FOUND","—",IFERROR(INDEX(Listas!$J$5:$J$13,MATCH(LEFT(B14,FIND("-",B14)-1),Listas!$I$5:$I$13,0)),"Module / area")))</f>
        <v/>
      </c>
      <c r="E14" s="93" t="inlineStr">
        <is>
          <t>computed from</t>
        </is>
      </c>
      <c r="F14" s="93" t="inlineStr">
        <is>
          <t>METRIC-004</t>
        </is>
      </c>
      <c r="G14" s="95">
        <f>IF(F14="","",IFERROR(INDEX('Constants &amp; Enums'!$B$5:$B$200,MATCH(F14,'Constants &amp; Enums'!$A$5:$A$200,0)),IFERROR(INDEX('Metrics &amp; Formulas'!$B$5:$B$200,MATCH(F14,'Metrics &amp; Formulas'!$A$5:$A$200,0)),IFERROR(INDEX('Projections &amp; Dashboards'!$B$5:$B$200,MATCH(F14,'Projections &amp; Dashboards'!$A$5:$A$200,0)),IFERROR(INDEX(Funções!$O$5:$O$300,MATCH(F14,Funções!$A$5:$A$300,0)),IFERROR(INDEX(Telas!$C$5:$C$400,MATCH(F14,Telas!$A$5:$A$400,0)),IFERROR(INDEX(Roadmap!$D$6:$D$200,MATCH(F14,Roadmap!$A$6:$A$200,0)),IFERROR(INDEX(Modules!$C$5:$C$100,MATCH(F14,Modules!$A$5:$A$100,0)),"NOT FOUND"))))))))</f>
        <v/>
      </c>
      <c r="H14" s="95">
        <f>IF(F14="","",IF(G14="NOT FOUND","—",IFERROR(INDEX(Listas!$J$5:$J$13,MATCH(LEFT(F14,FIND("-",F14)-1),Listas!$I$5:$I$13,0)),"Module / area")))</f>
        <v/>
      </c>
      <c r="I14" s="95">
        <f>IF(AND(B14="",F14=""),"",IF(OR(C14="NOT FOUND",G14="NOT FOUND"),"✖ ID inexistente",IF(B14=F14,"✖ Autorreferência",IF(E14="","✖ Sem relação","✔ OK"))))</f>
        <v/>
      </c>
      <c r="J14" s="93" t="inlineStr">
        <is>
          <t>Opening balance.</t>
        </is>
      </c>
    </row>
    <row r="15" ht="15" customHeight="1" s="50">
      <c r="A15" s="93" t="inlineStr">
        <is>
          <t>DEP-011</t>
        </is>
      </c>
      <c r="B15" s="93" t="inlineStr">
        <is>
          <t>PROJ-001</t>
        </is>
      </c>
      <c r="C15" s="95">
        <f>IF(B15="","",IFERROR(INDEX('Constants &amp; Enums'!$B$5:$B$200,MATCH(B15,'Constants &amp; Enums'!$A$5:$A$200,0)),IFERROR(INDEX('Metrics &amp; Formulas'!$B$5:$B$200,MATCH(B15,'Metrics &amp; Formulas'!$A$5:$A$200,0)),IFERROR(INDEX('Projections &amp; Dashboards'!$B$5:$B$200,MATCH(B15,'Projections &amp; Dashboards'!$A$5:$A$200,0)),IFERROR(INDEX(Funções!$O$5:$O$300,MATCH(B15,Funções!$A$5:$A$300,0)),IFERROR(INDEX(Telas!$C$5:$C$400,MATCH(B15,Telas!$A$5:$A$400,0)),IFERROR(INDEX(Roadmap!$D$6:$D$200,MATCH(B15,Roadmap!$A$6:$A$200,0)),IFERROR(INDEX(Modules!$C$5:$C$100,MATCH(B15,Modules!$A$5:$A$100,0)),"NOT FOUND"))))))))</f>
        <v/>
      </c>
      <c r="D15" s="95">
        <f>IF(B15="","",IF(C15="NOT FOUND","—",IFERROR(INDEX(Listas!$J$5:$J$13,MATCH(LEFT(B15,FIND("-",B15)-1),Listas!$I$5:$I$13,0)),"Module / area")))</f>
        <v/>
      </c>
      <c r="E15" s="93" t="inlineStr">
        <is>
          <t>computed from</t>
        </is>
      </c>
      <c r="F15" s="93" t="inlineStr">
        <is>
          <t>METRIC-002</t>
        </is>
      </c>
      <c r="G15" s="95">
        <f>IF(F15="","",IFERROR(INDEX('Constants &amp; Enums'!$B$5:$B$200,MATCH(F15,'Constants &amp; Enums'!$A$5:$A$200,0)),IFERROR(INDEX('Metrics &amp; Formulas'!$B$5:$B$200,MATCH(F15,'Metrics &amp; Formulas'!$A$5:$A$200,0)),IFERROR(INDEX('Projections &amp; Dashboards'!$B$5:$B$200,MATCH(F15,'Projections &amp; Dashboards'!$A$5:$A$200,0)),IFERROR(INDEX(Funções!$O$5:$O$300,MATCH(F15,Funções!$A$5:$A$300,0)),IFERROR(INDEX(Telas!$C$5:$C$400,MATCH(F15,Telas!$A$5:$A$400,0)),IFERROR(INDEX(Roadmap!$D$6:$D$200,MATCH(F15,Roadmap!$A$6:$A$200,0)),IFERROR(INDEX(Modules!$C$5:$C$100,MATCH(F15,Modules!$A$5:$A$100,0)),"NOT FOUND"))))))))</f>
        <v/>
      </c>
      <c r="H15" s="95">
        <f>IF(F15="","",IF(G15="NOT FOUND","—",IFERROR(INDEX(Listas!$J$5:$J$13,MATCH(LEFT(F15,FIND("-",F15)-1),Listas!$I$5:$I$13,0)),"Module / area")))</f>
        <v/>
      </c>
      <c r="I15" s="95">
        <f>IF(AND(B15="",F15=""),"",IF(OR(C15="NOT FOUND",G15="NOT FOUND"),"✖ ID inexistente",IF(B15=F15,"✖ Autorreferência",IF(E15="","✖ Sem relação","✔ OK"))))</f>
        <v/>
      </c>
      <c r="J15" s="93" t="inlineStr">
        <is>
          <t>Expected receipts.</t>
        </is>
      </c>
    </row>
    <row r="16" ht="15" customHeight="1" s="50">
      <c r="A16" s="93" t="inlineStr">
        <is>
          <t>DEP-012</t>
        </is>
      </c>
      <c r="B16" s="93" t="inlineStr">
        <is>
          <t>PROJ-001</t>
        </is>
      </c>
      <c r="C16" s="95">
        <f>IF(B16="","",IFERROR(INDEX('Constants &amp; Enums'!$B$5:$B$200,MATCH(B16,'Constants &amp; Enums'!$A$5:$A$200,0)),IFERROR(INDEX('Metrics &amp; Formulas'!$B$5:$B$200,MATCH(B16,'Metrics &amp; Formulas'!$A$5:$A$200,0)),IFERROR(INDEX('Projections &amp; Dashboards'!$B$5:$B$200,MATCH(B16,'Projections &amp; Dashboards'!$A$5:$A$200,0)),IFERROR(INDEX(Funções!$O$5:$O$300,MATCH(B16,Funções!$A$5:$A$300,0)),IFERROR(INDEX(Telas!$C$5:$C$400,MATCH(B16,Telas!$A$5:$A$400,0)),IFERROR(INDEX(Roadmap!$D$6:$D$200,MATCH(B16,Roadmap!$A$6:$A$200,0)),IFERROR(INDEX(Modules!$C$5:$C$100,MATCH(B16,Modules!$A$5:$A$100,0)),"NOT FOUND"))))))))</f>
        <v/>
      </c>
      <c r="D16" s="95">
        <f>IF(B16="","",IF(C16="NOT FOUND","—",IFERROR(INDEX(Listas!$J$5:$J$13,MATCH(LEFT(B16,FIND("-",B16)-1),Listas!$I$5:$I$13,0)),"Module / area")))</f>
        <v/>
      </c>
      <c r="E16" s="93" t="inlineStr">
        <is>
          <t>governed by</t>
        </is>
      </c>
      <c r="F16" s="93" t="inlineStr">
        <is>
          <t>POL-004</t>
        </is>
      </c>
      <c r="G16" s="95">
        <f>IF(F16="","",IFERROR(INDEX('Constants &amp; Enums'!$B$5:$B$200,MATCH(F16,'Constants &amp; Enums'!$A$5:$A$200,0)),IFERROR(INDEX('Metrics &amp; Formulas'!$B$5:$B$200,MATCH(F16,'Metrics &amp; Formulas'!$A$5:$A$200,0)),IFERROR(INDEX('Projections &amp; Dashboards'!$B$5:$B$200,MATCH(F16,'Projections &amp; Dashboards'!$A$5:$A$200,0)),IFERROR(INDEX(Funções!$O$5:$O$300,MATCH(F16,Funções!$A$5:$A$300,0)),IFERROR(INDEX(Telas!$C$5:$C$400,MATCH(F16,Telas!$A$5:$A$400,0)),IFERROR(INDEX(Roadmap!$D$6:$D$200,MATCH(F16,Roadmap!$A$6:$A$200,0)),IFERROR(INDEX(Modules!$C$5:$C$100,MATCH(F16,Modules!$A$5:$A$100,0)),"NOT FOUND"))))))))</f>
        <v/>
      </c>
      <c r="H16" s="95">
        <f>IF(F16="","",IF(G16="NOT FOUND","—",IFERROR(INDEX(Listas!$J$5:$J$13,MATCH(LEFT(F16,FIND("-",F16)-1),Listas!$I$5:$I$13,0)),"Module / area")))</f>
        <v/>
      </c>
      <c r="I16" s="95">
        <f>IF(AND(B16="",F16=""),"",IF(OR(C16="NOT FOUND",G16="NOT FOUND"),"✖ ID inexistente",IF(B16=F16,"✖ Autorreferência",IF(E16="","✖ Sem relação","✔ OK"))))</f>
        <v/>
      </c>
      <c r="J16" s="93" t="inlineStr">
        <is>
          <t>Horizon and cadence.</t>
        </is>
      </c>
    </row>
    <row r="17" ht="15" customHeight="1" s="50">
      <c r="A17" s="93" t="inlineStr">
        <is>
          <t>DEP-013</t>
        </is>
      </c>
      <c r="B17" s="93" t="inlineStr">
        <is>
          <t>PROJ-001</t>
        </is>
      </c>
      <c r="C17" s="95">
        <f>IF(B17="","",IFERROR(INDEX('Constants &amp; Enums'!$B$5:$B$200,MATCH(B17,'Constants &amp; Enums'!$A$5:$A$200,0)),IFERROR(INDEX('Metrics &amp; Formulas'!$B$5:$B$200,MATCH(B17,'Metrics &amp; Formulas'!$A$5:$A$200,0)),IFERROR(INDEX('Projections &amp; Dashboards'!$B$5:$B$200,MATCH(B17,'Projections &amp; Dashboards'!$A$5:$A$200,0)),IFERROR(INDEX(Funções!$O$5:$O$300,MATCH(B17,Funções!$A$5:$A$300,0)),IFERROR(INDEX(Telas!$C$5:$C$400,MATCH(B17,Telas!$A$5:$A$400,0)),IFERROR(INDEX(Roadmap!$D$6:$D$200,MATCH(B17,Roadmap!$A$6:$A$200,0)),IFERROR(INDEX(Modules!$C$5:$C$100,MATCH(B17,Modules!$A$5:$A$100,0)),"NOT FOUND"))))))))</f>
        <v/>
      </c>
      <c r="D17" s="95">
        <f>IF(B17="","",IF(C17="NOT FOUND","—",IFERROR(INDEX(Listas!$J$5:$J$13,MATCH(LEFT(B17,FIND("-",B17)-1),Listas!$I$5:$I$13,0)),"Module / area")))</f>
        <v/>
      </c>
      <c r="E17" s="93" t="inlineStr">
        <is>
          <t>governed by</t>
        </is>
      </c>
      <c r="F17" s="93" t="inlineStr">
        <is>
          <t>POL-002</t>
        </is>
      </c>
      <c r="G17" s="95">
        <f>IF(F17="","",IFERROR(INDEX('Constants &amp; Enums'!$B$5:$B$200,MATCH(F17,'Constants &amp; Enums'!$A$5:$A$200,0)),IFERROR(INDEX('Metrics &amp; Formulas'!$B$5:$B$200,MATCH(F17,'Metrics &amp; Formulas'!$A$5:$A$200,0)),IFERROR(INDEX('Projections &amp; Dashboards'!$B$5:$B$200,MATCH(F17,'Projections &amp; Dashboards'!$A$5:$A$200,0)),IFERROR(INDEX(Funções!$O$5:$O$300,MATCH(F17,Funções!$A$5:$A$300,0)),IFERROR(INDEX(Telas!$C$5:$C$400,MATCH(F17,Telas!$A$5:$A$400,0)),IFERROR(INDEX(Roadmap!$D$6:$D$200,MATCH(F17,Roadmap!$A$6:$A$200,0)),IFERROR(INDEX(Modules!$C$5:$C$100,MATCH(F17,Modules!$A$5:$A$100,0)),"NOT FOUND"))))))))</f>
        <v/>
      </c>
      <c r="H17" s="95">
        <f>IF(F17="","",IF(G17="NOT FOUND","—",IFERROR(INDEX(Listas!$J$5:$J$13,MATCH(LEFT(F17,FIND("-",F17)-1),Listas!$I$5:$I$13,0)),"Module / area")))</f>
        <v/>
      </c>
      <c r="I17" s="95">
        <f>IF(AND(B17="",F17=""),"",IF(OR(C17="NOT FOUND",G17="NOT FOUND"),"✖ ID inexistente",IF(B17=F17,"✖ Autorreferência",IF(E17="","✖ Sem relação","✔ OK"))))</f>
        <v/>
      </c>
      <c r="J17" s="93" t="inlineStr">
        <is>
          <t>Presentation currency.</t>
        </is>
      </c>
    </row>
    <row r="18" ht="15" customHeight="1" s="50">
      <c r="A18" s="93" t="inlineStr">
        <is>
          <t>DEP-014</t>
        </is>
      </c>
      <c r="B18" s="93" t="inlineStr">
        <is>
          <t>PROJ-002</t>
        </is>
      </c>
      <c r="C18" s="95">
        <f>IF(B18="","",IFERROR(INDEX('Constants &amp; Enums'!$B$5:$B$200,MATCH(B18,'Constants &amp; Enums'!$A$5:$A$200,0)),IFERROR(INDEX('Metrics &amp; Formulas'!$B$5:$B$200,MATCH(B18,'Metrics &amp; Formulas'!$A$5:$A$200,0)),IFERROR(INDEX('Projections &amp; Dashboards'!$B$5:$B$200,MATCH(B18,'Projections &amp; Dashboards'!$A$5:$A$200,0)),IFERROR(INDEX(Funções!$O$5:$O$300,MATCH(B18,Funções!$A$5:$A$300,0)),IFERROR(INDEX(Telas!$C$5:$C$400,MATCH(B18,Telas!$A$5:$A$400,0)),IFERROR(INDEX(Roadmap!$D$6:$D$200,MATCH(B18,Roadmap!$A$6:$A$200,0)),IFERROR(INDEX(Modules!$C$5:$C$100,MATCH(B18,Modules!$A$5:$A$100,0)),"NOT FOUND"))))))))</f>
        <v/>
      </c>
      <c r="D18" s="95">
        <f>IF(B18="","",IF(C18="NOT FOUND","—",IFERROR(INDEX(Listas!$J$5:$J$13,MATCH(LEFT(B18,FIND("-",B18)-1),Listas!$I$5:$I$13,0)),"Module / area")))</f>
        <v/>
      </c>
      <c r="E18" s="93" t="inlineStr">
        <is>
          <t>computed from</t>
        </is>
      </c>
      <c r="F18" s="93" t="inlineStr">
        <is>
          <t>METRIC-006</t>
        </is>
      </c>
      <c r="G18" s="95">
        <f>IF(F18="","",IFERROR(INDEX('Constants &amp; Enums'!$B$5:$B$200,MATCH(F18,'Constants &amp; Enums'!$A$5:$A$200,0)),IFERROR(INDEX('Metrics &amp; Formulas'!$B$5:$B$200,MATCH(F18,'Metrics &amp; Formulas'!$A$5:$A$200,0)),IFERROR(INDEX('Projections &amp; Dashboards'!$B$5:$B$200,MATCH(F18,'Projections &amp; Dashboards'!$A$5:$A$200,0)),IFERROR(INDEX(Funções!$O$5:$O$300,MATCH(F18,Funções!$A$5:$A$300,0)),IFERROR(INDEX(Telas!$C$5:$C$400,MATCH(F18,Telas!$A$5:$A$400,0)),IFERROR(INDEX(Roadmap!$D$6:$D$200,MATCH(F18,Roadmap!$A$6:$A$200,0)),IFERROR(INDEX(Modules!$C$5:$C$100,MATCH(F18,Modules!$A$5:$A$100,0)),"NOT FOUND"))))))))</f>
        <v/>
      </c>
      <c r="H18" s="95">
        <f>IF(F18="","",IF(G18="NOT FOUND","—",IFERROR(INDEX(Listas!$J$5:$J$13,MATCH(LEFT(F18,FIND("-",F18)-1),Listas!$I$5:$I$13,0)),"Module / area")))</f>
        <v/>
      </c>
      <c r="I18" s="95">
        <f>IF(AND(B18="",F18=""),"",IF(OR(C18="NOT FOUND",G18="NOT FOUND"),"✖ ID inexistente",IF(B18=F18,"✖ Autorreferência",IF(E18="","✖ Sem relação","✔ OK"))))</f>
        <v/>
      </c>
      <c r="J18" s="93" t="n"/>
    </row>
    <row r="19" ht="15" customHeight="1" s="50">
      <c r="A19" s="93" t="inlineStr">
        <is>
          <t>DEP-015</t>
        </is>
      </c>
      <c r="B19" s="93" t="inlineStr">
        <is>
          <t>PROJ-002</t>
        </is>
      </c>
      <c r="C19" s="95">
        <f>IF(B19="","",IFERROR(INDEX('Constants &amp; Enums'!$B$5:$B$200,MATCH(B19,'Constants &amp; Enums'!$A$5:$A$200,0)),IFERROR(INDEX('Metrics &amp; Formulas'!$B$5:$B$200,MATCH(B19,'Metrics &amp; Formulas'!$A$5:$A$200,0)),IFERROR(INDEX('Projections &amp; Dashboards'!$B$5:$B$200,MATCH(B19,'Projections &amp; Dashboards'!$A$5:$A$200,0)),IFERROR(INDEX(Funções!$O$5:$O$300,MATCH(B19,Funções!$A$5:$A$300,0)),IFERROR(INDEX(Telas!$C$5:$C$400,MATCH(B19,Telas!$A$5:$A$400,0)),IFERROR(INDEX(Roadmap!$D$6:$D$200,MATCH(B19,Roadmap!$A$6:$A$200,0)),IFERROR(INDEX(Modules!$C$5:$C$100,MATCH(B19,Modules!$A$5:$A$100,0)),"NOT FOUND"))))))))</f>
        <v/>
      </c>
      <c r="D19" s="95">
        <f>IF(B19="","",IF(C19="NOT FOUND","—",IFERROR(INDEX(Listas!$J$5:$J$13,MATCH(LEFT(B19,FIND("-",B19)-1),Listas!$I$5:$I$13,0)),"Module / area")))</f>
        <v/>
      </c>
      <c r="E19" s="93" t="inlineStr">
        <is>
          <t>governed by</t>
        </is>
      </c>
      <c r="F19" s="93" t="inlineStr">
        <is>
          <t>POL-003</t>
        </is>
      </c>
      <c r="G19" s="95">
        <f>IF(F19="","",IFERROR(INDEX('Constants &amp; Enums'!$B$5:$B$200,MATCH(F19,'Constants &amp; Enums'!$A$5:$A$200,0)),IFERROR(INDEX('Metrics &amp; Formulas'!$B$5:$B$200,MATCH(F19,'Metrics &amp; Formulas'!$A$5:$A$200,0)),IFERROR(INDEX('Projections &amp; Dashboards'!$B$5:$B$200,MATCH(F19,'Projections &amp; Dashboards'!$A$5:$A$200,0)),IFERROR(INDEX(Funções!$O$5:$O$300,MATCH(F19,Funções!$A$5:$A$300,0)),IFERROR(INDEX(Telas!$C$5:$C$400,MATCH(F19,Telas!$A$5:$A$400,0)),IFERROR(INDEX(Roadmap!$D$6:$D$200,MATCH(F19,Roadmap!$A$6:$A$200,0)),IFERROR(INDEX(Modules!$C$5:$C$100,MATCH(F19,Modules!$A$5:$A$100,0)),"NOT FOUND"))))))))</f>
        <v/>
      </c>
      <c r="H19" s="95">
        <f>IF(F19="","",IF(G19="NOT FOUND","—",IFERROR(INDEX(Listas!$J$5:$J$13,MATCH(LEFT(F19,FIND("-",F19)-1),Listas!$I$5:$I$13,0)),"Module / area")))</f>
        <v/>
      </c>
      <c r="I19" s="95">
        <f>IF(AND(B19="",F19=""),"",IF(OR(C19="NOT FOUND",G19="NOT FOUND"),"✖ ID inexistente",IF(B19=F19,"✖ Autorreferência",IF(E19="","✖ Sem relação","✔ OK"))))</f>
        <v/>
      </c>
      <c r="J19" s="93" t="inlineStr">
        <is>
          <t>Targets and alert limits.</t>
        </is>
      </c>
    </row>
    <row r="20" ht="15" customHeight="1" s="50">
      <c r="A20" s="93" t="inlineStr">
        <is>
          <t>DEP-016</t>
        </is>
      </c>
      <c r="B20" s="93" t="inlineStr">
        <is>
          <t>DASH-001</t>
        </is>
      </c>
      <c r="C20" s="95">
        <f>IF(B20="","",IFERROR(INDEX('Constants &amp; Enums'!$B$5:$B$200,MATCH(B20,'Constants &amp; Enums'!$A$5:$A$200,0)),IFERROR(INDEX('Metrics &amp; Formulas'!$B$5:$B$200,MATCH(B20,'Metrics &amp; Formulas'!$A$5:$A$200,0)),IFERROR(INDEX('Projections &amp; Dashboards'!$B$5:$B$200,MATCH(B20,'Projections &amp; Dashboards'!$A$5:$A$200,0)),IFERROR(INDEX(Funções!$O$5:$O$300,MATCH(B20,Funções!$A$5:$A$300,0)),IFERROR(INDEX(Telas!$C$5:$C$400,MATCH(B20,Telas!$A$5:$A$400,0)),IFERROR(INDEX(Roadmap!$D$6:$D$200,MATCH(B20,Roadmap!$A$6:$A$200,0)),IFERROR(INDEX(Modules!$C$5:$C$100,MATCH(B20,Modules!$A$5:$A$100,0)),"NOT FOUND"))))))))</f>
        <v/>
      </c>
      <c r="D20" s="95">
        <f>IF(B20="","",IF(C20="NOT FOUND","—",IFERROR(INDEX(Listas!$J$5:$J$13,MATCH(LEFT(B20,FIND("-",B20)-1),Listas!$I$5:$I$13,0)),"Module / area")))</f>
        <v/>
      </c>
      <c r="E20" s="93" t="inlineStr">
        <is>
          <t>reads from</t>
        </is>
      </c>
      <c r="F20" s="93" t="inlineStr">
        <is>
          <t>METRIC-001</t>
        </is>
      </c>
      <c r="G20" s="95">
        <f>IF(F20="","",IFERROR(INDEX('Constants &amp; Enums'!$B$5:$B$200,MATCH(F20,'Constants &amp; Enums'!$A$5:$A$200,0)),IFERROR(INDEX('Metrics &amp; Formulas'!$B$5:$B$200,MATCH(F20,'Metrics &amp; Formulas'!$A$5:$A$200,0)),IFERROR(INDEX('Projections &amp; Dashboards'!$B$5:$B$200,MATCH(F20,'Projections &amp; Dashboards'!$A$5:$A$200,0)),IFERROR(INDEX(Funções!$O$5:$O$300,MATCH(F20,Funções!$A$5:$A$300,0)),IFERROR(INDEX(Telas!$C$5:$C$400,MATCH(F20,Telas!$A$5:$A$400,0)),IFERROR(INDEX(Roadmap!$D$6:$D$200,MATCH(F20,Roadmap!$A$6:$A$200,0)),IFERROR(INDEX(Modules!$C$5:$C$100,MATCH(F20,Modules!$A$5:$A$100,0)),"NOT FOUND"))))))))</f>
        <v/>
      </c>
      <c r="H20" s="95">
        <f>IF(F20="","",IF(G20="NOT FOUND","—",IFERROR(INDEX(Listas!$J$5:$J$13,MATCH(LEFT(F20,FIND("-",F20)-1),Listas!$I$5:$I$13,0)),"Module / area")))</f>
        <v/>
      </c>
      <c r="I20" s="95">
        <f>IF(AND(B20="",F20=""),"",IF(OR(C20="NOT FOUND",G20="NOT FOUND"),"✖ ID inexistente",IF(B20=F20,"✖ Autorreferência",IF(E20="","✖ Sem relação","✔ OK"))))</f>
        <v/>
      </c>
      <c r="J20" s="93" t="n"/>
    </row>
    <row r="21" ht="15" customHeight="1" s="50">
      <c r="A21" s="93" t="inlineStr">
        <is>
          <t>DEP-017</t>
        </is>
      </c>
      <c r="B21" s="93" t="inlineStr">
        <is>
          <t>DASH-001</t>
        </is>
      </c>
      <c r="C21" s="95">
        <f>IF(B21="","",IFERROR(INDEX('Constants &amp; Enums'!$B$5:$B$200,MATCH(B21,'Constants &amp; Enums'!$A$5:$A$200,0)),IFERROR(INDEX('Metrics &amp; Formulas'!$B$5:$B$200,MATCH(B21,'Metrics &amp; Formulas'!$A$5:$A$200,0)),IFERROR(INDEX('Projections &amp; Dashboards'!$B$5:$B$200,MATCH(B21,'Projections &amp; Dashboards'!$A$5:$A$200,0)),IFERROR(INDEX(Funções!$O$5:$O$300,MATCH(B21,Funções!$A$5:$A$300,0)),IFERROR(INDEX(Telas!$C$5:$C$400,MATCH(B21,Telas!$A$5:$A$400,0)),IFERROR(INDEX(Roadmap!$D$6:$D$200,MATCH(B21,Roadmap!$A$6:$A$200,0)),IFERROR(INDEX(Modules!$C$5:$C$100,MATCH(B21,Modules!$A$5:$A$100,0)),"NOT FOUND"))))))))</f>
        <v/>
      </c>
      <c r="D21" s="95">
        <f>IF(B21="","",IF(C21="NOT FOUND","—",IFERROR(INDEX(Listas!$J$5:$J$13,MATCH(LEFT(B21,FIND("-",B21)-1),Listas!$I$5:$I$13,0)),"Module / area")))</f>
        <v/>
      </c>
      <c r="E21" s="93" t="inlineStr">
        <is>
          <t>reads from</t>
        </is>
      </c>
      <c r="F21" s="93" t="inlineStr">
        <is>
          <t>METRIC-002</t>
        </is>
      </c>
      <c r="G21" s="95">
        <f>IF(F21="","",IFERROR(INDEX('Constants &amp; Enums'!$B$5:$B$200,MATCH(F21,'Constants &amp; Enums'!$A$5:$A$200,0)),IFERROR(INDEX('Metrics &amp; Formulas'!$B$5:$B$200,MATCH(F21,'Metrics &amp; Formulas'!$A$5:$A$200,0)),IFERROR(INDEX('Projections &amp; Dashboards'!$B$5:$B$200,MATCH(F21,'Projections &amp; Dashboards'!$A$5:$A$200,0)),IFERROR(INDEX(Funções!$O$5:$O$300,MATCH(F21,Funções!$A$5:$A$300,0)),IFERROR(INDEX(Telas!$C$5:$C$400,MATCH(F21,Telas!$A$5:$A$400,0)),IFERROR(INDEX(Roadmap!$D$6:$D$200,MATCH(F21,Roadmap!$A$6:$A$200,0)),IFERROR(INDEX(Modules!$C$5:$C$100,MATCH(F21,Modules!$A$5:$A$100,0)),"NOT FOUND"))))))))</f>
        <v/>
      </c>
      <c r="H21" s="95">
        <f>IF(F21="","",IF(G21="NOT FOUND","—",IFERROR(INDEX(Listas!$J$5:$J$13,MATCH(LEFT(F21,FIND("-",F21)-1),Listas!$I$5:$I$13,0)),"Module / area")))</f>
        <v/>
      </c>
      <c r="I21" s="95">
        <f>IF(AND(B21="",F21=""),"",IF(OR(C21="NOT FOUND",G21="NOT FOUND"),"✖ ID inexistente",IF(B21=F21,"✖ Autorreferência",IF(E21="","✖ Sem relação","✔ OK"))))</f>
        <v/>
      </c>
      <c r="J21" s="93" t="n"/>
    </row>
    <row r="22" ht="15" customHeight="1" s="50">
      <c r="A22" s="93" t="inlineStr">
        <is>
          <t>DEP-018</t>
        </is>
      </c>
      <c r="B22" s="93" t="inlineStr">
        <is>
          <t>DASH-001</t>
        </is>
      </c>
      <c r="C22" s="95">
        <f>IF(B22="","",IFERROR(INDEX('Constants &amp; Enums'!$B$5:$B$200,MATCH(B22,'Constants &amp; Enums'!$A$5:$A$200,0)),IFERROR(INDEX('Metrics &amp; Formulas'!$B$5:$B$200,MATCH(B22,'Metrics &amp; Formulas'!$A$5:$A$200,0)),IFERROR(INDEX('Projections &amp; Dashboards'!$B$5:$B$200,MATCH(B22,'Projections &amp; Dashboards'!$A$5:$A$200,0)),IFERROR(INDEX(Funções!$O$5:$O$300,MATCH(B22,Funções!$A$5:$A$300,0)),IFERROR(INDEX(Telas!$C$5:$C$400,MATCH(B22,Telas!$A$5:$A$400,0)),IFERROR(INDEX(Roadmap!$D$6:$D$200,MATCH(B22,Roadmap!$A$6:$A$200,0)),IFERROR(INDEX(Modules!$C$5:$C$100,MATCH(B22,Modules!$A$5:$A$100,0)),"NOT FOUND"))))))))</f>
        <v/>
      </c>
      <c r="D22" s="95">
        <f>IF(B22="","",IF(C22="NOT FOUND","—",IFERROR(INDEX(Listas!$J$5:$J$13,MATCH(LEFT(B22,FIND("-",B22)-1),Listas!$I$5:$I$13,0)),"Module / area")))</f>
        <v/>
      </c>
      <c r="E22" s="93" t="inlineStr">
        <is>
          <t>reads from</t>
        </is>
      </c>
      <c r="F22" s="93" t="inlineStr">
        <is>
          <t>PROJ-001</t>
        </is>
      </c>
      <c r="G22" s="95">
        <f>IF(F22="","",IFERROR(INDEX('Constants &amp; Enums'!$B$5:$B$200,MATCH(F22,'Constants &amp; Enums'!$A$5:$A$200,0)),IFERROR(INDEX('Metrics &amp; Formulas'!$B$5:$B$200,MATCH(F22,'Metrics &amp; Formulas'!$A$5:$A$200,0)),IFERROR(INDEX('Projections &amp; Dashboards'!$B$5:$B$200,MATCH(F22,'Projections &amp; Dashboards'!$A$5:$A$200,0)),IFERROR(INDEX(Funções!$O$5:$O$300,MATCH(F22,Funções!$A$5:$A$300,0)),IFERROR(INDEX(Telas!$C$5:$C$400,MATCH(F22,Telas!$A$5:$A$400,0)),IFERROR(INDEX(Roadmap!$D$6:$D$200,MATCH(F22,Roadmap!$A$6:$A$200,0)),IFERROR(INDEX(Modules!$C$5:$C$100,MATCH(F22,Modules!$A$5:$A$100,0)),"NOT FOUND"))))))))</f>
        <v/>
      </c>
      <c r="H22" s="95">
        <f>IF(F22="","",IF(G22="NOT FOUND","—",IFERROR(INDEX(Listas!$J$5:$J$13,MATCH(LEFT(F22,FIND("-",F22)-1),Listas!$I$5:$I$13,0)),"Module / area")))</f>
        <v/>
      </c>
      <c r="I22" s="95">
        <f>IF(AND(B22="",F22=""),"",IF(OR(C22="NOT FOUND",G22="NOT FOUND"),"✖ ID inexistente",IF(B22=F22,"✖ Autorreferência",IF(E22="","✖ Sem relação","✔ OK"))))</f>
        <v/>
      </c>
      <c r="J22" s="93" t="inlineStr">
        <is>
          <t>Projection widgets must be labelled.</t>
        </is>
      </c>
    </row>
    <row r="23" ht="28.35" customHeight="1" s="50">
      <c r="A23" s="93" t="inlineStr">
        <is>
          <t>DEP-019</t>
        </is>
      </c>
      <c r="B23" s="93" t="inlineStr">
        <is>
          <t>DASH-001</t>
        </is>
      </c>
      <c r="C23" s="95">
        <f>IF(B23="","",IFERROR(INDEX('Constants &amp; Enums'!$B$5:$B$200,MATCH(B23,'Constants &amp; Enums'!$A$5:$A$200,0)),IFERROR(INDEX('Metrics &amp; Formulas'!$B$5:$B$200,MATCH(B23,'Metrics &amp; Formulas'!$A$5:$A$200,0)),IFERROR(INDEX('Projections &amp; Dashboards'!$B$5:$B$200,MATCH(B23,'Projections &amp; Dashboards'!$A$5:$A$200,0)),IFERROR(INDEX(Funções!$O$5:$O$300,MATCH(B23,Funções!$A$5:$A$300,0)),IFERROR(INDEX(Telas!$C$5:$C$400,MATCH(B23,Telas!$A$5:$A$400,0)),IFERROR(INDEX(Roadmap!$D$6:$D$200,MATCH(B23,Roadmap!$A$6:$A$200,0)),IFERROR(INDEX(Modules!$C$5:$C$100,MATCH(B23,Modules!$A$5:$A$100,0)),"NOT FOUND"))))))))</f>
        <v/>
      </c>
      <c r="D23" s="95">
        <f>IF(B23="","",IF(C23="NOT FOUND","—",IFERROR(INDEX(Listas!$J$5:$J$13,MATCH(LEFT(B23,FIND("-",B23)-1),Listas!$I$5:$I$13,0)),"Module / area")))</f>
        <v/>
      </c>
      <c r="E23" s="93" t="inlineStr">
        <is>
          <t>depends on</t>
        </is>
      </c>
      <c r="F23" s="93" t="inlineStr">
        <is>
          <t>RM-017</t>
        </is>
      </c>
      <c r="G23" s="95">
        <f>IF(F23="","",IFERROR(INDEX('Constants &amp; Enums'!$B$5:$B$200,MATCH(F23,'Constants &amp; Enums'!$A$5:$A$200,0)),IFERROR(INDEX('Metrics &amp; Formulas'!$B$5:$B$200,MATCH(F23,'Metrics &amp; Formulas'!$A$5:$A$200,0)),IFERROR(INDEX('Projections &amp; Dashboards'!$B$5:$B$200,MATCH(F23,'Projections &amp; Dashboards'!$A$5:$A$200,0)),IFERROR(INDEX(Funções!$O$5:$O$300,MATCH(F23,Funções!$A$5:$A$300,0)),IFERROR(INDEX(Telas!$C$5:$C$400,MATCH(F23,Telas!$A$5:$A$400,0)),IFERROR(INDEX(Roadmap!$D$6:$D$200,MATCH(F23,Roadmap!$A$6:$A$200,0)),IFERROR(INDEX(Modules!$C$5:$C$100,MATCH(F23,Modules!$A$5:$A$100,0)),"NOT FOUND"))))))))</f>
        <v/>
      </c>
      <c r="H23" s="95">
        <f>IF(F23="","",IF(G23="NOT FOUND","—",IFERROR(INDEX(Listas!$J$5:$J$13,MATCH(LEFT(F23,FIND("-",F23)-1),Listas!$I$5:$I$13,0)),"Module / area")))</f>
        <v/>
      </c>
      <c r="I23" s="95">
        <f>IF(AND(B23="",F23=""),"",IF(OR(C23="NOT FOUND",G23="NOT FOUND"),"✖ ID inexistente",IF(B23=F23,"✖ Autorreferência",IF(E23="","✖ Sem relação","✔ OK"))))</f>
        <v/>
      </c>
      <c r="J23" s="93" t="inlineStr">
        <is>
          <t>Kalkulisto read models.</t>
        </is>
      </c>
    </row>
    <row r="24" ht="15" customHeight="1" s="50">
      <c r="A24" s="93" t="inlineStr">
        <is>
          <t>DEP-020</t>
        </is>
      </c>
      <c r="B24" s="93" t="inlineStr">
        <is>
          <t>DASH-002</t>
        </is>
      </c>
      <c r="C24" s="95">
        <f>IF(B24="","",IFERROR(INDEX('Constants &amp; Enums'!$B$5:$B$200,MATCH(B24,'Constants &amp; Enums'!$A$5:$A$200,0)),IFERROR(INDEX('Metrics &amp; Formulas'!$B$5:$B$200,MATCH(B24,'Metrics &amp; Formulas'!$A$5:$A$200,0)),IFERROR(INDEX('Projections &amp; Dashboards'!$B$5:$B$200,MATCH(B24,'Projections &amp; Dashboards'!$A$5:$A$200,0)),IFERROR(INDEX(Funções!$O$5:$O$300,MATCH(B24,Funções!$A$5:$A$300,0)),IFERROR(INDEX(Telas!$C$5:$C$400,MATCH(B24,Telas!$A$5:$A$400,0)),IFERROR(INDEX(Roadmap!$D$6:$D$200,MATCH(B24,Roadmap!$A$6:$A$200,0)),IFERROR(INDEX(Modules!$C$5:$C$100,MATCH(B24,Modules!$A$5:$A$100,0)),"NOT FOUND"))))))))</f>
        <v/>
      </c>
      <c r="D24" s="95">
        <f>IF(B24="","",IF(C24="NOT FOUND","—",IFERROR(INDEX(Listas!$J$5:$J$13,MATCH(LEFT(B24,FIND("-",B24)-1),Listas!$I$5:$I$13,0)),"Module / area")))</f>
        <v/>
      </c>
      <c r="E24" s="93" t="inlineStr">
        <is>
          <t>reads from</t>
        </is>
      </c>
      <c r="F24" s="93" t="inlineStr">
        <is>
          <t>ENUM-004</t>
        </is>
      </c>
      <c r="G24" s="95">
        <f>IF(F24="","",IFERROR(INDEX('Constants &amp; Enums'!$B$5:$B$200,MATCH(F24,'Constants &amp; Enums'!$A$5:$A$200,0)),IFERROR(INDEX('Metrics &amp; Formulas'!$B$5:$B$200,MATCH(F24,'Metrics &amp; Formulas'!$A$5:$A$200,0)),IFERROR(INDEX('Projections &amp; Dashboards'!$B$5:$B$200,MATCH(F24,'Projections &amp; Dashboards'!$A$5:$A$200,0)),IFERROR(INDEX(Funções!$O$5:$O$300,MATCH(F24,Funções!$A$5:$A$300,0)),IFERROR(INDEX(Telas!$C$5:$C$400,MATCH(F24,Telas!$A$5:$A$400,0)),IFERROR(INDEX(Roadmap!$D$6:$D$200,MATCH(F24,Roadmap!$A$6:$A$200,0)),IFERROR(INDEX(Modules!$C$5:$C$100,MATCH(F24,Modules!$A$5:$A$100,0)),"NOT FOUND"))))))))</f>
        <v/>
      </c>
      <c r="H24" s="95">
        <f>IF(F24="","",IF(G24="NOT FOUND","—",IFERROR(INDEX(Listas!$J$5:$J$13,MATCH(LEFT(F24,FIND("-",F24)-1),Listas!$I$5:$I$13,0)),"Module / area")))</f>
        <v/>
      </c>
      <c r="I24" s="95">
        <f>IF(AND(B24="",F24=""),"",IF(OR(C24="NOT FOUND",G24="NOT FOUND"),"✖ ID inexistente",IF(B24=F24,"✖ Autorreferência",IF(E24="","✖ Sem relação","✔ OK"))))</f>
        <v/>
      </c>
      <c r="J24" s="93" t="n"/>
    </row>
    <row r="25" ht="41.75" customHeight="1" s="50">
      <c r="A25" s="93" t="inlineStr">
        <is>
          <t>DEP-021</t>
        </is>
      </c>
      <c r="B25" s="93" t="inlineStr">
        <is>
          <t>DASH-002</t>
        </is>
      </c>
      <c r="C25" s="95">
        <f>IF(B25="","",IFERROR(INDEX('Constants &amp; Enums'!$B$5:$B$200,MATCH(B25,'Constants &amp; Enums'!$A$5:$A$200,0)),IFERROR(INDEX('Metrics &amp; Formulas'!$B$5:$B$200,MATCH(B25,'Metrics &amp; Formulas'!$A$5:$A$200,0)),IFERROR(INDEX('Projections &amp; Dashboards'!$B$5:$B$200,MATCH(B25,'Projections &amp; Dashboards'!$A$5:$A$200,0)),IFERROR(INDEX(Funções!$O$5:$O$300,MATCH(B25,Funções!$A$5:$A$300,0)),IFERROR(INDEX(Telas!$C$5:$C$400,MATCH(B25,Telas!$A$5:$A$400,0)),IFERROR(INDEX(Roadmap!$D$6:$D$200,MATCH(B25,Roadmap!$A$6:$A$200,0)),IFERROR(INDEX(Modules!$C$5:$C$100,MATCH(B25,Modules!$A$5:$A$100,0)),"NOT FOUND"))))))))</f>
        <v/>
      </c>
      <c r="D25" s="95">
        <f>IF(B25="","",IF(C25="NOT FOUND","—",IFERROR(INDEX(Listas!$J$5:$J$13,MATCH(LEFT(B25,FIND("-",B25)-1),Listas!$I$5:$I$13,0)),"Module / area")))</f>
        <v/>
      </c>
      <c r="E25" s="93" t="inlineStr">
        <is>
          <t>depends on</t>
        </is>
      </c>
      <c r="F25" s="93" t="inlineStr">
        <is>
          <t>RM-015</t>
        </is>
      </c>
      <c r="G25" s="95">
        <f>IF(F25="","",IFERROR(INDEX('Constants &amp; Enums'!$B$5:$B$200,MATCH(F25,'Constants &amp; Enums'!$A$5:$A$200,0)),IFERROR(INDEX('Metrics &amp; Formulas'!$B$5:$B$200,MATCH(F25,'Metrics &amp; Formulas'!$A$5:$A$200,0)),IFERROR(INDEX('Projections &amp; Dashboards'!$B$5:$B$200,MATCH(F25,'Projections &amp; Dashboards'!$A$5:$A$200,0)),IFERROR(INDEX(Funções!$O$5:$O$300,MATCH(F25,Funções!$A$5:$A$300,0)),IFERROR(INDEX(Telas!$C$5:$C$400,MATCH(F25,Telas!$A$5:$A$400,0)),IFERROR(INDEX(Roadmap!$D$6:$D$200,MATCH(F25,Roadmap!$A$6:$A$200,0)),IFERROR(INDEX(Modules!$C$5:$C$100,MATCH(F25,Modules!$A$5:$A$100,0)),"NOT FOUND"))))))))</f>
        <v/>
      </c>
      <c r="H25" s="95">
        <f>IF(F25="","",IF(G25="NOT FOUND","—",IFERROR(INDEX(Listas!$J$5:$J$13,MATCH(LEFT(F25,FIND("-",F25)-1),Listas!$I$5:$I$13,0)),"Module / area")))</f>
        <v/>
      </c>
      <c r="I25" s="95">
        <f>IF(AND(B25="",F25=""),"",IF(OR(C25="NOT FOUND",G25="NOT FOUND"),"✖ ID inexistente",IF(B25=F25,"✖ Autorreferência",IF(E25="","✖ Sem relação","✔ OK"))))</f>
        <v/>
      </c>
      <c r="J25" s="93" t="inlineStr">
        <is>
          <t>Reconciliation model.</t>
        </is>
      </c>
    </row>
    <row r="26" ht="15" customHeight="1" s="50">
      <c r="A26" s="93" t="inlineStr">
        <is>
          <t>DEP-022</t>
        </is>
      </c>
      <c r="B26" s="93" t="inlineStr">
        <is>
          <t>POL-001</t>
        </is>
      </c>
      <c r="C26" s="95">
        <f>IF(B26="","",IFERROR(INDEX('Constants &amp; Enums'!$B$5:$B$200,MATCH(B26,'Constants &amp; Enums'!$A$5:$A$200,0)),IFERROR(INDEX('Metrics &amp; Formulas'!$B$5:$B$200,MATCH(B26,'Metrics &amp; Formulas'!$A$5:$A$200,0)),IFERROR(INDEX('Projections &amp; Dashboards'!$B$5:$B$200,MATCH(B26,'Projections &amp; Dashboards'!$A$5:$A$200,0)),IFERROR(INDEX(Funções!$O$5:$O$300,MATCH(B26,Funções!$A$5:$A$300,0)),IFERROR(INDEX(Telas!$C$5:$C$400,MATCH(B26,Telas!$A$5:$A$400,0)),IFERROR(INDEX(Roadmap!$D$6:$D$200,MATCH(B26,Roadmap!$A$6:$A$200,0)),IFERROR(INDEX(Modules!$C$5:$C$100,MATCH(B26,Modules!$A$5:$A$100,0)),"NOT FOUND"))))))))</f>
        <v/>
      </c>
      <c r="D26" s="95">
        <f>IF(B26="","",IF(C26="NOT FOUND","—",IFERROR(INDEX(Listas!$J$5:$J$13,MATCH(LEFT(B26,FIND("-",B26)-1),Listas!$I$5:$I$13,0)),"Module / area")))</f>
        <v/>
      </c>
      <c r="E26" s="93" t="inlineStr">
        <is>
          <t>governed by</t>
        </is>
      </c>
      <c r="F26" s="93" t="inlineStr">
        <is>
          <t>ENUM-003</t>
        </is>
      </c>
      <c r="G26" s="95">
        <f>IF(F26="","",IFERROR(INDEX('Constants &amp; Enums'!$B$5:$B$200,MATCH(F26,'Constants &amp; Enums'!$A$5:$A$200,0)),IFERROR(INDEX('Metrics &amp; Formulas'!$B$5:$B$200,MATCH(F26,'Metrics &amp; Formulas'!$A$5:$A$200,0)),IFERROR(INDEX('Projections &amp; Dashboards'!$B$5:$B$200,MATCH(F26,'Projections &amp; Dashboards'!$A$5:$A$200,0)),IFERROR(INDEX(Funções!$O$5:$O$300,MATCH(F26,Funções!$A$5:$A$300,0)),IFERROR(INDEX(Telas!$C$5:$C$400,MATCH(F26,Telas!$A$5:$A$400,0)),IFERROR(INDEX(Roadmap!$D$6:$D$200,MATCH(F26,Roadmap!$A$6:$A$200,0)),IFERROR(INDEX(Modules!$C$5:$C$100,MATCH(F26,Modules!$A$5:$A$100,0)),"NOT FOUND"))))))))</f>
        <v/>
      </c>
      <c r="H26" s="95">
        <f>IF(F26="","",IF(G26="NOT FOUND","—",IFERROR(INDEX(Listas!$J$5:$J$13,MATCH(LEFT(F26,FIND("-",F26)-1),Listas!$I$5:$I$13,0)),"Module / area")))</f>
        <v/>
      </c>
      <c r="I26" s="95">
        <f>IF(AND(B26="",F26=""),"",IF(OR(C26="NOT FOUND",G26="NOT FOUND"),"✖ ID inexistente",IF(B26=F26,"✖ Autorreferência",IF(E26="","✖ Sem relação","✔ OK"))))</f>
        <v/>
      </c>
      <c r="J26" s="93" t="n"/>
    </row>
    <row r="27" ht="15" customHeight="1" s="50">
      <c r="A27" s="93" t="inlineStr">
        <is>
          <t>DEP-023</t>
        </is>
      </c>
      <c r="B27" s="93" t="inlineStr">
        <is>
          <t>POL-002</t>
        </is>
      </c>
      <c r="C27" s="95">
        <f>IF(B27="","",IFERROR(INDEX('Constants &amp; Enums'!$B$5:$B$200,MATCH(B27,'Constants &amp; Enums'!$A$5:$A$200,0)),IFERROR(INDEX('Metrics &amp; Formulas'!$B$5:$B$200,MATCH(B27,'Metrics &amp; Formulas'!$A$5:$A$200,0)),IFERROR(INDEX('Projections &amp; Dashboards'!$B$5:$B$200,MATCH(B27,'Projections &amp; Dashboards'!$A$5:$A$200,0)),IFERROR(INDEX(Funções!$O$5:$O$300,MATCH(B27,Funções!$A$5:$A$300,0)),IFERROR(INDEX(Telas!$C$5:$C$400,MATCH(B27,Telas!$A$5:$A$400,0)),IFERROR(INDEX(Roadmap!$D$6:$D$200,MATCH(B27,Roadmap!$A$6:$A$200,0)),IFERROR(INDEX(Modules!$C$5:$C$100,MATCH(B27,Modules!$A$5:$A$100,0)),"NOT FOUND"))))))))</f>
        <v/>
      </c>
      <c r="D27" s="95">
        <f>IF(B27="","",IF(C27="NOT FOUND","—",IFERROR(INDEX(Listas!$J$5:$J$13,MATCH(LEFT(B27,FIND("-",B27)-1),Listas!$I$5:$I$13,0)),"Module / area")))</f>
        <v/>
      </c>
      <c r="E27" s="93" t="inlineStr">
        <is>
          <t>governed by</t>
        </is>
      </c>
      <c r="F27" s="93" t="inlineStr">
        <is>
          <t>CONST-001</t>
        </is>
      </c>
      <c r="G27" s="95">
        <f>IF(F27="","",IFERROR(INDEX('Constants &amp; Enums'!$B$5:$B$200,MATCH(F27,'Constants &amp; Enums'!$A$5:$A$200,0)),IFERROR(INDEX('Metrics &amp; Formulas'!$B$5:$B$200,MATCH(F27,'Metrics &amp; Formulas'!$A$5:$A$200,0)),IFERROR(INDEX('Projections &amp; Dashboards'!$B$5:$B$200,MATCH(F27,'Projections &amp; Dashboards'!$A$5:$A$200,0)),IFERROR(INDEX(Funções!$O$5:$O$300,MATCH(F27,Funções!$A$5:$A$300,0)),IFERROR(INDEX(Telas!$C$5:$C$400,MATCH(F27,Telas!$A$5:$A$400,0)),IFERROR(INDEX(Roadmap!$D$6:$D$200,MATCH(F27,Roadmap!$A$6:$A$200,0)),IFERROR(INDEX(Modules!$C$5:$C$100,MATCH(F27,Modules!$A$5:$A$100,0)),"NOT FOUND"))))))))</f>
        <v/>
      </c>
      <c r="H27" s="95">
        <f>IF(F27="","",IF(G27="NOT FOUND","—",IFERROR(INDEX(Listas!$J$5:$J$13,MATCH(LEFT(F27,FIND("-",F27)-1),Listas!$I$5:$I$13,0)),"Module / area")))</f>
        <v/>
      </c>
      <c r="I27" s="95">
        <f>IF(AND(B27="",F27=""),"",IF(OR(C27="NOT FOUND",G27="NOT FOUND"),"✖ ID inexistente",IF(B27=F27,"✖ Autorreferência",IF(E27="","✖ Sem relação","✔ OK"))))</f>
        <v/>
      </c>
      <c r="J27" s="93" t="n"/>
    </row>
    <row r="28" ht="15" customHeight="1" s="50">
      <c r="A28" s="93" t="inlineStr">
        <is>
          <t>DEP-024</t>
        </is>
      </c>
      <c r="B28" s="93" t="inlineStr">
        <is>
          <t>ENUM-001</t>
        </is>
      </c>
      <c r="C28" s="95">
        <f>IF(B28="","",IFERROR(INDEX('Constants &amp; Enums'!$B$5:$B$200,MATCH(B28,'Constants &amp; Enums'!$A$5:$A$200,0)),IFERROR(INDEX('Metrics &amp; Formulas'!$B$5:$B$200,MATCH(B28,'Metrics &amp; Formulas'!$A$5:$A$200,0)),IFERROR(INDEX('Projections &amp; Dashboards'!$B$5:$B$200,MATCH(B28,'Projections &amp; Dashboards'!$A$5:$A$200,0)),IFERROR(INDEX(Funções!$O$5:$O$300,MATCH(B28,Funções!$A$5:$A$300,0)),IFERROR(INDEX(Telas!$C$5:$C$400,MATCH(B28,Telas!$A$5:$A$400,0)),IFERROR(INDEX(Roadmap!$D$6:$D$200,MATCH(B28,Roadmap!$A$6:$A$200,0)),IFERROR(INDEX(Modules!$C$5:$C$100,MATCH(B28,Modules!$A$5:$A$100,0)),"NOT FOUND"))))))))</f>
        <v/>
      </c>
      <c r="D28" s="95">
        <f>IF(B28="","",IF(C28="NOT FOUND","—",IFERROR(INDEX(Listas!$J$5:$J$13,MATCH(LEFT(B28,FIND("-",B28)-1),Listas!$I$5:$I$13,0)),"Module / area")))</f>
        <v/>
      </c>
      <c r="E28" s="93" t="inlineStr">
        <is>
          <t>depends on</t>
        </is>
      </c>
      <c r="F28" s="93" t="inlineStr">
        <is>
          <t>ENUM-005</t>
        </is>
      </c>
      <c r="G28" s="95">
        <f>IF(F28="","",IFERROR(INDEX('Constants &amp; Enums'!$B$5:$B$200,MATCH(F28,'Constants &amp; Enums'!$A$5:$A$200,0)),IFERROR(INDEX('Metrics &amp; Formulas'!$B$5:$B$200,MATCH(F28,'Metrics &amp; Formulas'!$A$5:$A$200,0)),IFERROR(INDEX('Projections &amp; Dashboards'!$B$5:$B$200,MATCH(F28,'Projections &amp; Dashboards'!$A$5:$A$200,0)),IFERROR(INDEX(Funções!$O$5:$O$300,MATCH(F28,Funções!$A$5:$A$300,0)),IFERROR(INDEX(Telas!$C$5:$C$400,MATCH(F28,Telas!$A$5:$A$400,0)),IFERROR(INDEX(Roadmap!$D$6:$D$200,MATCH(F28,Roadmap!$A$6:$A$200,0)),IFERROR(INDEX(Modules!$C$5:$C$100,MATCH(F28,Modules!$A$5:$A$100,0)),"NOT FOUND"))))))))</f>
        <v/>
      </c>
      <c r="H28" s="95">
        <f>IF(F28="","",IF(G28="NOT FOUND","—",IFERROR(INDEX(Listas!$J$5:$J$13,MATCH(LEFT(F28,FIND("-",F28)-1),Listas!$I$5:$I$13,0)),"Module / area")))</f>
        <v/>
      </c>
      <c r="I28" s="95">
        <f>IF(AND(B28="",F28=""),"",IF(OR(C28="NOT FOUND",G28="NOT FOUND"),"✖ ID inexistente",IF(B28=F28,"✖ Autorreferência",IF(E28="","✖ Sem relação","✔ OK"))))</f>
        <v/>
      </c>
      <c r="J28" s="93" t="inlineStr">
        <is>
          <t>Emits registered event codes.</t>
        </is>
      </c>
    </row>
    <row r="29" ht="41.75" customHeight="1" s="50">
      <c r="A29" s="93" t="inlineStr">
        <is>
          <t>DEP-025</t>
        </is>
      </c>
      <c r="B29" s="93" t="inlineStr">
        <is>
          <t>ENUM-002</t>
        </is>
      </c>
      <c r="C29" s="95">
        <f>IF(B29="","",IFERROR(INDEX('Constants &amp; Enums'!$B$5:$B$200,MATCH(B29,'Constants &amp; Enums'!$A$5:$A$200,0)),IFERROR(INDEX('Metrics &amp; Formulas'!$B$5:$B$200,MATCH(B29,'Metrics &amp; Formulas'!$A$5:$A$200,0)),IFERROR(INDEX('Projections &amp; Dashboards'!$B$5:$B$200,MATCH(B29,'Projections &amp; Dashboards'!$A$5:$A$200,0)),IFERROR(INDEX(Funções!$O$5:$O$300,MATCH(B29,Funções!$A$5:$A$300,0)),IFERROR(INDEX(Telas!$C$5:$C$400,MATCH(B29,Telas!$A$5:$A$400,0)),IFERROR(INDEX(Roadmap!$D$6:$D$200,MATCH(B29,Roadmap!$A$6:$A$200,0)),IFERROR(INDEX(Modules!$C$5:$C$100,MATCH(B29,Modules!$A$5:$A$100,0)),"NOT FOUND"))))))))</f>
        <v/>
      </c>
      <c r="D29" s="95">
        <f>IF(B29="","",IF(C29="NOT FOUND","—",IFERROR(INDEX(Listas!$J$5:$J$13,MATCH(LEFT(B29,FIND("-",B29)-1),Listas!$I$5:$I$13,0)),"Module / area")))</f>
        <v/>
      </c>
      <c r="E29" s="93" t="inlineStr">
        <is>
          <t>depends on</t>
        </is>
      </c>
      <c r="F29" s="93" t="inlineStr">
        <is>
          <t>RM-014</t>
        </is>
      </c>
      <c r="G29" s="95">
        <f>IF(F29="","",IFERROR(INDEX('Constants &amp; Enums'!$B$5:$B$200,MATCH(F29,'Constants &amp; Enums'!$A$5:$A$200,0)),IFERROR(INDEX('Metrics &amp; Formulas'!$B$5:$B$200,MATCH(F29,'Metrics &amp; Formulas'!$A$5:$A$200,0)),IFERROR(INDEX('Projections &amp; Dashboards'!$B$5:$B$200,MATCH(F29,'Projections &amp; Dashboards'!$A$5:$A$200,0)),IFERROR(INDEX(Funções!$O$5:$O$300,MATCH(F29,Funções!$A$5:$A$300,0)),IFERROR(INDEX(Telas!$C$5:$C$400,MATCH(F29,Telas!$A$5:$A$400,0)),IFERROR(INDEX(Roadmap!$D$6:$D$200,MATCH(F29,Roadmap!$A$6:$A$200,0)),IFERROR(INDEX(Modules!$C$5:$C$100,MATCH(F29,Modules!$A$5:$A$100,0)),"NOT FOUND"))))))))</f>
        <v/>
      </c>
      <c r="H29" s="95">
        <f>IF(F29="","",IF(G29="NOT FOUND","—",IFERROR(INDEX(Listas!$J$5:$J$13,MATCH(LEFT(F29,FIND("-",F29)-1),Listas!$I$5:$I$13,0)),"Module / area")))</f>
        <v/>
      </c>
      <c r="I29" s="95">
        <f>IF(AND(B29="",F29=""),"",IF(OR(C29="NOT FOUND",G29="NOT FOUND"),"✖ ID inexistente",IF(B29=F29,"✖ Autorreferência",IF(E29="","✖ Sem relação","✔ OK"))))</f>
        <v/>
      </c>
      <c r="J29" s="93" t="n"/>
    </row>
    <row r="30" ht="41.75" customHeight="1" s="50">
      <c r="A30" s="93" t="inlineStr">
        <is>
          <t>DEP-026</t>
        </is>
      </c>
      <c r="B30" s="93" t="inlineStr">
        <is>
          <t>ENUM-004</t>
        </is>
      </c>
      <c r="C30" s="95">
        <f>IF(B30="","",IFERROR(INDEX('Constants &amp; Enums'!$B$5:$B$200,MATCH(B30,'Constants &amp; Enums'!$A$5:$A$200,0)),IFERROR(INDEX('Metrics &amp; Formulas'!$B$5:$B$200,MATCH(B30,'Metrics &amp; Formulas'!$A$5:$A$200,0)),IFERROR(INDEX('Projections &amp; Dashboards'!$B$5:$B$200,MATCH(B30,'Projections &amp; Dashboards'!$A$5:$A$200,0)),IFERROR(INDEX(Funções!$O$5:$O$300,MATCH(B30,Funções!$A$5:$A$300,0)),IFERROR(INDEX(Telas!$C$5:$C$400,MATCH(B30,Telas!$A$5:$A$400,0)),IFERROR(INDEX(Roadmap!$D$6:$D$200,MATCH(B30,Roadmap!$A$6:$A$200,0)),IFERROR(INDEX(Modules!$C$5:$C$100,MATCH(B30,Modules!$A$5:$A$100,0)),"NOT FOUND"))))))))</f>
        <v/>
      </c>
      <c r="D30" s="95">
        <f>IF(B30="","",IF(C30="NOT FOUND","—",IFERROR(INDEX(Listas!$J$5:$J$13,MATCH(LEFT(B30,FIND("-",B30)-1),Listas!$I$5:$I$13,0)),"Module / area")))</f>
        <v/>
      </c>
      <c r="E30" s="93" t="inlineStr">
        <is>
          <t>depends on</t>
        </is>
      </c>
      <c r="F30" s="93" t="inlineStr">
        <is>
          <t>RM-015</t>
        </is>
      </c>
      <c r="G30" s="95">
        <f>IF(F30="","",IFERROR(INDEX('Constants &amp; Enums'!$B$5:$B$200,MATCH(F30,'Constants &amp; Enums'!$A$5:$A$200,0)),IFERROR(INDEX('Metrics &amp; Formulas'!$B$5:$B$200,MATCH(F30,'Metrics &amp; Formulas'!$A$5:$A$200,0)),IFERROR(INDEX('Projections &amp; Dashboards'!$B$5:$B$200,MATCH(F30,'Projections &amp; Dashboards'!$A$5:$A$200,0)),IFERROR(INDEX(Funções!$O$5:$O$300,MATCH(F30,Funções!$A$5:$A$300,0)),IFERROR(INDEX(Telas!$C$5:$C$400,MATCH(F30,Telas!$A$5:$A$400,0)),IFERROR(INDEX(Roadmap!$D$6:$D$200,MATCH(F30,Roadmap!$A$6:$A$200,0)),IFERROR(INDEX(Modules!$C$5:$C$100,MATCH(F30,Modules!$A$5:$A$100,0)),"NOT FOUND"))))))))</f>
        <v/>
      </c>
      <c r="H30" s="95">
        <f>IF(F30="","",IF(G30="NOT FOUND","—",IFERROR(INDEX(Listas!$J$5:$J$13,MATCH(LEFT(F30,FIND("-",F30)-1),Listas!$I$5:$I$13,0)),"Module / area")))</f>
        <v/>
      </c>
      <c r="I30" s="95">
        <f>IF(AND(B30="",F30=""),"",IF(OR(C30="NOT FOUND",G30="NOT FOUND"),"✖ ID inexistente",IF(B30=F30,"✖ Autorreferência",IF(E30="","✖ Sem relação","✔ OK"))))</f>
        <v/>
      </c>
      <c r="J30" s="93" t="n"/>
    </row>
    <row r="31" ht="41.75" customHeight="1" s="50">
      <c r="A31" s="93" t="inlineStr">
        <is>
          <t>DEP-027</t>
        </is>
      </c>
      <c r="B31" s="93" t="inlineStr">
        <is>
          <t>CONST-002</t>
        </is>
      </c>
      <c r="C31" s="95">
        <f>IF(B31="","",IFERROR(INDEX('Constants &amp; Enums'!$B$5:$B$200,MATCH(B31,'Constants &amp; Enums'!$A$5:$A$200,0)),IFERROR(INDEX('Metrics &amp; Formulas'!$B$5:$B$200,MATCH(B31,'Metrics &amp; Formulas'!$A$5:$A$200,0)),IFERROR(INDEX('Projections &amp; Dashboards'!$B$5:$B$200,MATCH(B31,'Projections &amp; Dashboards'!$A$5:$A$200,0)),IFERROR(INDEX(Funções!$O$5:$O$300,MATCH(B31,Funções!$A$5:$A$300,0)),IFERROR(INDEX(Telas!$C$5:$C$400,MATCH(B31,Telas!$A$5:$A$400,0)),IFERROR(INDEX(Roadmap!$D$6:$D$200,MATCH(B31,Roadmap!$A$6:$A$200,0)),IFERROR(INDEX(Modules!$C$5:$C$100,MATCH(B31,Modules!$A$5:$A$100,0)),"NOT FOUND"))))))))</f>
        <v/>
      </c>
      <c r="D31" s="95">
        <f>IF(B31="","",IF(C31="NOT FOUND","—",IFERROR(INDEX(Listas!$J$5:$J$13,MATCH(LEFT(B31,FIND("-",B31)-1),Listas!$I$5:$I$13,0)),"Module / area")))</f>
        <v/>
      </c>
      <c r="E31" s="93" t="inlineStr">
        <is>
          <t>depends on</t>
        </is>
      </c>
      <c r="F31" s="93" t="inlineStr">
        <is>
          <t>RM-013</t>
        </is>
      </c>
      <c r="G31" s="95">
        <f>IF(F31="","",IFERROR(INDEX('Constants &amp; Enums'!$B$5:$B$200,MATCH(F31,'Constants &amp; Enums'!$A$5:$A$200,0)),IFERROR(INDEX('Metrics &amp; Formulas'!$B$5:$B$200,MATCH(F31,'Metrics &amp; Formulas'!$A$5:$A$200,0)),IFERROR(INDEX('Projections &amp; Dashboards'!$B$5:$B$200,MATCH(F31,'Projections &amp; Dashboards'!$A$5:$A$200,0)),IFERROR(INDEX(Funções!$O$5:$O$300,MATCH(F31,Funções!$A$5:$A$300,0)),IFERROR(INDEX(Telas!$C$5:$C$400,MATCH(F31,Telas!$A$5:$A$400,0)),IFERROR(INDEX(Roadmap!$D$6:$D$200,MATCH(F31,Roadmap!$A$6:$A$200,0)),IFERROR(INDEX(Modules!$C$5:$C$100,MATCH(F31,Modules!$A$5:$A$100,0)),"NOT FOUND"))))))))</f>
        <v/>
      </c>
      <c r="H31" s="95">
        <f>IF(F31="","",IF(G31="NOT FOUND","—",IFERROR(INDEX(Listas!$J$5:$J$13,MATCH(LEFT(F31,FIND("-",F31)-1),Listas!$I$5:$I$13,0)),"Module / area")))</f>
        <v/>
      </c>
      <c r="I31" s="95">
        <f>IF(AND(B31="",F31=""),"",IF(OR(C31="NOT FOUND",G31="NOT FOUND"),"✖ ID inexistente",IF(B31=F31,"✖ Autorreferência",IF(E31="","✖ Sem relação","✔ OK"))))</f>
        <v/>
      </c>
      <c r="J31" s="93" t="inlineStr">
        <is>
          <t>TigerBeetle stays the ledger authority.</t>
        </is>
      </c>
    </row>
    <row r="32" ht="28.35" customHeight="1" s="50">
      <c r="A32" s="93" t="inlineStr">
        <is>
          <t>DEP-028</t>
        </is>
      </c>
      <c r="B32" s="93" t="inlineStr">
        <is>
          <t>DASH-001</t>
        </is>
      </c>
      <c r="C32" s="95">
        <f>IF(B32="","",IFERROR(INDEX('Constants &amp; Enums'!$B$5:$B$200,MATCH(B32,'Constants &amp; Enums'!$A$5:$A$200,0)),IFERROR(INDEX('Metrics &amp; Formulas'!$B$5:$B$200,MATCH(B32,'Metrics &amp; Formulas'!$A$5:$A$200,0)),IFERROR(INDEX('Projections &amp; Dashboards'!$B$5:$B$200,MATCH(B32,'Projections &amp; Dashboards'!$A$5:$A$200,0)),IFERROR(INDEX(Funções!$O$5:$O$300,MATCH(B32,Funções!$A$5:$A$300,0)),IFERROR(INDEX(Telas!$C$5:$C$400,MATCH(B32,Telas!$A$5:$A$400,0)),IFERROR(INDEX(Roadmap!$D$6:$D$200,MATCH(B32,Roadmap!$A$6:$A$200,0)),IFERROR(INDEX(Modules!$C$5:$C$100,MATCH(B32,Modules!$A$5:$A$100,0)),"NOT FOUND"))))))))</f>
        <v/>
      </c>
      <c r="D32" s="95">
        <f>IF(B32="","",IF(C32="NOT FOUND","—",IFERROR(INDEX(Listas!$J$5:$J$13,MATCH(LEFT(B32,FIND("-",B32)-1),Listas!$I$5:$I$13,0)),"Module / area")))</f>
        <v/>
      </c>
      <c r="E32" s="93" t="inlineStr">
        <is>
          <t>displayed in</t>
        </is>
      </c>
      <c r="F32" s="93" t="inlineStr">
        <is>
          <t>T-170</t>
        </is>
      </c>
      <c r="G32" s="95">
        <f>IF(F32="","",IFERROR(INDEX('Constants &amp; Enums'!$B$5:$B$200,MATCH(F32,'Constants &amp; Enums'!$A$5:$A$200,0)),IFERROR(INDEX('Metrics &amp; Formulas'!$B$5:$B$200,MATCH(F32,'Metrics &amp; Formulas'!$A$5:$A$200,0)),IFERROR(INDEX('Projections &amp; Dashboards'!$B$5:$B$200,MATCH(F32,'Projections &amp; Dashboards'!$A$5:$A$200,0)),IFERROR(INDEX(Funções!$O$5:$O$300,MATCH(F32,Funções!$A$5:$A$300,0)),IFERROR(INDEX(Telas!$C$5:$C$400,MATCH(F32,Telas!$A$5:$A$400,0)),IFERROR(INDEX(Roadmap!$D$6:$D$200,MATCH(F32,Roadmap!$A$6:$A$200,0)),IFERROR(INDEX(Modules!$C$5:$C$100,MATCH(F32,Modules!$A$5:$A$100,0)),"NOT FOUND"))))))))</f>
        <v/>
      </c>
      <c r="H32" s="95">
        <f>IF(F32="","",IF(G32="NOT FOUND","—",IFERROR(INDEX(Listas!$J$5:$J$13,MATCH(LEFT(F32,FIND("-",F32)-1),Listas!$I$5:$I$13,0)),"Module / area")))</f>
        <v/>
      </c>
      <c r="I32" s="95">
        <f>IF(AND(B32="",F32=""),"",IF(OR(C32="NOT FOUND",G32="NOT FOUND"),"✖ ID inexistente",IF(B32=F32,"✖ Autorreferência",IF(E32="","✖ Sem relação","✔ OK"))))</f>
        <v/>
      </c>
      <c r="J32" s="93" t="inlineStr">
        <is>
          <t>Screen from legacy inventory (Painel contábil) — confirm it is the same screen.</t>
        </is>
      </c>
    </row>
    <row r="33" ht="15" customHeight="1" s="50">
      <c r="A33" s="93" t="n"/>
      <c r="B33" s="93" t="n"/>
      <c r="C33" s="95">
        <f>IF(B33="","",IFERROR(INDEX('Constants &amp; Enums'!$B$5:$B$200,MATCH(B33,'Constants &amp; Enums'!$A$5:$A$200,0)),IFERROR(INDEX('Metrics &amp; Formulas'!$B$5:$B$200,MATCH(B33,'Metrics &amp; Formulas'!$A$5:$A$200,0)),IFERROR(INDEX('Projections &amp; Dashboards'!$B$5:$B$200,MATCH(B33,'Projections &amp; Dashboards'!$A$5:$A$200,0)),IFERROR(INDEX(Funções!$O$5:$O$300,MATCH(B33,Funções!$A$5:$A$300,0)),IFERROR(INDEX(Telas!$C$5:$C$400,MATCH(B33,Telas!$A$5:$A$400,0)),IFERROR(INDEX(Roadmap!$D$6:$D$200,MATCH(B33,Roadmap!$A$6:$A$200,0)),IFERROR(INDEX(Modules!$C$5:$C$100,MATCH(B33,Modules!$A$5:$A$100,0)),"NOT FOUND"))))))))</f>
        <v/>
      </c>
      <c r="D33" s="95">
        <f>IF(B33="","",IF(C33="NOT FOUND","—",IFERROR(INDEX(Listas!$J$5:$J$13,MATCH(LEFT(B33,FIND("-",B33)-1),Listas!$I$5:$I$13,0)),"Module / area")))</f>
        <v/>
      </c>
      <c r="E33" s="93" t="n"/>
      <c r="F33" s="93" t="n"/>
      <c r="G33" s="95">
        <f>IF(F33="","",IFERROR(INDEX('Constants &amp; Enums'!$B$5:$B$200,MATCH(F33,'Constants &amp; Enums'!$A$5:$A$200,0)),IFERROR(INDEX('Metrics &amp; Formulas'!$B$5:$B$200,MATCH(F33,'Metrics &amp; Formulas'!$A$5:$A$200,0)),IFERROR(INDEX('Projections &amp; Dashboards'!$B$5:$B$200,MATCH(F33,'Projections &amp; Dashboards'!$A$5:$A$200,0)),IFERROR(INDEX(Funções!$O$5:$O$300,MATCH(F33,Funções!$A$5:$A$300,0)),IFERROR(INDEX(Telas!$C$5:$C$400,MATCH(F33,Telas!$A$5:$A$400,0)),IFERROR(INDEX(Roadmap!$D$6:$D$200,MATCH(F33,Roadmap!$A$6:$A$200,0)),IFERROR(INDEX(Modules!$C$5:$C$100,MATCH(F33,Modules!$A$5:$A$100,0)),"NOT FOUND"))))))))</f>
        <v/>
      </c>
      <c r="H33" s="95">
        <f>IF(F33="","",IF(G33="NOT FOUND","—",IFERROR(INDEX(Listas!$J$5:$J$13,MATCH(LEFT(F33,FIND("-",F33)-1),Listas!$I$5:$I$13,0)),"Module / area")))</f>
        <v/>
      </c>
      <c r="I33" s="95">
        <f>IF(AND(B33="",F33=""),"",IF(OR(C33="NOT FOUND",G33="NOT FOUND"),"✖ ID inexistente",IF(B33=F33,"✖ Autorreferência",IF(E33="","✖ Sem relação","✔ OK"))))</f>
        <v/>
      </c>
      <c r="J33" s="93" t="n"/>
    </row>
    <row r="34" ht="15" customHeight="1" s="50">
      <c r="A34" s="93" t="n"/>
      <c r="B34" s="93" t="n"/>
      <c r="C34" s="95">
        <f>IF(B34="","",IFERROR(INDEX('Constants &amp; Enums'!$B$5:$B$200,MATCH(B34,'Constants &amp; Enums'!$A$5:$A$200,0)),IFERROR(INDEX('Metrics &amp; Formulas'!$B$5:$B$200,MATCH(B34,'Metrics &amp; Formulas'!$A$5:$A$200,0)),IFERROR(INDEX('Projections &amp; Dashboards'!$B$5:$B$200,MATCH(B34,'Projections &amp; Dashboards'!$A$5:$A$200,0)),IFERROR(INDEX(Funções!$O$5:$O$300,MATCH(B34,Funções!$A$5:$A$300,0)),IFERROR(INDEX(Telas!$C$5:$C$400,MATCH(B34,Telas!$A$5:$A$400,0)),IFERROR(INDEX(Roadmap!$D$6:$D$200,MATCH(B34,Roadmap!$A$6:$A$200,0)),IFERROR(INDEX(Modules!$C$5:$C$100,MATCH(B34,Modules!$A$5:$A$100,0)),"NOT FOUND"))))))))</f>
        <v/>
      </c>
      <c r="D34" s="95">
        <f>IF(B34="","",IF(C34="NOT FOUND","—",IFERROR(INDEX(Listas!$J$5:$J$13,MATCH(LEFT(B34,FIND("-",B34)-1),Listas!$I$5:$I$13,0)),"Module / area")))</f>
        <v/>
      </c>
      <c r="E34" s="93" t="n"/>
      <c r="F34" s="93" t="n"/>
      <c r="G34" s="95">
        <f>IF(F34="","",IFERROR(INDEX('Constants &amp; Enums'!$B$5:$B$200,MATCH(F34,'Constants &amp; Enums'!$A$5:$A$200,0)),IFERROR(INDEX('Metrics &amp; Formulas'!$B$5:$B$200,MATCH(F34,'Metrics &amp; Formulas'!$A$5:$A$200,0)),IFERROR(INDEX('Projections &amp; Dashboards'!$B$5:$B$200,MATCH(F34,'Projections &amp; Dashboards'!$A$5:$A$200,0)),IFERROR(INDEX(Funções!$O$5:$O$300,MATCH(F34,Funções!$A$5:$A$300,0)),IFERROR(INDEX(Telas!$C$5:$C$400,MATCH(F34,Telas!$A$5:$A$400,0)),IFERROR(INDEX(Roadmap!$D$6:$D$200,MATCH(F34,Roadmap!$A$6:$A$200,0)),IFERROR(INDEX(Modules!$C$5:$C$100,MATCH(F34,Modules!$A$5:$A$100,0)),"NOT FOUND"))))))))</f>
        <v/>
      </c>
      <c r="H34" s="95">
        <f>IF(F34="","",IF(G34="NOT FOUND","—",IFERROR(INDEX(Listas!$J$5:$J$13,MATCH(LEFT(F34,FIND("-",F34)-1),Listas!$I$5:$I$13,0)),"Module / area")))</f>
        <v/>
      </c>
      <c r="I34" s="95">
        <f>IF(AND(B34="",F34=""),"",IF(OR(C34="NOT FOUND",G34="NOT FOUND"),"✖ ID inexistente",IF(B34=F34,"✖ Autorreferência",IF(E34="","✖ Sem relação","✔ OK"))))</f>
        <v/>
      </c>
      <c r="J34" s="93" t="n"/>
    </row>
    <row r="35" ht="15" customHeight="1" s="50">
      <c r="A35" s="93" t="n"/>
      <c r="B35" s="93" t="n"/>
      <c r="C35" s="95">
        <f>IF(B35="","",IFERROR(INDEX('Constants &amp; Enums'!$B$5:$B$200,MATCH(B35,'Constants &amp; Enums'!$A$5:$A$200,0)),IFERROR(INDEX('Metrics &amp; Formulas'!$B$5:$B$200,MATCH(B35,'Metrics &amp; Formulas'!$A$5:$A$200,0)),IFERROR(INDEX('Projections &amp; Dashboards'!$B$5:$B$200,MATCH(B35,'Projections &amp; Dashboards'!$A$5:$A$200,0)),IFERROR(INDEX(Funções!$O$5:$O$300,MATCH(B35,Funções!$A$5:$A$300,0)),IFERROR(INDEX(Telas!$C$5:$C$400,MATCH(B35,Telas!$A$5:$A$400,0)),IFERROR(INDEX(Roadmap!$D$6:$D$200,MATCH(B35,Roadmap!$A$6:$A$200,0)),IFERROR(INDEX(Modules!$C$5:$C$100,MATCH(B35,Modules!$A$5:$A$100,0)),"NOT FOUND"))))))))</f>
        <v/>
      </c>
      <c r="D35" s="95">
        <f>IF(B35="","",IF(C35="NOT FOUND","—",IFERROR(INDEX(Listas!$J$5:$J$13,MATCH(LEFT(B35,FIND("-",B35)-1),Listas!$I$5:$I$13,0)),"Module / area")))</f>
        <v/>
      </c>
      <c r="E35" s="93" t="n"/>
      <c r="F35" s="93" t="n"/>
      <c r="G35" s="95">
        <f>IF(F35="","",IFERROR(INDEX('Constants &amp; Enums'!$B$5:$B$200,MATCH(F35,'Constants &amp; Enums'!$A$5:$A$200,0)),IFERROR(INDEX('Metrics &amp; Formulas'!$B$5:$B$200,MATCH(F35,'Metrics &amp; Formulas'!$A$5:$A$200,0)),IFERROR(INDEX('Projections &amp; Dashboards'!$B$5:$B$200,MATCH(F35,'Projections &amp; Dashboards'!$A$5:$A$200,0)),IFERROR(INDEX(Funções!$O$5:$O$300,MATCH(F35,Funções!$A$5:$A$300,0)),IFERROR(INDEX(Telas!$C$5:$C$400,MATCH(F35,Telas!$A$5:$A$400,0)),IFERROR(INDEX(Roadmap!$D$6:$D$200,MATCH(F35,Roadmap!$A$6:$A$200,0)),IFERROR(INDEX(Modules!$C$5:$C$100,MATCH(F35,Modules!$A$5:$A$100,0)),"NOT FOUND"))))))))</f>
        <v/>
      </c>
      <c r="H35" s="95">
        <f>IF(F35="","",IF(G35="NOT FOUND","—",IFERROR(INDEX(Listas!$J$5:$J$13,MATCH(LEFT(F35,FIND("-",F35)-1),Listas!$I$5:$I$13,0)),"Module / area")))</f>
        <v/>
      </c>
      <c r="I35" s="95">
        <f>IF(AND(B35="",F35=""),"",IF(OR(C35="NOT FOUND",G35="NOT FOUND"),"✖ ID inexistente",IF(B35=F35,"✖ Autorreferência",IF(E35="","✖ Sem relação","✔ OK"))))</f>
        <v/>
      </c>
      <c r="J35" s="93" t="n"/>
    </row>
    <row r="36" ht="15" customHeight="1" s="50">
      <c r="A36" s="93" t="n"/>
      <c r="B36" s="93" t="n"/>
      <c r="C36" s="95">
        <f>IF(B36="","",IFERROR(INDEX('Constants &amp; Enums'!$B$5:$B$200,MATCH(B36,'Constants &amp; Enums'!$A$5:$A$200,0)),IFERROR(INDEX('Metrics &amp; Formulas'!$B$5:$B$200,MATCH(B36,'Metrics &amp; Formulas'!$A$5:$A$200,0)),IFERROR(INDEX('Projections &amp; Dashboards'!$B$5:$B$200,MATCH(B36,'Projections &amp; Dashboards'!$A$5:$A$200,0)),IFERROR(INDEX(Funções!$O$5:$O$300,MATCH(B36,Funções!$A$5:$A$300,0)),IFERROR(INDEX(Telas!$C$5:$C$400,MATCH(B36,Telas!$A$5:$A$400,0)),IFERROR(INDEX(Roadmap!$D$6:$D$200,MATCH(B36,Roadmap!$A$6:$A$200,0)),IFERROR(INDEX(Modules!$C$5:$C$100,MATCH(B36,Modules!$A$5:$A$100,0)),"NOT FOUND"))))))))</f>
        <v/>
      </c>
      <c r="D36" s="95">
        <f>IF(B36="","",IF(C36="NOT FOUND","—",IFERROR(INDEX(Listas!$J$5:$J$13,MATCH(LEFT(B36,FIND("-",B36)-1),Listas!$I$5:$I$13,0)),"Module / area")))</f>
        <v/>
      </c>
      <c r="E36" s="93" t="n"/>
      <c r="F36" s="93" t="n"/>
      <c r="G36" s="95">
        <f>IF(F36="","",IFERROR(INDEX('Constants &amp; Enums'!$B$5:$B$200,MATCH(F36,'Constants &amp; Enums'!$A$5:$A$200,0)),IFERROR(INDEX('Metrics &amp; Formulas'!$B$5:$B$200,MATCH(F36,'Metrics &amp; Formulas'!$A$5:$A$200,0)),IFERROR(INDEX('Projections &amp; Dashboards'!$B$5:$B$200,MATCH(F36,'Projections &amp; Dashboards'!$A$5:$A$200,0)),IFERROR(INDEX(Funções!$O$5:$O$300,MATCH(F36,Funções!$A$5:$A$300,0)),IFERROR(INDEX(Telas!$C$5:$C$400,MATCH(F36,Telas!$A$5:$A$400,0)),IFERROR(INDEX(Roadmap!$D$6:$D$200,MATCH(F36,Roadmap!$A$6:$A$200,0)),IFERROR(INDEX(Modules!$C$5:$C$100,MATCH(F36,Modules!$A$5:$A$100,0)),"NOT FOUND"))))))))</f>
        <v/>
      </c>
      <c r="H36" s="95">
        <f>IF(F36="","",IF(G36="NOT FOUND","—",IFERROR(INDEX(Listas!$J$5:$J$13,MATCH(LEFT(F36,FIND("-",F36)-1),Listas!$I$5:$I$13,0)),"Module / area")))</f>
        <v/>
      </c>
      <c r="I36" s="95">
        <f>IF(AND(B36="",F36=""),"",IF(OR(C36="NOT FOUND",G36="NOT FOUND"),"✖ ID inexistente",IF(B36=F36,"✖ Autorreferência",IF(E36="","✖ Sem relação","✔ OK"))))</f>
        <v/>
      </c>
      <c r="J36" s="93" t="n"/>
    </row>
    <row r="37" ht="15" customHeight="1" s="50">
      <c r="A37" s="93" t="n"/>
      <c r="B37" s="93" t="n"/>
      <c r="C37" s="95">
        <f>IF(B37="","",IFERROR(INDEX('Constants &amp; Enums'!$B$5:$B$200,MATCH(B37,'Constants &amp; Enums'!$A$5:$A$200,0)),IFERROR(INDEX('Metrics &amp; Formulas'!$B$5:$B$200,MATCH(B37,'Metrics &amp; Formulas'!$A$5:$A$200,0)),IFERROR(INDEX('Projections &amp; Dashboards'!$B$5:$B$200,MATCH(B37,'Projections &amp; Dashboards'!$A$5:$A$200,0)),IFERROR(INDEX(Funções!$O$5:$O$300,MATCH(B37,Funções!$A$5:$A$300,0)),IFERROR(INDEX(Telas!$C$5:$C$400,MATCH(B37,Telas!$A$5:$A$400,0)),IFERROR(INDEX(Roadmap!$D$6:$D$200,MATCH(B37,Roadmap!$A$6:$A$200,0)),IFERROR(INDEX(Modules!$C$5:$C$100,MATCH(B37,Modules!$A$5:$A$100,0)),"NOT FOUND"))))))))</f>
        <v/>
      </c>
      <c r="D37" s="95">
        <f>IF(B37="","",IF(C37="NOT FOUND","—",IFERROR(INDEX(Listas!$J$5:$J$13,MATCH(LEFT(B37,FIND("-",B37)-1),Listas!$I$5:$I$13,0)),"Module / area")))</f>
        <v/>
      </c>
      <c r="E37" s="93" t="n"/>
      <c r="F37" s="93" t="n"/>
      <c r="G37" s="95">
        <f>IF(F37="","",IFERROR(INDEX('Constants &amp; Enums'!$B$5:$B$200,MATCH(F37,'Constants &amp; Enums'!$A$5:$A$200,0)),IFERROR(INDEX('Metrics &amp; Formulas'!$B$5:$B$200,MATCH(F37,'Metrics &amp; Formulas'!$A$5:$A$200,0)),IFERROR(INDEX('Projections &amp; Dashboards'!$B$5:$B$200,MATCH(F37,'Projections &amp; Dashboards'!$A$5:$A$200,0)),IFERROR(INDEX(Funções!$O$5:$O$300,MATCH(F37,Funções!$A$5:$A$300,0)),IFERROR(INDEX(Telas!$C$5:$C$400,MATCH(F37,Telas!$A$5:$A$400,0)),IFERROR(INDEX(Roadmap!$D$6:$D$200,MATCH(F37,Roadmap!$A$6:$A$200,0)),IFERROR(INDEX(Modules!$C$5:$C$100,MATCH(F37,Modules!$A$5:$A$100,0)),"NOT FOUND"))))))))</f>
        <v/>
      </c>
      <c r="H37" s="95">
        <f>IF(F37="","",IF(G37="NOT FOUND","—",IFERROR(INDEX(Listas!$J$5:$J$13,MATCH(LEFT(F37,FIND("-",F37)-1),Listas!$I$5:$I$13,0)),"Module / area")))</f>
        <v/>
      </c>
      <c r="I37" s="95">
        <f>IF(AND(B37="",F37=""),"",IF(OR(C37="NOT FOUND",G37="NOT FOUND"),"✖ ID inexistente",IF(B37=F37,"✖ Autorreferência",IF(E37="","✖ Sem relação","✔ OK"))))</f>
        <v/>
      </c>
      <c r="J37" s="93" t="n"/>
    </row>
    <row r="38" ht="15" customHeight="1" s="50">
      <c r="A38" s="93" t="n"/>
      <c r="B38" s="93" t="n"/>
      <c r="C38" s="95">
        <f>IF(B38="","",IFERROR(INDEX('Constants &amp; Enums'!$B$5:$B$200,MATCH(B38,'Constants &amp; Enums'!$A$5:$A$200,0)),IFERROR(INDEX('Metrics &amp; Formulas'!$B$5:$B$200,MATCH(B38,'Metrics &amp; Formulas'!$A$5:$A$200,0)),IFERROR(INDEX('Projections &amp; Dashboards'!$B$5:$B$200,MATCH(B38,'Projections &amp; Dashboards'!$A$5:$A$200,0)),IFERROR(INDEX(Funções!$O$5:$O$300,MATCH(B38,Funções!$A$5:$A$300,0)),IFERROR(INDEX(Telas!$C$5:$C$400,MATCH(B38,Telas!$A$5:$A$400,0)),IFERROR(INDEX(Roadmap!$D$6:$D$200,MATCH(B38,Roadmap!$A$6:$A$200,0)),IFERROR(INDEX(Modules!$C$5:$C$100,MATCH(B38,Modules!$A$5:$A$100,0)),"NOT FOUND"))))))))</f>
        <v/>
      </c>
      <c r="D38" s="95">
        <f>IF(B38="","",IF(C38="NOT FOUND","—",IFERROR(INDEX(Listas!$J$5:$J$13,MATCH(LEFT(B38,FIND("-",B38)-1),Listas!$I$5:$I$13,0)),"Module / area")))</f>
        <v/>
      </c>
      <c r="E38" s="93" t="n"/>
      <c r="F38" s="93" t="n"/>
      <c r="G38" s="95">
        <f>IF(F38="","",IFERROR(INDEX('Constants &amp; Enums'!$B$5:$B$200,MATCH(F38,'Constants &amp; Enums'!$A$5:$A$200,0)),IFERROR(INDEX('Metrics &amp; Formulas'!$B$5:$B$200,MATCH(F38,'Metrics &amp; Formulas'!$A$5:$A$200,0)),IFERROR(INDEX('Projections &amp; Dashboards'!$B$5:$B$200,MATCH(F38,'Projections &amp; Dashboards'!$A$5:$A$200,0)),IFERROR(INDEX(Funções!$O$5:$O$300,MATCH(F38,Funções!$A$5:$A$300,0)),IFERROR(INDEX(Telas!$C$5:$C$400,MATCH(F38,Telas!$A$5:$A$400,0)),IFERROR(INDEX(Roadmap!$D$6:$D$200,MATCH(F38,Roadmap!$A$6:$A$200,0)),IFERROR(INDEX(Modules!$C$5:$C$100,MATCH(F38,Modules!$A$5:$A$100,0)),"NOT FOUND"))))))))</f>
        <v/>
      </c>
      <c r="H38" s="95">
        <f>IF(F38="","",IF(G38="NOT FOUND","—",IFERROR(INDEX(Listas!$J$5:$J$13,MATCH(LEFT(F38,FIND("-",F38)-1),Listas!$I$5:$I$13,0)),"Module / area")))</f>
        <v/>
      </c>
      <c r="I38" s="95">
        <f>IF(AND(B38="",F38=""),"",IF(OR(C38="NOT FOUND",G38="NOT FOUND"),"✖ ID inexistente",IF(B38=F38,"✖ Autorreferência",IF(E38="","✖ Sem relação","✔ OK"))))</f>
        <v/>
      </c>
      <c r="J38" s="93" t="n"/>
    </row>
    <row r="39" ht="15" customHeight="1" s="50">
      <c r="A39" s="93" t="n"/>
      <c r="B39" s="93" t="n"/>
      <c r="C39" s="95">
        <f>IF(B39="","",IFERROR(INDEX('Constants &amp; Enums'!$B$5:$B$200,MATCH(B39,'Constants &amp; Enums'!$A$5:$A$200,0)),IFERROR(INDEX('Metrics &amp; Formulas'!$B$5:$B$200,MATCH(B39,'Metrics &amp; Formulas'!$A$5:$A$200,0)),IFERROR(INDEX('Projections &amp; Dashboards'!$B$5:$B$200,MATCH(B39,'Projections &amp; Dashboards'!$A$5:$A$200,0)),IFERROR(INDEX(Funções!$O$5:$O$300,MATCH(B39,Funções!$A$5:$A$300,0)),IFERROR(INDEX(Telas!$C$5:$C$400,MATCH(B39,Telas!$A$5:$A$400,0)),IFERROR(INDEX(Roadmap!$D$6:$D$200,MATCH(B39,Roadmap!$A$6:$A$200,0)),IFERROR(INDEX(Modules!$C$5:$C$100,MATCH(B39,Modules!$A$5:$A$100,0)),"NOT FOUND"))))))))</f>
        <v/>
      </c>
      <c r="D39" s="95">
        <f>IF(B39="","",IF(C39="NOT FOUND","—",IFERROR(INDEX(Listas!$J$5:$J$13,MATCH(LEFT(B39,FIND("-",B39)-1),Listas!$I$5:$I$13,0)),"Module / area")))</f>
        <v/>
      </c>
      <c r="E39" s="93" t="n"/>
      <c r="F39" s="93" t="n"/>
      <c r="G39" s="95">
        <f>IF(F39="","",IFERROR(INDEX('Constants &amp; Enums'!$B$5:$B$200,MATCH(F39,'Constants &amp; Enums'!$A$5:$A$200,0)),IFERROR(INDEX('Metrics &amp; Formulas'!$B$5:$B$200,MATCH(F39,'Metrics &amp; Formulas'!$A$5:$A$200,0)),IFERROR(INDEX('Projections &amp; Dashboards'!$B$5:$B$200,MATCH(F39,'Projections &amp; Dashboards'!$A$5:$A$200,0)),IFERROR(INDEX(Funções!$O$5:$O$300,MATCH(F39,Funções!$A$5:$A$300,0)),IFERROR(INDEX(Telas!$C$5:$C$400,MATCH(F39,Telas!$A$5:$A$400,0)),IFERROR(INDEX(Roadmap!$D$6:$D$200,MATCH(F39,Roadmap!$A$6:$A$200,0)),IFERROR(INDEX(Modules!$C$5:$C$100,MATCH(F39,Modules!$A$5:$A$100,0)),"NOT FOUND"))))))))</f>
        <v/>
      </c>
      <c r="H39" s="95">
        <f>IF(F39="","",IF(G39="NOT FOUND","—",IFERROR(INDEX(Listas!$J$5:$J$13,MATCH(LEFT(F39,FIND("-",F39)-1),Listas!$I$5:$I$13,0)),"Module / area")))</f>
        <v/>
      </c>
      <c r="I39" s="95">
        <f>IF(AND(B39="",F39=""),"",IF(OR(C39="NOT FOUND",G39="NOT FOUND"),"✖ ID inexistente",IF(B39=F39,"✖ Autorreferência",IF(E39="","✖ Sem relação","✔ OK"))))</f>
        <v/>
      </c>
      <c r="J39" s="93" t="n"/>
    </row>
    <row r="40" ht="15" customHeight="1" s="50">
      <c r="A40" s="93" t="n"/>
      <c r="B40" s="93" t="n"/>
      <c r="C40" s="95">
        <f>IF(B40="","",IFERROR(INDEX('Constants &amp; Enums'!$B$5:$B$200,MATCH(B40,'Constants &amp; Enums'!$A$5:$A$200,0)),IFERROR(INDEX('Metrics &amp; Formulas'!$B$5:$B$200,MATCH(B40,'Metrics &amp; Formulas'!$A$5:$A$200,0)),IFERROR(INDEX('Projections &amp; Dashboards'!$B$5:$B$200,MATCH(B40,'Projections &amp; Dashboards'!$A$5:$A$200,0)),IFERROR(INDEX(Funções!$O$5:$O$300,MATCH(B40,Funções!$A$5:$A$300,0)),IFERROR(INDEX(Telas!$C$5:$C$400,MATCH(B40,Telas!$A$5:$A$400,0)),IFERROR(INDEX(Roadmap!$D$6:$D$200,MATCH(B40,Roadmap!$A$6:$A$200,0)),IFERROR(INDEX(Modules!$C$5:$C$100,MATCH(B40,Modules!$A$5:$A$100,0)),"NOT FOUND"))))))))</f>
        <v/>
      </c>
      <c r="D40" s="95">
        <f>IF(B40="","",IF(C40="NOT FOUND","—",IFERROR(INDEX(Listas!$J$5:$J$13,MATCH(LEFT(B40,FIND("-",B40)-1),Listas!$I$5:$I$13,0)),"Module / area")))</f>
        <v/>
      </c>
      <c r="E40" s="93" t="n"/>
      <c r="F40" s="93" t="n"/>
      <c r="G40" s="95">
        <f>IF(F40="","",IFERROR(INDEX('Constants &amp; Enums'!$B$5:$B$200,MATCH(F40,'Constants &amp; Enums'!$A$5:$A$200,0)),IFERROR(INDEX('Metrics &amp; Formulas'!$B$5:$B$200,MATCH(F40,'Metrics &amp; Formulas'!$A$5:$A$200,0)),IFERROR(INDEX('Projections &amp; Dashboards'!$B$5:$B$200,MATCH(F40,'Projections &amp; Dashboards'!$A$5:$A$200,0)),IFERROR(INDEX(Funções!$O$5:$O$300,MATCH(F40,Funções!$A$5:$A$300,0)),IFERROR(INDEX(Telas!$C$5:$C$400,MATCH(F40,Telas!$A$5:$A$400,0)),IFERROR(INDEX(Roadmap!$D$6:$D$200,MATCH(F40,Roadmap!$A$6:$A$200,0)),IFERROR(INDEX(Modules!$C$5:$C$100,MATCH(F40,Modules!$A$5:$A$100,0)),"NOT FOUND"))))))))</f>
        <v/>
      </c>
      <c r="H40" s="95">
        <f>IF(F40="","",IF(G40="NOT FOUND","—",IFERROR(INDEX(Listas!$J$5:$J$13,MATCH(LEFT(F40,FIND("-",F40)-1),Listas!$I$5:$I$13,0)),"Module / area")))</f>
        <v/>
      </c>
      <c r="I40" s="95">
        <f>IF(AND(B40="",F40=""),"",IF(OR(C40="NOT FOUND",G40="NOT FOUND"),"✖ ID inexistente",IF(B40=F40,"✖ Autorreferência",IF(E40="","✖ Sem relação","✔ OK"))))</f>
        <v/>
      </c>
      <c r="J40" s="93" t="n"/>
    </row>
    <row r="41" ht="15" customHeight="1" s="50">
      <c r="A41" s="93" t="n"/>
      <c r="B41" s="93" t="n"/>
      <c r="C41" s="95">
        <f>IF(B41="","",IFERROR(INDEX('Constants &amp; Enums'!$B$5:$B$200,MATCH(B41,'Constants &amp; Enums'!$A$5:$A$200,0)),IFERROR(INDEX('Metrics &amp; Formulas'!$B$5:$B$200,MATCH(B41,'Metrics &amp; Formulas'!$A$5:$A$200,0)),IFERROR(INDEX('Projections &amp; Dashboards'!$B$5:$B$200,MATCH(B41,'Projections &amp; Dashboards'!$A$5:$A$200,0)),IFERROR(INDEX(Funções!$O$5:$O$300,MATCH(B41,Funções!$A$5:$A$300,0)),IFERROR(INDEX(Telas!$C$5:$C$400,MATCH(B41,Telas!$A$5:$A$400,0)),IFERROR(INDEX(Roadmap!$D$6:$D$200,MATCH(B41,Roadmap!$A$6:$A$200,0)),IFERROR(INDEX(Modules!$C$5:$C$100,MATCH(B41,Modules!$A$5:$A$100,0)),"NOT FOUND"))))))))</f>
        <v/>
      </c>
      <c r="D41" s="95">
        <f>IF(B41="","",IF(C41="NOT FOUND","—",IFERROR(INDEX(Listas!$J$5:$J$13,MATCH(LEFT(B41,FIND("-",B41)-1),Listas!$I$5:$I$13,0)),"Module / area")))</f>
        <v/>
      </c>
      <c r="E41" s="93" t="n"/>
      <c r="F41" s="93" t="n"/>
      <c r="G41" s="95">
        <f>IF(F41="","",IFERROR(INDEX('Constants &amp; Enums'!$B$5:$B$200,MATCH(F41,'Constants &amp; Enums'!$A$5:$A$200,0)),IFERROR(INDEX('Metrics &amp; Formulas'!$B$5:$B$200,MATCH(F41,'Metrics &amp; Formulas'!$A$5:$A$200,0)),IFERROR(INDEX('Projections &amp; Dashboards'!$B$5:$B$200,MATCH(F41,'Projections &amp; Dashboards'!$A$5:$A$200,0)),IFERROR(INDEX(Funções!$O$5:$O$300,MATCH(F41,Funções!$A$5:$A$300,0)),IFERROR(INDEX(Telas!$C$5:$C$400,MATCH(F41,Telas!$A$5:$A$400,0)),IFERROR(INDEX(Roadmap!$D$6:$D$200,MATCH(F41,Roadmap!$A$6:$A$200,0)),IFERROR(INDEX(Modules!$C$5:$C$100,MATCH(F41,Modules!$A$5:$A$100,0)),"NOT FOUND"))))))))</f>
        <v/>
      </c>
      <c r="H41" s="95">
        <f>IF(F41="","",IF(G41="NOT FOUND","—",IFERROR(INDEX(Listas!$J$5:$J$13,MATCH(LEFT(F41,FIND("-",F41)-1),Listas!$I$5:$I$13,0)),"Module / area")))</f>
        <v/>
      </c>
      <c r="I41" s="95">
        <f>IF(AND(B41="",F41=""),"",IF(OR(C41="NOT FOUND",G41="NOT FOUND"),"✖ ID inexistente",IF(B41=F41,"✖ Autorreferência",IF(E41="","✖ Sem relação","✔ OK"))))</f>
        <v/>
      </c>
      <c r="J41" s="93" t="n"/>
    </row>
    <row r="42" ht="15" customHeight="1" s="50">
      <c r="A42" s="93" t="n"/>
      <c r="B42" s="93" t="n"/>
      <c r="C42" s="95">
        <f>IF(B42="","",IFERROR(INDEX('Constants &amp; Enums'!$B$5:$B$200,MATCH(B42,'Constants &amp; Enums'!$A$5:$A$200,0)),IFERROR(INDEX('Metrics &amp; Formulas'!$B$5:$B$200,MATCH(B42,'Metrics &amp; Formulas'!$A$5:$A$200,0)),IFERROR(INDEX('Projections &amp; Dashboards'!$B$5:$B$200,MATCH(B42,'Projections &amp; Dashboards'!$A$5:$A$200,0)),IFERROR(INDEX(Funções!$O$5:$O$300,MATCH(B42,Funções!$A$5:$A$300,0)),IFERROR(INDEX(Telas!$C$5:$C$400,MATCH(B42,Telas!$A$5:$A$400,0)),IFERROR(INDEX(Roadmap!$D$6:$D$200,MATCH(B42,Roadmap!$A$6:$A$200,0)),IFERROR(INDEX(Modules!$C$5:$C$100,MATCH(B42,Modules!$A$5:$A$100,0)),"NOT FOUND"))))))))</f>
        <v/>
      </c>
      <c r="D42" s="95">
        <f>IF(B42="","",IF(C42="NOT FOUND","—",IFERROR(INDEX(Listas!$J$5:$J$13,MATCH(LEFT(B42,FIND("-",B42)-1),Listas!$I$5:$I$13,0)),"Module / area")))</f>
        <v/>
      </c>
      <c r="E42" s="93" t="n"/>
      <c r="F42" s="93" t="n"/>
      <c r="G42" s="95">
        <f>IF(F42="","",IFERROR(INDEX('Constants &amp; Enums'!$B$5:$B$200,MATCH(F42,'Constants &amp; Enums'!$A$5:$A$200,0)),IFERROR(INDEX('Metrics &amp; Formulas'!$B$5:$B$200,MATCH(F42,'Metrics &amp; Formulas'!$A$5:$A$200,0)),IFERROR(INDEX('Projections &amp; Dashboards'!$B$5:$B$200,MATCH(F42,'Projections &amp; Dashboards'!$A$5:$A$200,0)),IFERROR(INDEX(Funções!$O$5:$O$300,MATCH(F42,Funções!$A$5:$A$300,0)),IFERROR(INDEX(Telas!$C$5:$C$400,MATCH(F42,Telas!$A$5:$A$400,0)),IFERROR(INDEX(Roadmap!$D$6:$D$200,MATCH(F42,Roadmap!$A$6:$A$200,0)),IFERROR(INDEX(Modules!$C$5:$C$100,MATCH(F42,Modules!$A$5:$A$100,0)),"NOT FOUND"))))))))</f>
        <v/>
      </c>
      <c r="H42" s="95">
        <f>IF(F42="","",IF(G42="NOT FOUND","—",IFERROR(INDEX(Listas!$J$5:$J$13,MATCH(LEFT(F42,FIND("-",F42)-1),Listas!$I$5:$I$13,0)),"Module / area")))</f>
        <v/>
      </c>
      <c r="I42" s="95">
        <f>IF(AND(B42="",F42=""),"",IF(OR(C42="NOT FOUND",G42="NOT FOUND"),"✖ ID inexistente",IF(B42=F42,"✖ Autorreferência",IF(E42="","✖ Sem relação","✔ OK"))))</f>
        <v/>
      </c>
      <c r="J42" s="93" t="n"/>
    </row>
    <row r="43" ht="15" customHeight="1" s="50">
      <c r="A43" s="93" t="n"/>
      <c r="B43" s="93" t="n"/>
      <c r="C43" s="95">
        <f>IF(B43="","",IFERROR(INDEX('Constants &amp; Enums'!$B$5:$B$200,MATCH(B43,'Constants &amp; Enums'!$A$5:$A$200,0)),IFERROR(INDEX('Metrics &amp; Formulas'!$B$5:$B$200,MATCH(B43,'Metrics &amp; Formulas'!$A$5:$A$200,0)),IFERROR(INDEX('Projections &amp; Dashboards'!$B$5:$B$200,MATCH(B43,'Projections &amp; Dashboards'!$A$5:$A$200,0)),IFERROR(INDEX(Funções!$O$5:$O$300,MATCH(B43,Funções!$A$5:$A$300,0)),IFERROR(INDEX(Telas!$C$5:$C$400,MATCH(B43,Telas!$A$5:$A$400,0)),IFERROR(INDEX(Roadmap!$D$6:$D$200,MATCH(B43,Roadmap!$A$6:$A$200,0)),IFERROR(INDEX(Modules!$C$5:$C$100,MATCH(B43,Modules!$A$5:$A$100,0)),"NOT FOUND"))))))))</f>
        <v/>
      </c>
      <c r="D43" s="95">
        <f>IF(B43="","",IF(C43="NOT FOUND","—",IFERROR(INDEX(Listas!$J$5:$J$13,MATCH(LEFT(B43,FIND("-",B43)-1),Listas!$I$5:$I$13,0)),"Module / area")))</f>
        <v/>
      </c>
      <c r="E43" s="93" t="n"/>
      <c r="F43" s="93" t="n"/>
      <c r="G43" s="95">
        <f>IF(F43="","",IFERROR(INDEX('Constants &amp; Enums'!$B$5:$B$200,MATCH(F43,'Constants &amp; Enums'!$A$5:$A$200,0)),IFERROR(INDEX('Metrics &amp; Formulas'!$B$5:$B$200,MATCH(F43,'Metrics &amp; Formulas'!$A$5:$A$200,0)),IFERROR(INDEX('Projections &amp; Dashboards'!$B$5:$B$200,MATCH(F43,'Projections &amp; Dashboards'!$A$5:$A$200,0)),IFERROR(INDEX(Funções!$O$5:$O$300,MATCH(F43,Funções!$A$5:$A$300,0)),IFERROR(INDEX(Telas!$C$5:$C$400,MATCH(F43,Telas!$A$5:$A$400,0)),IFERROR(INDEX(Roadmap!$D$6:$D$200,MATCH(F43,Roadmap!$A$6:$A$200,0)),IFERROR(INDEX(Modules!$C$5:$C$100,MATCH(F43,Modules!$A$5:$A$100,0)),"NOT FOUND"))))))))</f>
        <v/>
      </c>
      <c r="H43" s="95">
        <f>IF(F43="","",IF(G43="NOT FOUND","—",IFERROR(INDEX(Listas!$J$5:$J$13,MATCH(LEFT(F43,FIND("-",F43)-1),Listas!$I$5:$I$13,0)),"Module / area")))</f>
        <v/>
      </c>
      <c r="I43" s="95">
        <f>IF(AND(B43="",F43=""),"",IF(OR(C43="NOT FOUND",G43="NOT FOUND"),"✖ ID inexistente",IF(B43=F43,"✖ Autorreferência",IF(E43="","✖ Sem relação","✔ OK"))))</f>
        <v/>
      </c>
      <c r="J43" s="93" t="n"/>
    </row>
    <row r="44" ht="15" customHeight="1" s="50">
      <c r="A44" s="93" t="n"/>
      <c r="B44" s="93" t="n"/>
      <c r="C44" s="95">
        <f>IF(B44="","",IFERROR(INDEX('Constants &amp; Enums'!$B$5:$B$200,MATCH(B44,'Constants &amp; Enums'!$A$5:$A$200,0)),IFERROR(INDEX('Metrics &amp; Formulas'!$B$5:$B$200,MATCH(B44,'Metrics &amp; Formulas'!$A$5:$A$200,0)),IFERROR(INDEX('Projections &amp; Dashboards'!$B$5:$B$200,MATCH(B44,'Projections &amp; Dashboards'!$A$5:$A$200,0)),IFERROR(INDEX(Funções!$O$5:$O$300,MATCH(B44,Funções!$A$5:$A$300,0)),IFERROR(INDEX(Telas!$C$5:$C$400,MATCH(B44,Telas!$A$5:$A$400,0)),IFERROR(INDEX(Roadmap!$D$6:$D$200,MATCH(B44,Roadmap!$A$6:$A$200,0)),IFERROR(INDEX(Modules!$C$5:$C$100,MATCH(B44,Modules!$A$5:$A$100,0)),"NOT FOUND"))))))))</f>
        <v/>
      </c>
      <c r="D44" s="95">
        <f>IF(B44="","",IF(C44="NOT FOUND","—",IFERROR(INDEX(Listas!$J$5:$J$13,MATCH(LEFT(B44,FIND("-",B44)-1),Listas!$I$5:$I$13,0)),"Module / area")))</f>
        <v/>
      </c>
      <c r="E44" s="93" t="n"/>
      <c r="F44" s="93" t="n"/>
      <c r="G44" s="95">
        <f>IF(F44="","",IFERROR(INDEX('Constants &amp; Enums'!$B$5:$B$200,MATCH(F44,'Constants &amp; Enums'!$A$5:$A$200,0)),IFERROR(INDEX('Metrics &amp; Formulas'!$B$5:$B$200,MATCH(F44,'Metrics &amp; Formulas'!$A$5:$A$200,0)),IFERROR(INDEX('Projections &amp; Dashboards'!$B$5:$B$200,MATCH(F44,'Projections &amp; Dashboards'!$A$5:$A$200,0)),IFERROR(INDEX(Funções!$O$5:$O$300,MATCH(F44,Funções!$A$5:$A$300,0)),IFERROR(INDEX(Telas!$C$5:$C$400,MATCH(F44,Telas!$A$5:$A$400,0)),IFERROR(INDEX(Roadmap!$D$6:$D$200,MATCH(F44,Roadmap!$A$6:$A$200,0)),IFERROR(INDEX(Modules!$C$5:$C$100,MATCH(F44,Modules!$A$5:$A$100,0)),"NOT FOUND"))))))))</f>
        <v/>
      </c>
      <c r="H44" s="95">
        <f>IF(F44="","",IF(G44="NOT FOUND","—",IFERROR(INDEX(Listas!$J$5:$J$13,MATCH(LEFT(F44,FIND("-",F44)-1),Listas!$I$5:$I$13,0)),"Module / area")))</f>
        <v/>
      </c>
      <c r="I44" s="95">
        <f>IF(AND(B44="",F44=""),"",IF(OR(C44="NOT FOUND",G44="NOT FOUND"),"✖ ID inexistente",IF(B44=F44,"✖ Autorreferência",IF(E44="","✖ Sem relação","✔ OK"))))</f>
        <v/>
      </c>
      <c r="J44" s="93" t="n"/>
    </row>
    <row r="45" ht="15" customHeight="1" s="50">
      <c r="A45" s="93" t="n"/>
      <c r="B45" s="93" t="n"/>
      <c r="C45" s="95">
        <f>IF(B45="","",IFERROR(INDEX('Constants &amp; Enums'!$B$5:$B$200,MATCH(B45,'Constants &amp; Enums'!$A$5:$A$200,0)),IFERROR(INDEX('Metrics &amp; Formulas'!$B$5:$B$200,MATCH(B45,'Metrics &amp; Formulas'!$A$5:$A$200,0)),IFERROR(INDEX('Projections &amp; Dashboards'!$B$5:$B$200,MATCH(B45,'Projections &amp; Dashboards'!$A$5:$A$200,0)),IFERROR(INDEX(Funções!$O$5:$O$300,MATCH(B45,Funções!$A$5:$A$300,0)),IFERROR(INDEX(Telas!$C$5:$C$400,MATCH(B45,Telas!$A$5:$A$400,0)),IFERROR(INDEX(Roadmap!$D$6:$D$200,MATCH(B45,Roadmap!$A$6:$A$200,0)),IFERROR(INDEX(Modules!$C$5:$C$100,MATCH(B45,Modules!$A$5:$A$100,0)),"NOT FOUND"))))))))</f>
        <v/>
      </c>
      <c r="D45" s="95">
        <f>IF(B45="","",IF(C45="NOT FOUND","—",IFERROR(INDEX(Listas!$J$5:$J$13,MATCH(LEFT(B45,FIND("-",B45)-1),Listas!$I$5:$I$13,0)),"Module / area")))</f>
        <v/>
      </c>
      <c r="E45" s="93" t="n"/>
      <c r="F45" s="93" t="n"/>
      <c r="G45" s="95">
        <f>IF(F45="","",IFERROR(INDEX('Constants &amp; Enums'!$B$5:$B$200,MATCH(F45,'Constants &amp; Enums'!$A$5:$A$200,0)),IFERROR(INDEX('Metrics &amp; Formulas'!$B$5:$B$200,MATCH(F45,'Metrics &amp; Formulas'!$A$5:$A$200,0)),IFERROR(INDEX('Projections &amp; Dashboards'!$B$5:$B$200,MATCH(F45,'Projections &amp; Dashboards'!$A$5:$A$200,0)),IFERROR(INDEX(Funções!$O$5:$O$300,MATCH(F45,Funções!$A$5:$A$300,0)),IFERROR(INDEX(Telas!$C$5:$C$400,MATCH(F45,Telas!$A$5:$A$400,0)),IFERROR(INDEX(Roadmap!$D$6:$D$200,MATCH(F45,Roadmap!$A$6:$A$200,0)),IFERROR(INDEX(Modules!$C$5:$C$100,MATCH(F45,Modules!$A$5:$A$100,0)),"NOT FOUND"))))))))</f>
        <v/>
      </c>
      <c r="H45" s="95">
        <f>IF(F45="","",IF(G45="NOT FOUND","—",IFERROR(INDEX(Listas!$J$5:$J$13,MATCH(LEFT(F45,FIND("-",F45)-1),Listas!$I$5:$I$13,0)),"Module / area")))</f>
        <v/>
      </c>
      <c r="I45" s="95">
        <f>IF(AND(B45="",F45=""),"",IF(OR(C45="NOT FOUND",G45="NOT FOUND"),"✖ ID inexistente",IF(B45=F45,"✖ Autorreferência",IF(E45="","✖ Sem relação","✔ OK"))))</f>
        <v/>
      </c>
      <c r="J45" s="93" t="n"/>
    </row>
    <row r="46" ht="15" customHeight="1" s="50">
      <c r="A46" s="93" t="n"/>
      <c r="B46" s="93" t="n"/>
      <c r="C46" s="95">
        <f>IF(B46="","",IFERROR(INDEX('Constants &amp; Enums'!$B$5:$B$200,MATCH(B46,'Constants &amp; Enums'!$A$5:$A$200,0)),IFERROR(INDEX('Metrics &amp; Formulas'!$B$5:$B$200,MATCH(B46,'Metrics &amp; Formulas'!$A$5:$A$200,0)),IFERROR(INDEX('Projections &amp; Dashboards'!$B$5:$B$200,MATCH(B46,'Projections &amp; Dashboards'!$A$5:$A$200,0)),IFERROR(INDEX(Funções!$O$5:$O$300,MATCH(B46,Funções!$A$5:$A$300,0)),IFERROR(INDEX(Telas!$C$5:$C$400,MATCH(B46,Telas!$A$5:$A$400,0)),IFERROR(INDEX(Roadmap!$D$6:$D$200,MATCH(B46,Roadmap!$A$6:$A$200,0)),IFERROR(INDEX(Modules!$C$5:$C$100,MATCH(B46,Modules!$A$5:$A$100,0)),"NOT FOUND"))))))))</f>
        <v/>
      </c>
      <c r="D46" s="95">
        <f>IF(B46="","",IF(C46="NOT FOUND","—",IFERROR(INDEX(Listas!$J$5:$J$13,MATCH(LEFT(B46,FIND("-",B46)-1),Listas!$I$5:$I$13,0)),"Module / area")))</f>
        <v/>
      </c>
      <c r="E46" s="93" t="n"/>
      <c r="F46" s="93" t="n"/>
      <c r="G46" s="95">
        <f>IF(F46="","",IFERROR(INDEX('Constants &amp; Enums'!$B$5:$B$200,MATCH(F46,'Constants &amp; Enums'!$A$5:$A$200,0)),IFERROR(INDEX('Metrics &amp; Formulas'!$B$5:$B$200,MATCH(F46,'Metrics &amp; Formulas'!$A$5:$A$200,0)),IFERROR(INDEX('Projections &amp; Dashboards'!$B$5:$B$200,MATCH(F46,'Projections &amp; Dashboards'!$A$5:$A$200,0)),IFERROR(INDEX(Funções!$O$5:$O$300,MATCH(F46,Funções!$A$5:$A$300,0)),IFERROR(INDEX(Telas!$C$5:$C$400,MATCH(F46,Telas!$A$5:$A$400,0)),IFERROR(INDEX(Roadmap!$D$6:$D$200,MATCH(F46,Roadmap!$A$6:$A$200,0)),IFERROR(INDEX(Modules!$C$5:$C$100,MATCH(F46,Modules!$A$5:$A$100,0)),"NOT FOUND"))))))))</f>
        <v/>
      </c>
      <c r="H46" s="95">
        <f>IF(F46="","",IF(G46="NOT FOUND","—",IFERROR(INDEX(Listas!$J$5:$J$13,MATCH(LEFT(F46,FIND("-",F46)-1),Listas!$I$5:$I$13,0)),"Module / area")))</f>
        <v/>
      </c>
      <c r="I46" s="95">
        <f>IF(AND(B46="",F46=""),"",IF(OR(C46="NOT FOUND",G46="NOT FOUND"),"✖ ID inexistente",IF(B46=F46,"✖ Autorreferência",IF(E46="","✖ Sem relação","✔ OK"))))</f>
        <v/>
      </c>
      <c r="J46" s="93" t="n"/>
    </row>
    <row r="47" ht="15" customHeight="1" s="50">
      <c r="A47" s="93" t="n"/>
      <c r="B47" s="93" t="n"/>
      <c r="C47" s="95">
        <f>IF(B47="","",IFERROR(INDEX('Constants &amp; Enums'!$B$5:$B$200,MATCH(B47,'Constants &amp; Enums'!$A$5:$A$200,0)),IFERROR(INDEX('Metrics &amp; Formulas'!$B$5:$B$200,MATCH(B47,'Metrics &amp; Formulas'!$A$5:$A$200,0)),IFERROR(INDEX('Projections &amp; Dashboards'!$B$5:$B$200,MATCH(B47,'Projections &amp; Dashboards'!$A$5:$A$200,0)),IFERROR(INDEX(Funções!$O$5:$O$300,MATCH(B47,Funções!$A$5:$A$300,0)),IFERROR(INDEX(Telas!$C$5:$C$400,MATCH(B47,Telas!$A$5:$A$400,0)),IFERROR(INDEX(Roadmap!$D$6:$D$200,MATCH(B47,Roadmap!$A$6:$A$200,0)),IFERROR(INDEX(Modules!$C$5:$C$100,MATCH(B47,Modules!$A$5:$A$100,0)),"NOT FOUND"))))))))</f>
        <v/>
      </c>
      <c r="D47" s="95">
        <f>IF(B47="","",IF(C47="NOT FOUND","—",IFERROR(INDEX(Listas!$J$5:$J$13,MATCH(LEFT(B47,FIND("-",B47)-1),Listas!$I$5:$I$13,0)),"Module / area")))</f>
        <v/>
      </c>
      <c r="E47" s="93" t="n"/>
      <c r="F47" s="93" t="n"/>
      <c r="G47" s="95">
        <f>IF(F47="","",IFERROR(INDEX('Constants &amp; Enums'!$B$5:$B$200,MATCH(F47,'Constants &amp; Enums'!$A$5:$A$200,0)),IFERROR(INDEX('Metrics &amp; Formulas'!$B$5:$B$200,MATCH(F47,'Metrics &amp; Formulas'!$A$5:$A$200,0)),IFERROR(INDEX('Projections &amp; Dashboards'!$B$5:$B$200,MATCH(F47,'Projections &amp; Dashboards'!$A$5:$A$200,0)),IFERROR(INDEX(Funções!$O$5:$O$300,MATCH(F47,Funções!$A$5:$A$300,0)),IFERROR(INDEX(Telas!$C$5:$C$400,MATCH(F47,Telas!$A$5:$A$400,0)),IFERROR(INDEX(Roadmap!$D$6:$D$200,MATCH(F47,Roadmap!$A$6:$A$200,0)),IFERROR(INDEX(Modules!$C$5:$C$100,MATCH(F47,Modules!$A$5:$A$100,0)),"NOT FOUND"))))))))</f>
        <v/>
      </c>
      <c r="H47" s="95">
        <f>IF(F47="","",IF(G47="NOT FOUND","—",IFERROR(INDEX(Listas!$J$5:$J$13,MATCH(LEFT(F47,FIND("-",F47)-1),Listas!$I$5:$I$13,0)),"Module / area")))</f>
        <v/>
      </c>
      <c r="I47" s="95">
        <f>IF(AND(B47="",F47=""),"",IF(OR(C47="NOT FOUND",G47="NOT FOUND"),"✖ ID inexistente",IF(B47=F47,"✖ Autorreferência",IF(E47="","✖ Sem relação","✔ OK"))))</f>
        <v/>
      </c>
      <c r="J47" s="93" t="n"/>
    </row>
    <row r="48" ht="15" customHeight="1" s="50">
      <c r="A48" s="93" t="n"/>
      <c r="B48" s="93" t="n"/>
      <c r="C48" s="95">
        <f>IF(B48="","",IFERROR(INDEX('Constants &amp; Enums'!$B$5:$B$200,MATCH(B48,'Constants &amp; Enums'!$A$5:$A$200,0)),IFERROR(INDEX('Metrics &amp; Formulas'!$B$5:$B$200,MATCH(B48,'Metrics &amp; Formulas'!$A$5:$A$200,0)),IFERROR(INDEX('Projections &amp; Dashboards'!$B$5:$B$200,MATCH(B48,'Projections &amp; Dashboards'!$A$5:$A$200,0)),IFERROR(INDEX(Funções!$O$5:$O$300,MATCH(B48,Funções!$A$5:$A$300,0)),IFERROR(INDEX(Telas!$C$5:$C$400,MATCH(B48,Telas!$A$5:$A$400,0)),IFERROR(INDEX(Roadmap!$D$6:$D$200,MATCH(B48,Roadmap!$A$6:$A$200,0)),IFERROR(INDEX(Modules!$C$5:$C$100,MATCH(B48,Modules!$A$5:$A$100,0)),"NOT FOUND"))))))))</f>
        <v/>
      </c>
      <c r="D48" s="95">
        <f>IF(B48="","",IF(C48="NOT FOUND","—",IFERROR(INDEX(Listas!$J$5:$J$13,MATCH(LEFT(B48,FIND("-",B48)-1),Listas!$I$5:$I$13,0)),"Module / area")))</f>
        <v/>
      </c>
      <c r="E48" s="93" t="n"/>
      <c r="F48" s="93" t="n"/>
      <c r="G48" s="95">
        <f>IF(F48="","",IFERROR(INDEX('Constants &amp; Enums'!$B$5:$B$200,MATCH(F48,'Constants &amp; Enums'!$A$5:$A$200,0)),IFERROR(INDEX('Metrics &amp; Formulas'!$B$5:$B$200,MATCH(F48,'Metrics &amp; Formulas'!$A$5:$A$200,0)),IFERROR(INDEX('Projections &amp; Dashboards'!$B$5:$B$200,MATCH(F48,'Projections &amp; Dashboards'!$A$5:$A$200,0)),IFERROR(INDEX(Funções!$O$5:$O$300,MATCH(F48,Funções!$A$5:$A$300,0)),IFERROR(INDEX(Telas!$C$5:$C$400,MATCH(F48,Telas!$A$5:$A$400,0)),IFERROR(INDEX(Roadmap!$D$6:$D$200,MATCH(F48,Roadmap!$A$6:$A$200,0)),IFERROR(INDEX(Modules!$C$5:$C$100,MATCH(F48,Modules!$A$5:$A$100,0)),"NOT FOUND"))))))))</f>
        <v/>
      </c>
      <c r="H48" s="95">
        <f>IF(F48="","",IF(G48="NOT FOUND","—",IFERROR(INDEX(Listas!$J$5:$J$13,MATCH(LEFT(F48,FIND("-",F48)-1),Listas!$I$5:$I$13,0)),"Module / area")))</f>
        <v/>
      </c>
      <c r="I48" s="95">
        <f>IF(AND(B48="",F48=""),"",IF(OR(C48="NOT FOUND",G48="NOT FOUND"),"✖ ID inexistente",IF(B48=F48,"✖ Autorreferência",IF(E48="","✖ Sem relação","✔ OK"))))</f>
        <v/>
      </c>
      <c r="J48" s="93" t="n"/>
    </row>
    <row r="49" ht="15" customHeight="1" s="50">
      <c r="A49" s="93" t="n"/>
      <c r="B49" s="93" t="n"/>
      <c r="C49" s="95">
        <f>IF(B49="","",IFERROR(INDEX('Constants &amp; Enums'!$B$5:$B$200,MATCH(B49,'Constants &amp; Enums'!$A$5:$A$200,0)),IFERROR(INDEX('Metrics &amp; Formulas'!$B$5:$B$200,MATCH(B49,'Metrics &amp; Formulas'!$A$5:$A$200,0)),IFERROR(INDEX('Projections &amp; Dashboards'!$B$5:$B$200,MATCH(B49,'Projections &amp; Dashboards'!$A$5:$A$200,0)),IFERROR(INDEX(Funções!$O$5:$O$300,MATCH(B49,Funções!$A$5:$A$300,0)),IFERROR(INDEX(Telas!$C$5:$C$400,MATCH(B49,Telas!$A$5:$A$400,0)),IFERROR(INDEX(Roadmap!$D$6:$D$200,MATCH(B49,Roadmap!$A$6:$A$200,0)),IFERROR(INDEX(Modules!$C$5:$C$100,MATCH(B49,Modules!$A$5:$A$100,0)),"NOT FOUND"))))))))</f>
        <v/>
      </c>
      <c r="D49" s="95">
        <f>IF(B49="","",IF(C49="NOT FOUND","—",IFERROR(INDEX(Listas!$J$5:$J$13,MATCH(LEFT(B49,FIND("-",B49)-1),Listas!$I$5:$I$13,0)),"Module / area")))</f>
        <v/>
      </c>
      <c r="E49" s="93" t="n"/>
      <c r="F49" s="93" t="n"/>
      <c r="G49" s="95">
        <f>IF(F49="","",IFERROR(INDEX('Constants &amp; Enums'!$B$5:$B$200,MATCH(F49,'Constants &amp; Enums'!$A$5:$A$200,0)),IFERROR(INDEX('Metrics &amp; Formulas'!$B$5:$B$200,MATCH(F49,'Metrics &amp; Formulas'!$A$5:$A$200,0)),IFERROR(INDEX('Projections &amp; Dashboards'!$B$5:$B$200,MATCH(F49,'Projections &amp; Dashboards'!$A$5:$A$200,0)),IFERROR(INDEX(Funções!$O$5:$O$300,MATCH(F49,Funções!$A$5:$A$300,0)),IFERROR(INDEX(Telas!$C$5:$C$400,MATCH(F49,Telas!$A$5:$A$400,0)),IFERROR(INDEX(Roadmap!$D$6:$D$200,MATCH(F49,Roadmap!$A$6:$A$200,0)),IFERROR(INDEX(Modules!$C$5:$C$100,MATCH(F49,Modules!$A$5:$A$100,0)),"NOT FOUND"))))))))</f>
        <v/>
      </c>
      <c r="H49" s="95">
        <f>IF(F49="","",IF(G49="NOT FOUND","—",IFERROR(INDEX(Listas!$J$5:$J$13,MATCH(LEFT(F49,FIND("-",F49)-1),Listas!$I$5:$I$13,0)),"Module / area")))</f>
        <v/>
      </c>
      <c r="I49" s="95">
        <f>IF(AND(B49="",F49=""),"",IF(OR(C49="NOT FOUND",G49="NOT FOUND"),"✖ ID inexistente",IF(B49=F49,"✖ Autorreferência",IF(E49="","✖ Sem relação","✔ OK"))))</f>
        <v/>
      </c>
      <c r="J49" s="93" t="n"/>
    </row>
    <row r="50" ht="15" customHeight="1" s="50">
      <c r="A50" s="93" t="n"/>
      <c r="B50" s="93" t="n"/>
      <c r="C50" s="95">
        <f>IF(B50="","",IFERROR(INDEX('Constants &amp; Enums'!$B$5:$B$200,MATCH(B50,'Constants &amp; Enums'!$A$5:$A$200,0)),IFERROR(INDEX('Metrics &amp; Formulas'!$B$5:$B$200,MATCH(B50,'Metrics &amp; Formulas'!$A$5:$A$200,0)),IFERROR(INDEX('Projections &amp; Dashboards'!$B$5:$B$200,MATCH(B50,'Projections &amp; Dashboards'!$A$5:$A$200,0)),IFERROR(INDEX(Funções!$O$5:$O$300,MATCH(B50,Funções!$A$5:$A$300,0)),IFERROR(INDEX(Telas!$C$5:$C$400,MATCH(B50,Telas!$A$5:$A$400,0)),IFERROR(INDEX(Roadmap!$D$6:$D$200,MATCH(B50,Roadmap!$A$6:$A$200,0)),IFERROR(INDEX(Modules!$C$5:$C$100,MATCH(B50,Modules!$A$5:$A$100,0)),"NOT FOUND"))))))))</f>
        <v/>
      </c>
      <c r="D50" s="95">
        <f>IF(B50="","",IF(C50="NOT FOUND","—",IFERROR(INDEX(Listas!$J$5:$J$13,MATCH(LEFT(B50,FIND("-",B50)-1),Listas!$I$5:$I$13,0)),"Module / area")))</f>
        <v/>
      </c>
      <c r="E50" s="93" t="n"/>
      <c r="F50" s="93" t="n"/>
      <c r="G50" s="95">
        <f>IF(F50="","",IFERROR(INDEX('Constants &amp; Enums'!$B$5:$B$200,MATCH(F50,'Constants &amp; Enums'!$A$5:$A$200,0)),IFERROR(INDEX('Metrics &amp; Formulas'!$B$5:$B$200,MATCH(F50,'Metrics &amp; Formulas'!$A$5:$A$200,0)),IFERROR(INDEX('Projections &amp; Dashboards'!$B$5:$B$200,MATCH(F50,'Projections &amp; Dashboards'!$A$5:$A$200,0)),IFERROR(INDEX(Funções!$O$5:$O$300,MATCH(F50,Funções!$A$5:$A$300,0)),IFERROR(INDEX(Telas!$C$5:$C$400,MATCH(F50,Telas!$A$5:$A$400,0)),IFERROR(INDEX(Roadmap!$D$6:$D$200,MATCH(F50,Roadmap!$A$6:$A$200,0)),IFERROR(INDEX(Modules!$C$5:$C$100,MATCH(F50,Modules!$A$5:$A$100,0)),"NOT FOUND"))))))))</f>
        <v/>
      </c>
      <c r="H50" s="95">
        <f>IF(F50="","",IF(G50="NOT FOUND","—",IFERROR(INDEX(Listas!$J$5:$J$13,MATCH(LEFT(F50,FIND("-",F50)-1),Listas!$I$5:$I$13,0)),"Module / area")))</f>
        <v/>
      </c>
      <c r="I50" s="95">
        <f>IF(AND(B50="",F50=""),"",IF(OR(C50="NOT FOUND",G50="NOT FOUND"),"✖ ID inexistente",IF(B50=F50,"✖ Autorreferência",IF(E50="","✖ Sem relação","✔ OK"))))</f>
        <v/>
      </c>
      <c r="J50" s="93" t="n"/>
    </row>
    <row r="51" ht="15" customHeight="1" s="50">
      <c r="A51" s="93" t="n"/>
      <c r="B51" s="93" t="n"/>
      <c r="C51" s="95">
        <f>IF(B51="","",IFERROR(INDEX('Constants &amp; Enums'!$B$5:$B$200,MATCH(B51,'Constants &amp; Enums'!$A$5:$A$200,0)),IFERROR(INDEX('Metrics &amp; Formulas'!$B$5:$B$200,MATCH(B51,'Metrics &amp; Formulas'!$A$5:$A$200,0)),IFERROR(INDEX('Projections &amp; Dashboards'!$B$5:$B$200,MATCH(B51,'Projections &amp; Dashboards'!$A$5:$A$200,0)),IFERROR(INDEX(Funções!$O$5:$O$300,MATCH(B51,Funções!$A$5:$A$300,0)),IFERROR(INDEX(Telas!$C$5:$C$400,MATCH(B51,Telas!$A$5:$A$400,0)),IFERROR(INDEX(Roadmap!$D$6:$D$200,MATCH(B51,Roadmap!$A$6:$A$200,0)),IFERROR(INDEX(Modules!$C$5:$C$100,MATCH(B51,Modules!$A$5:$A$100,0)),"NOT FOUND"))))))))</f>
        <v/>
      </c>
      <c r="D51" s="95">
        <f>IF(B51="","",IF(C51="NOT FOUND","—",IFERROR(INDEX(Listas!$J$5:$J$13,MATCH(LEFT(B51,FIND("-",B51)-1),Listas!$I$5:$I$13,0)),"Module / area")))</f>
        <v/>
      </c>
      <c r="E51" s="93" t="n"/>
      <c r="F51" s="93" t="n"/>
      <c r="G51" s="95">
        <f>IF(F51="","",IFERROR(INDEX('Constants &amp; Enums'!$B$5:$B$200,MATCH(F51,'Constants &amp; Enums'!$A$5:$A$200,0)),IFERROR(INDEX('Metrics &amp; Formulas'!$B$5:$B$200,MATCH(F51,'Metrics &amp; Formulas'!$A$5:$A$200,0)),IFERROR(INDEX('Projections &amp; Dashboards'!$B$5:$B$200,MATCH(F51,'Projections &amp; Dashboards'!$A$5:$A$200,0)),IFERROR(INDEX(Funções!$O$5:$O$300,MATCH(F51,Funções!$A$5:$A$300,0)),IFERROR(INDEX(Telas!$C$5:$C$400,MATCH(F51,Telas!$A$5:$A$400,0)),IFERROR(INDEX(Roadmap!$D$6:$D$200,MATCH(F51,Roadmap!$A$6:$A$200,0)),IFERROR(INDEX(Modules!$C$5:$C$100,MATCH(F51,Modules!$A$5:$A$100,0)),"NOT FOUND"))))))))</f>
        <v/>
      </c>
      <c r="H51" s="95">
        <f>IF(F51="","",IF(G51="NOT FOUND","—",IFERROR(INDEX(Listas!$J$5:$J$13,MATCH(LEFT(F51,FIND("-",F51)-1),Listas!$I$5:$I$13,0)),"Module / area")))</f>
        <v/>
      </c>
      <c r="I51" s="95">
        <f>IF(AND(B51="",F51=""),"",IF(OR(C51="NOT FOUND",G51="NOT FOUND"),"✖ ID inexistente",IF(B51=F51,"✖ Autorreferência",IF(E51="","✖ Sem relação","✔ OK"))))</f>
        <v/>
      </c>
      <c r="J51" s="93" t="n"/>
    </row>
    <row r="52" ht="15" customHeight="1" s="50">
      <c r="A52" s="93" t="n"/>
      <c r="B52" s="93" t="n"/>
      <c r="C52" s="95">
        <f>IF(B52="","",IFERROR(INDEX('Constants &amp; Enums'!$B$5:$B$200,MATCH(B52,'Constants &amp; Enums'!$A$5:$A$200,0)),IFERROR(INDEX('Metrics &amp; Formulas'!$B$5:$B$200,MATCH(B52,'Metrics &amp; Formulas'!$A$5:$A$200,0)),IFERROR(INDEX('Projections &amp; Dashboards'!$B$5:$B$200,MATCH(B52,'Projections &amp; Dashboards'!$A$5:$A$200,0)),IFERROR(INDEX(Funções!$O$5:$O$300,MATCH(B52,Funções!$A$5:$A$300,0)),IFERROR(INDEX(Telas!$C$5:$C$400,MATCH(B52,Telas!$A$5:$A$400,0)),IFERROR(INDEX(Roadmap!$D$6:$D$200,MATCH(B52,Roadmap!$A$6:$A$200,0)),IFERROR(INDEX(Modules!$C$5:$C$100,MATCH(B52,Modules!$A$5:$A$100,0)),"NOT FOUND"))))))))</f>
        <v/>
      </c>
      <c r="D52" s="95">
        <f>IF(B52="","",IF(C52="NOT FOUND","—",IFERROR(INDEX(Listas!$J$5:$J$13,MATCH(LEFT(B52,FIND("-",B52)-1),Listas!$I$5:$I$13,0)),"Module / area")))</f>
        <v/>
      </c>
      <c r="E52" s="93" t="n"/>
      <c r="F52" s="93" t="n"/>
      <c r="G52" s="95">
        <f>IF(F52="","",IFERROR(INDEX('Constants &amp; Enums'!$B$5:$B$200,MATCH(F52,'Constants &amp; Enums'!$A$5:$A$200,0)),IFERROR(INDEX('Metrics &amp; Formulas'!$B$5:$B$200,MATCH(F52,'Metrics &amp; Formulas'!$A$5:$A$200,0)),IFERROR(INDEX('Projections &amp; Dashboards'!$B$5:$B$200,MATCH(F52,'Projections &amp; Dashboards'!$A$5:$A$200,0)),IFERROR(INDEX(Funções!$O$5:$O$300,MATCH(F52,Funções!$A$5:$A$300,0)),IFERROR(INDEX(Telas!$C$5:$C$400,MATCH(F52,Telas!$A$5:$A$400,0)),IFERROR(INDEX(Roadmap!$D$6:$D$200,MATCH(F52,Roadmap!$A$6:$A$200,0)),IFERROR(INDEX(Modules!$C$5:$C$100,MATCH(F52,Modules!$A$5:$A$100,0)),"NOT FOUND"))))))))</f>
        <v/>
      </c>
      <c r="H52" s="95">
        <f>IF(F52="","",IF(G52="NOT FOUND","—",IFERROR(INDEX(Listas!$J$5:$J$13,MATCH(LEFT(F52,FIND("-",F52)-1),Listas!$I$5:$I$13,0)),"Module / area")))</f>
        <v/>
      </c>
      <c r="I52" s="95">
        <f>IF(AND(B52="",F52=""),"",IF(OR(C52="NOT FOUND",G52="NOT FOUND"),"✖ ID inexistente",IF(B52=F52,"✖ Autorreferência",IF(E52="","✖ Sem relação","✔ OK"))))</f>
        <v/>
      </c>
      <c r="J52" s="93" t="n"/>
    </row>
    <row r="53" ht="15" customHeight="1" s="50">
      <c r="A53" s="93" t="n"/>
      <c r="B53" s="93" t="n"/>
      <c r="C53" s="95">
        <f>IF(B53="","",IFERROR(INDEX('Constants &amp; Enums'!$B$5:$B$200,MATCH(B53,'Constants &amp; Enums'!$A$5:$A$200,0)),IFERROR(INDEX('Metrics &amp; Formulas'!$B$5:$B$200,MATCH(B53,'Metrics &amp; Formulas'!$A$5:$A$200,0)),IFERROR(INDEX('Projections &amp; Dashboards'!$B$5:$B$200,MATCH(B53,'Projections &amp; Dashboards'!$A$5:$A$200,0)),IFERROR(INDEX(Funções!$O$5:$O$300,MATCH(B53,Funções!$A$5:$A$300,0)),IFERROR(INDEX(Telas!$C$5:$C$400,MATCH(B53,Telas!$A$5:$A$400,0)),IFERROR(INDEX(Roadmap!$D$6:$D$200,MATCH(B53,Roadmap!$A$6:$A$200,0)),IFERROR(INDEX(Modules!$C$5:$C$100,MATCH(B53,Modules!$A$5:$A$100,0)),"NOT FOUND"))))))))</f>
        <v/>
      </c>
      <c r="D53" s="95">
        <f>IF(B53="","",IF(C53="NOT FOUND","—",IFERROR(INDEX(Listas!$J$5:$J$13,MATCH(LEFT(B53,FIND("-",B53)-1),Listas!$I$5:$I$13,0)),"Module / area")))</f>
        <v/>
      </c>
      <c r="E53" s="93" t="n"/>
      <c r="F53" s="93" t="n"/>
      <c r="G53" s="95">
        <f>IF(F53="","",IFERROR(INDEX('Constants &amp; Enums'!$B$5:$B$200,MATCH(F53,'Constants &amp; Enums'!$A$5:$A$200,0)),IFERROR(INDEX('Metrics &amp; Formulas'!$B$5:$B$200,MATCH(F53,'Metrics &amp; Formulas'!$A$5:$A$200,0)),IFERROR(INDEX('Projections &amp; Dashboards'!$B$5:$B$200,MATCH(F53,'Projections &amp; Dashboards'!$A$5:$A$200,0)),IFERROR(INDEX(Funções!$O$5:$O$300,MATCH(F53,Funções!$A$5:$A$300,0)),IFERROR(INDEX(Telas!$C$5:$C$400,MATCH(F53,Telas!$A$5:$A$400,0)),IFERROR(INDEX(Roadmap!$D$6:$D$200,MATCH(F53,Roadmap!$A$6:$A$200,0)),IFERROR(INDEX(Modules!$C$5:$C$100,MATCH(F53,Modules!$A$5:$A$100,0)),"NOT FOUND"))))))))</f>
        <v/>
      </c>
      <c r="H53" s="95">
        <f>IF(F53="","",IF(G53="NOT FOUND","—",IFERROR(INDEX(Listas!$J$5:$J$13,MATCH(LEFT(F53,FIND("-",F53)-1),Listas!$I$5:$I$13,0)),"Module / area")))</f>
        <v/>
      </c>
      <c r="I53" s="95">
        <f>IF(AND(B53="",F53=""),"",IF(OR(C53="NOT FOUND",G53="NOT FOUND"),"✖ ID inexistente",IF(B53=F53,"✖ Autorreferência",IF(E53="","✖ Sem relação","✔ OK"))))</f>
        <v/>
      </c>
      <c r="J53" s="93" t="n"/>
    </row>
    <row r="54" ht="15" customHeight="1" s="50">
      <c r="A54" s="93" t="n"/>
      <c r="B54" s="93" t="n"/>
      <c r="C54" s="95">
        <f>IF(B54="","",IFERROR(INDEX('Constants &amp; Enums'!$B$5:$B$200,MATCH(B54,'Constants &amp; Enums'!$A$5:$A$200,0)),IFERROR(INDEX('Metrics &amp; Formulas'!$B$5:$B$200,MATCH(B54,'Metrics &amp; Formulas'!$A$5:$A$200,0)),IFERROR(INDEX('Projections &amp; Dashboards'!$B$5:$B$200,MATCH(B54,'Projections &amp; Dashboards'!$A$5:$A$200,0)),IFERROR(INDEX(Funções!$O$5:$O$300,MATCH(B54,Funções!$A$5:$A$300,0)),IFERROR(INDEX(Telas!$C$5:$C$400,MATCH(B54,Telas!$A$5:$A$400,0)),IFERROR(INDEX(Roadmap!$D$6:$D$200,MATCH(B54,Roadmap!$A$6:$A$200,0)),IFERROR(INDEX(Modules!$C$5:$C$100,MATCH(B54,Modules!$A$5:$A$100,0)),"NOT FOUND"))))))))</f>
        <v/>
      </c>
      <c r="D54" s="95">
        <f>IF(B54="","",IF(C54="NOT FOUND","—",IFERROR(INDEX(Listas!$J$5:$J$13,MATCH(LEFT(B54,FIND("-",B54)-1),Listas!$I$5:$I$13,0)),"Module / area")))</f>
        <v/>
      </c>
      <c r="E54" s="93" t="n"/>
      <c r="F54" s="93" t="n"/>
      <c r="G54" s="95">
        <f>IF(F54="","",IFERROR(INDEX('Constants &amp; Enums'!$B$5:$B$200,MATCH(F54,'Constants &amp; Enums'!$A$5:$A$200,0)),IFERROR(INDEX('Metrics &amp; Formulas'!$B$5:$B$200,MATCH(F54,'Metrics &amp; Formulas'!$A$5:$A$200,0)),IFERROR(INDEX('Projections &amp; Dashboards'!$B$5:$B$200,MATCH(F54,'Projections &amp; Dashboards'!$A$5:$A$200,0)),IFERROR(INDEX(Funções!$O$5:$O$300,MATCH(F54,Funções!$A$5:$A$300,0)),IFERROR(INDEX(Telas!$C$5:$C$400,MATCH(F54,Telas!$A$5:$A$400,0)),IFERROR(INDEX(Roadmap!$D$6:$D$200,MATCH(F54,Roadmap!$A$6:$A$200,0)),IFERROR(INDEX(Modules!$C$5:$C$100,MATCH(F54,Modules!$A$5:$A$100,0)),"NOT FOUND"))))))))</f>
        <v/>
      </c>
      <c r="H54" s="95">
        <f>IF(F54="","",IF(G54="NOT FOUND","—",IFERROR(INDEX(Listas!$J$5:$J$13,MATCH(LEFT(F54,FIND("-",F54)-1),Listas!$I$5:$I$13,0)),"Module / area")))</f>
        <v/>
      </c>
      <c r="I54" s="95">
        <f>IF(AND(B54="",F54=""),"",IF(OR(C54="NOT FOUND",G54="NOT FOUND"),"✖ ID inexistente",IF(B54=F54,"✖ Autorreferência",IF(E54="","✖ Sem relação","✔ OK"))))</f>
        <v/>
      </c>
      <c r="J54" s="93" t="n"/>
    </row>
    <row r="55" ht="15" customHeight="1" s="50">
      <c r="A55" s="93" t="n"/>
      <c r="B55" s="93" t="n"/>
      <c r="C55" s="95">
        <f>IF(B55="","",IFERROR(INDEX('Constants &amp; Enums'!$B$5:$B$200,MATCH(B55,'Constants &amp; Enums'!$A$5:$A$200,0)),IFERROR(INDEX('Metrics &amp; Formulas'!$B$5:$B$200,MATCH(B55,'Metrics &amp; Formulas'!$A$5:$A$200,0)),IFERROR(INDEX('Projections &amp; Dashboards'!$B$5:$B$200,MATCH(B55,'Projections &amp; Dashboards'!$A$5:$A$200,0)),IFERROR(INDEX(Funções!$O$5:$O$300,MATCH(B55,Funções!$A$5:$A$300,0)),IFERROR(INDEX(Telas!$C$5:$C$400,MATCH(B55,Telas!$A$5:$A$400,0)),IFERROR(INDEX(Roadmap!$D$6:$D$200,MATCH(B55,Roadmap!$A$6:$A$200,0)),IFERROR(INDEX(Modules!$C$5:$C$100,MATCH(B55,Modules!$A$5:$A$100,0)),"NOT FOUND"))))))))</f>
        <v/>
      </c>
      <c r="D55" s="95">
        <f>IF(B55="","",IF(C55="NOT FOUND","—",IFERROR(INDEX(Listas!$J$5:$J$13,MATCH(LEFT(B55,FIND("-",B55)-1),Listas!$I$5:$I$13,0)),"Module / area")))</f>
        <v/>
      </c>
      <c r="E55" s="93" t="n"/>
      <c r="F55" s="93" t="n"/>
      <c r="G55" s="95">
        <f>IF(F55="","",IFERROR(INDEX('Constants &amp; Enums'!$B$5:$B$200,MATCH(F55,'Constants &amp; Enums'!$A$5:$A$200,0)),IFERROR(INDEX('Metrics &amp; Formulas'!$B$5:$B$200,MATCH(F55,'Metrics &amp; Formulas'!$A$5:$A$200,0)),IFERROR(INDEX('Projections &amp; Dashboards'!$B$5:$B$200,MATCH(F55,'Projections &amp; Dashboards'!$A$5:$A$200,0)),IFERROR(INDEX(Funções!$O$5:$O$300,MATCH(F55,Funções!$A$5:$A$300,0)),IFERROR(INDEX(Telas!$C$5:$C$400,MATCH(F55,Telas!$A$5:$A$400,0)),IFERROR(INDEX(Roadmap!$D$6:$D$200,MATCH(F55,Roadmap!$A$6:$A$200,0)),IFERROR(INDEX(Modules!$C$5:$C$100,MATCH(F55,Modules!$A$5:$A$100,0)),"NOT FOUND"))))))))</f>
        <v/>
      </c>
      <c r="H55" s="95">
        <f>IF(F55="","",IF(G55="NOT FOUND","—",IFERROR(INDEX(Listas!$J$5:$J$13,MATCH(LEFT(F55,FIND("-",F55)-1),Listas!$I$5:$I$13,0)),"Module / area")))</f>
        <v/>
      </c>
      <c r="I55" s="95">
        <f>IF(AND(B55="",F55=""),"",IF(OR(C55="NOT FOUND",G55="NOT FOUND"),"✖ ID inexistente",IF(B55=F55,"✖ Autorreferência",IF(E55="","✖ Sem relação","✔ OK"))))</f>
        <v/>
      </c>
      <c r="J55" s="93" t="n"/>
    </row>
    <row r="56" ht="15" customHeight="1" s="50">
      <c r="A56" s="93" t="n"/>
      <c r="B56" s="93" t="n"/>
      <c r="C56" s="95">
        <f>IF(B56="","",IFERROR(INDEX('Constants &amp; Enums'!$B$5:$B$200,MATCH(B56,'Constants &amp; Enums'!$A$5:$A$200,0)),IFERROR(INDEX('Metrics &amp; Formulas'!$B$5:$B$200,MATCH(B56,'Metrics &amp; Formulas'!$A$5:$A$200,0)),IFERROR(INDEX('Projections &amp; Dashboards'!$B$5:$B$200,MATCH(B56,'Projections &amp; Dashboards'!$A$5:$A$200,0)),IFERROR(INDEX(Funções!$O$5:$O$300,MATCH(B56,Funções!$A$5:$A$300,0)),IFERROR(INDEX(Telas!$C$5:$C$400,MATCH(B56,Telas!$A$5:$A$400,0)),IFERROR(INDEX(Roadmap!$D$6:$D$200,MATCH(B56,Roadmap!$A$6:$A$200,0)),IFERROR(INDEX(Modules!$C$5:$C$100,MATCH(B56,Modules!$A$5:$A$100,0)),"NOT FOUND"))))))))</f>
        <v/>
      </c>
      <c r="D56" s="95">
        <f>IF(B56="","",IF(C56="NOT FOUND","—",IFERROR(INDEX(Listas!$J$5:$J$13,MATCH(LEFT(B56,FIND("-",B56)-1),Listas!$I$5:$I$13,0)),"Module / area")))</f>
        <v/>
      </c>
      <c r="E56" s="93" t="n"/>
      <c r="F56" s="93" t="n"/>
      <c r="G56" s="95">
        <f>IF(F56="","",IFERROR(INDEX('Constants &amp; Enums'!$B$5:$B$200,MATCH(F56,'Constants &amp; Enums'!$A$5:$A$200,0)),IFERROR(INDEX('Metrics &amp; Formulas'!$B$5:$B$200,MATCH(F56,'Metrics &amp; Formulas'!$A$5:$A$200,0)),IFERROR(INDEX('Projections &amp; Dashboards'!$B$5:$B$200,MATCH(F56,'Projections &amp; Dashboards'!$A$5:$A$200,0)),IFERROR(INDEX(Funções!$O$5:$O$300,MATCH(F56,Funções!$A$5:$A$300,0)),IFERROR(INDEX(Telas!$C$5:$C$400,MATCH(F56,Telas!$A$5:$A$400,0)),IFERROR(INDEX(Roadmap!$D$6:$D$200,MATCH(F56,Roadmap!$A$6:$A$200,0)),IFERROR(INDEX(Modules!$C$5:$C$100,MATCH(F56,Modules!$A$5:$A$100,0)),"NOT FOUND"))))))))</f>
        <v/>
      </c>
      <c r="H56" s="95">
        <f>IF(F56="","",IF(G56="NOT FOUND","—",IFERROR(INDEX(Listas!$J$5:$J$13,MATCH(LEFT(F56,FIND("-",F56)-1),Listas!$I$5:$I$13,0)),"Module / area")))</f>
        <v/>
      </c>
      <c r="I56" s="95">
        <f>IF(AND(B56="",F56=""),"",IF(OR(C56="NOT FOUND",G56="NOT FOUND"),"✖ ID inexistente",IF(B56=F56,"✖ Autorreferência",IF(E56="","✖ Sem relação","✔ OK"))))</f>
        <v/>
      </c>
      <c r="J56" s="93" t="n"/>
    </row>
    <row r="57" ht="15" customHeight="1" s="50">
      <c r="A57" s="93" t="n"/>
      <c r="B57" s="93" t="n"/>
      <c r="C57" s="95">
        <f>IF(B57="","",IFERROR(INDEX('Constants &amp; Enums'!$B$5:$B$200,MATCH(B57,'Constants &amp; Enums'!$A$5:$A$200,0)),IFERROR(INDEX('Metrics &amp; Formulas'!$B$5:$B$200,MATCH(B57,'Metrics &amp; Formulas'!$A$5:$A$200,0)),IFERROR(INDEX('Projections &amp; Dashboards'!$B$5:$B$200,MATCH(B57,'Projections &amp; Dashboards'!$A$5:$A$200,0)),IFERROR(INDEX(Funções!$O$5:$O$300,MATCH(B57,Funções!$A$5:$A$300,0)),IFERROR(INDEX(Telas!$C$5:$C$400,MATCH(B57,Telas!$A$5:$A$400,0)),IFERROR(INDEX(Roadmap!$D$6:$D$200,MATCH(B57,Roadmap!$A$6:$A$200,0)),IFERROR(INDEX(Modules!$C$5:$C$100,MATCH(B57,Modules!$A$5:$A$100,0)),"NOT FOUND"))))))))</f>
        <v/>
      </c>
      <c r="D57" s="95">
        <f>IF(B57="","",IF(C57="NOT FOUND","—",IFERROR(INDEX(Listas!$J$5:$J$13,MATCH(LEFT(B57,FIND("-",B57)-1),Listas!$I$5:$I$13,0)),"Module / area")))</f>
        <v/>
      </c>
      <c r="E57" s="93" t="n"/>
      <c r="F57" s="93" t="n"/>
      <c r="G57" s="95">
        <f>IF(F57="","",IFERROR(INDEX('Constants &amp; Enums'!$B$5:$B$200,MATCH(F57,'Constants &amp; Enums'!$A$5:$A$200,0)),IFERROR(INDEX('Metrics &amp; Formulas'!$B$5:$B$200,MATCH(F57,'Metrics &amp; Formulas'!$A$5:$A$200,0)),IFERROR(INDEX('Projections &amp; Dashboards'!$B$5:$B$200,MATCH(F57,'Projections &amp; Dashboards'!$A$5:$A$200,0)),IFERROR(INDEX(Funções!$O$5:$O$300,MATCH(F57,Funções!$A$5:$A$300,0)),IFERROR(INDEX(Telas!$C$5:$C$400,MATCH(F57,Telas!$A$5:$A$400,0)),IFERROR(INDEX(Roadmap!$D$6:$D$200,MATCH(F57,Roadmap!$A$6:$A$200,0)),IFERROR(INDEX(Modules!$C$5:$C$100,MATCH(F57,Modules!$A$5:$A$100,0)),"NOT FOUND"))))))))</f>
        <v/>
      </c>
      <c r="H57" s="95">
        <f>IF(F57="","",IF(G57="NOT FOUND","—",IFERROR(INDEX(Listas!$J$5:$J$13,MATCH(LEFT(F57,FIND("-",F57)-1),Listas!$I$5:$I$13,0)),"Module / area")))</f>
        <v/>
      </c>
      <c r="I57" s="95">
        <f>IF(AND(B57="",F57=""),"",IF(OR(C57="NOT FOUND",G57="NOT FOUND"),"✖ ID inexistente",IF(B57=F57,"✖ Autorreferência",IF(E57="","✖ Sem relação","✔ OK"))))</f>
        <v/>
      </c>
      <c r="J57" s="93" t="n"/>
    </row>
    <row r="58" ht="15" customHeight="1" s="50">
      <c r="A58" s="93" t="n"/>
      <c r="B58" s="93" t="n"/>
      <c r="C58" s="95">
        <f>IF(B58="","",IFERROR(INDEX('Constants &amp; Enums'!$B$5:$B$200,MATCH(B58,'Constants &amp; Enums'!$A$5:$A$200,0)),IFERROR(INDEX('Metrics &amp; Formulas'!$B$5:$B$200,MATCH(B58,'Metrics &amp; Formulas'!$A$5:$A$200,0)),IFERROR(INDEX('Projections &amp; Dashboards'!$B$5:$B$200,MATCH(B58,'Projections &amp; Dashboards'!$A$5:$A$200,0)),IFERROR(INDEX(Funções!$O$5:$O$300,MATCH(B58,Funções!$A$5:$A$300,0)),IFERROR(INDEX(Telas!$C$5:$C$400,MATCH(B58,Telas!$A$5:$A$400,0)),IFERROR(INDEX(Roadmap!$D$6:$D$200,MATCH(B58,Roadmap!$A$6:$A$200,0)),IFERROR(INDEX(Modules!$C$5:$C$100,MATCH(B58,Modules!$A$5:$A$100,0)),"NOT FOUND"))))))))</f>
        <v/>
      </c>
      <c r="D58" s="95">
        <f>IF(B58="","",IF(C58="NOT FOUND","—",IFERROR(INDEX(Listas!$J$5:$J$13,MATCH(LEFT(B58,FIND("-",B58)-1),Listas!$I$5:$I$13,0)),"Module / area")))</f>
        <v/>
      </c>
      <c r="E58" s="93" t="n"/>
      <c r="F58" s="93" t="n"/>
      <c r="G58" s="95">
        <f>IF(F58="","",IFERROR(INDEX('Constants &amp; Enums'!$B$5:$B$200,MATCH(F58,'Constants &amp; Enums'!$A$5:$A$200,0)),IFERROR(INDEX('Metrics &amp; Formulas'!$B$5:$B$200,MATCH(F58,'Metrics &amp; Formulas'!$A$5:$A$200,0)),IFERROR(INDEX('Projections &amp; Dashboards'!$B$5:$B$200,MATCH(F58,'Projections &amp; Dashboards'!$A$5:$A$200,0)),IFERROR(INDEX(Funções!$O$5:$O$300,MATCH(F58,Funções!$A$5:$A$300,0)),IFERROR(INDEX(Telas!$C$5:$C$400,MATCH(F58,Telas!$A$5:$A$400,0)),IFERROR(INDEX(Roadmap!$D$6:$D$200,MATCH(F58,Roadmap!$A$6:$A$200,0)),IFERROR(INDEX(Modules!$C$5:$C$100,MATCH(F58,Modules!$A$5:$A$100,0)),"NOT FOUND"))))))))</f>
        <v/>
      </c>
      <c r="H58" s="95">
        <f>IF(F58="","",IF(G58="NOT FOUND","—",IFERROR(INDEX(Listas!$J$5:$J$13,MATCH(LEFT(F58,FIND("-",F58)-1),Listas!$I$5:$I$13,0)),"Module / area")))</f>
        <v/>
      </c>
      <c r="I58" s="95">
        <f>IF(AND(B58="",F58=""),"",IF(OR(C58="NOT FOUND",G58="NOT FOUND"),"✖ ID inexistente",IF(B58=F58,"✖ Autorreferência",IF(E58="","✖ Sem relação","✔ OK"))))</f>
        <v/>
      </c>
      <c r="J58" s="93" t="n"/>
    </row>
    <row r="59" ht="15" customHeight="1" s="50">
      <c r="A59" s="93" t="n"/>
      <c r="B59" s="93" t="n"/>
      <c r="C59" s="95">
        <f>IF(B59="","",IFERROR(INDEX('Constants &amp; Enums'!$B$5:$B$200,MATCH(B59,'Constants &amp; Enums'!$A$5:$A$200,0)),IFERROR(INDEX('Metrics &amp; Formulas'!$B$5:$B$200,MATCH(B59,'Metrics &amp; Formulas'!$A$5:$A$200,0)),IFERROR(INDEX('Projections &amp; Dashboards'!$B$5:$B$200,MATCH(B59,'Projections &amp; Dashboards'!$A$5:$A$200,0)),IFERROR(INDEX(Funções!$O$5:$O$300,MATCH(B59,Funções!$A$5:$A$300,0)),IFERROR(INDEX(Telas!$C$5:$C$400,MATCH(B59,Telas!$A$5:$A$400,0)),IFERROR(INDEX(Roadmap!$D$6:$D$200,MATCH(B59,Roadmap!$A$6:$A$200,0)),IFERROR(INDEX(Modules!$C$5:$C$100,MATCH(B59,Modules!$A$5:$A$100,0)),"NOT FOUND"))))))))</f>
        <v/>
      </c>
      <c r="D59" s="95">
        <f>IF(B59="","",IF(C59="NOT FOUND","—",IFERROR(INDEX(Listas!$J$5:$J$13,MATCH(LEFT(B59,FIND("-",B59)-1),Listas!$I$5:$I$13,0)),"Module / area")))</f>
        <v/>
      </c>
      <c r="E59" s="93" t="n"/>
      <c r="F59" s="93" t="n"/>
      <c r="G59" s="95">
        <f>IF(F59="","",IFERROR(INDEX('Constants &amp; Enums'!$B$5:$B$200,MATCH(F59,'Constants &amp; Enums'!$A$5:$A$200,0)),IFERROR(INDEX('Metrics &amp; Formulas'!$B$5:$B$200,MATCH(F59,'Metrics &amp; Formulas'!$A$5:$A$200,0)),IFERROR(INDEX('Projections &amp; Dashboards'!$B$5:$B$200,MATCH(F59,'Projections &amp; Dashboards'!$A$5:$A$200,0)),IFERROR(INDEX(Funções!$O$5:$O$300,MATCH(F59,Funções!$A$5:$A$300,0)),IFERROR(INDEX(Telas!$C$5:$C$400,MATCH(F59,Telas!$A$5:$A$400,0)),IFERROR(INDEX(Roadmap!$D$6:$D$200,MATCH(F59,Roadmap!$A$6:$A$200,0)),IFERROR(INDEX(Modules!$C$5:$C$100,MATCH(F59,Modules!$A$5:$A$100,0)),"NOT FOUND"))))))))</f>
        <v/>
      </c>
      <c r="H59" s="95">
        <f>IF(F59="","",IF(G59="NOT FOUND","—",IFERROR(INDEX(Listas!$J$5:$J$13,MATCH(LEFT(F59,FIND("-",F59)-1),Listas!$I$5:$I$13,0)),"Module / area")))</f>
        <v/>
      </c>
      <c r="I59" s="95">
        <f>IF(AND(B59="",F59=""),"",IF(OR(C59="NOT FOUND",G59="NOT FOUND"),"✖ ID inexistente",IF(B59=F59,"✖ Autorreferência",IF(E59="","✖ Sem relação","✔ OK"))))</f>
        <v/>
      </c>
      <c r="J59" s="93" t="n"/>
    </row>
    <row r="60" ht="15" customHeight="1" s="50">
      <c r="A60" s="93" t="n"/>
      <c r="B60" s="93" t="n"/>
      <c r="C60" s="95">
        <f>IF(B60="","",IFERROR(INDEX('Constants &amp; Enums'!$B$5:$B$200,MATCH(B60,'Constants &amp; Enums'!$A$5:$A$200,0)),IFERROR(INDEX('Metrics &amp; Formulas'!$B$5:$B$200,MATCH(B60,'Metrics &amp; Formulas'!$A$5:$A$200,0)),IFERROR(INDEX('Projections &amp; Dashboards'!$B$5:$B$200,MATCH(B60,'Projections &amp; Dashboards'!$A$5:$A$200,0)),IFERROR(INDEX(Funções!$O$5:$O$300,MATCH(B60,Funções!$A$5:$A$300,0)),IFERROR(INDEX(Telas!$C$5:$C$400,MATCH(B60,Telas!$A$5:$A$400,0)),IFERROR(INDEX(Roadmap!$D$6:$D$200,MATCH(B60,Roadmap!$A$6:$A$200,0)),IFERROR(INDEX(Modules!$C$5:$C$100,MATCH(B60,Modules!$A$5:$A$100,0)),"NOT FOUND"))))))))</f>
        <v/>
      </c>
      <c r="D60" s="95">
        <f>IF(B60="","",IF(C60="NOT FOUND","—",IFERROR(INDEX(Listas!$J$5:$J$13,MATCH(LEFT(B60,FIND("-",B60)-1),Listas!$I$5:$I$13,0)),"Module / area")))</f>
        <v/>
      </c>
      <c r="E60" s="93" t="n"/>
      <c r="F60" s="93" t="n"/>
      <c r="G60" s="95">
        <f>IF(F60="","",IFERROR(INDEX('Constants &amp; Enums'!$B$5:$B$200,MATCH(F60,'Constants &amp; Enums'!$A$5:$A$200,0)),IFERROR(INDEX('Metrics &amp; Formulas'!$B$5:$B$200,MATCH(F60,'Metrics &amp; Formulas'!$A$5:$A$200,0)),IFERROR(INDEX('Projections &amp; Dashboards'!$B$5:$B$200,MATCH(F60,'Projections &amp; Dashboards'!$A$5:$A$200,0)),IFERROR(INDEX(Funções!$O$5:$O$300,MATCH(F60,Funções!$A$5:$A$300,0)),IFERROR(INDEX(Telas!$C$5:$C$400,MATCH(F60,Telas!$A$5:$A$400,0)),IFERROR(INDEX(Roadmap!$D$6:$D$200,MATCH(F60,Roadmap!$A$6:$A$200,0)),IFERROR(INDEX(Modules!$C$5:$C$100,MATCH(F60,Modules!$A$5:$A$100,0)),"NOT FOUND"))))))))</f>
        <v/>
      </c>
      <c r="H60" s="95">
        <f>IF(F60="","",IF(G60="NOT FOUND","—",IFERROR(INDEX(Listas!$J$5:$J$13,MATCH(LEFT(F60,FIND("-",F60)-1),Listas!$I$5:$I$13,0)),"Module / area")))</f>
        <v/>
      </c>
      <c r="I60" s="95">
        <f>IF(AND(B60="",F60=""),"",IF(OR(C60="NOT FOUND",G60="NOT FOUND"),"✖ ID inexistente",IF(B60=F60,"✖ Autorreferência",IF(E60="","✖ Sem relação","✔ OK"))))</f>
        <v/>
      </c>
      <c r="J60" s="93" t="n"/>
    </row>
    <row r="61" ht="15" customHeight="1" s="50">
      <c r="A61" s="93" t="n"/>
      <c r="B61" s="93" t="n"/>
      <c r="C61" s="95">
        <f>IF(B61="","",IFERROR(INDEX('Constants &amp; Enums'!$B$5:$B$200,MATCH(B61,'Constants &amp; Enums'!$A$5:$A$200,0)),IFERROR(INDEX('Metrics &amp; Formulas'!$B$5:$B$200,MATCH(B61,'Metrics &amp; Formulas'!$A$5:$A$200,0)),IFERROR(INDEX('Projections &amp; Dashboards'!$B$5:$B$200,MATCH(B61,'Projections &amp; Dashboards'!$A$5:$A$200,0)),IFERROR(INDEX(Funções!$O$5:$O$300,MATCH(B61,Funções!$A$5:$A$300,0)),IFERROR(INDEX(Telas!$C$5:$C$400,MATCH(B61,Telas!$A$5:$A$400,0)),IFERROR(INDEX(Roadmap!$D$6:$D$200,MATCH(B61,Roadmap!$A$6:$A$200,0)),IFERROR(INDEX(Modules!$C$5:$C$100,MATCH(B61,Modules!$A$5:$A$100,0)),"NOT FOUND"))))))))</f>
        <v/>
      </c>
      <c r="D61" s="95">
        <f>IF(B61="","",IF(C61="NOT FOUND","—",IFERROR(INDEX(Listas!$J$5:$J$13,MATCH(LEFT(B61,FIND("-",B61)-1),Listas!$I$5:$I$13,0)),"Module / area")))</f>
        <v/>
      </c>
      <c r="E61" s="93" t="n"/>
      <c r="F61" s="93" t="n"/>
      <c r="G61" s="95">
        <f>IF(F61="","",IFERROR(INDEX('Constants &amp; Enums'!$B$5:$B$200,MATCH(F61,'Constants &amp; Enums'!$A$5:$A$200,0)),IFERROR(INDEX('Metrics &amp; Formulas'!$B$5:$B$200,MATCH(F61,'Metrics &amp; Formulas'!$A$5:$A$200,0)),IFERROR(INDEX('Projections &amp; Dashboards'!$B$5:$B$200,MATCH(F61,'Projections &amp; Dashboards'!$A$5:$A$200,0)),IFERROR(INDEX(Funções!$O$5:$O$300,MATCH(F61,Funções!$A$5:$A$300,0)),IFERROR(INDEX(Telas!$C$5:$C$400,MATCH(F61,Telas!$A$5:$A$400,0)),IFERROR(INDEX(Roadmap!$D$6:$D$200,MATCH(F61,Roadmap!$A$6:$A$200,0)),IFERROR(INDEX(Modules!$C$5:$C$100,MATCH(F61,Modules!$A$5:$A$100,0)),"NOT FOUND"))))))))</f>
        <v/>
      </c>
      <c r="H61" s="95">
        <f>IF(F61="","",IF(G61="NOT FOUND","—",IFERROR(INDEX(Listas!$J$5:$J$13,MATCH(LEFT(F61,FIND("-",F61)-1),Listas!$I$5:$I$13,0)),"Module / area")))</f>
        <v/>
      </c>
      <c r="I61" s="95">
        <f>IF(AND(B61="",F61=""),"",IF(OR(C61="NOT FOUND",G61="NOT FOUND"),"✖ ID inexistente",IF(B61=F61,"✖ Autorreferência",IF(E61="","✖ Sem relação","✔ OK"))))</f>
        <v/>
      </c>
      <c r="J61" s="93" t="n"/>
    </row>
    <row r="62" ht="15" customHeight="1" s="50">
      <c r="A62" s="93" t="n"/>
      <c r="B62" s="93" t="n"/>
      <c r="C62" s="95">
        <f>IF(B62="","",IFERROR(INDEX('Constants &amp; Enums'!$B$5:$B$200,MATCH(B62,'Constants &amp; Enums'!$A$5:$A$200,0)),IFERROR(INDEX('Metrics &amp; Formulas'!$B$5:$B$200,MATCH(B62,'Metrics &amp; Formulas'!$A$5:$A$200,0)),IFERROR(INDEX('Projections &amp; Dashboards'!$B$5:$B$200,MATCH(B62,'Projections &amp; Dashboards'!$A$5:$A$200,0)),IFERROR(INDEX(Funções!$O$5:$O$300,MATCH(B62,Funções!$A$5:$A$300,0)),IFERROR(INDEX(Telas!$C$5:$C$400,MATCH(B62,Telas!$A$5:$A$400,0)),IFERROR(INDEX(Roadmap!$D$6:$D$200,MATCH(B62,Roadmap!$A$6:$A$200,0)),IFERROR(INDEX(Modules!$C$5:$C$100,MATCH(B62,Modules!$A$5:$A$100,0)),"NOT FOUND"))))))))</f>
        <v/>
      </c>
      <c r="D62" s="95">
        <f>IF(B62="","",IF(C62="NOT FOUND","—",IFERROR(INDEX(Listas!$J$5:$J$13,MATCH(LEFT(B62,FIND("-",B62)-1),Listas!$I$5:$I$13,0)),"Module / area")))</f>
        <v/>
      </c>
      <c r="E62" s="93" t="n"/>
      <c r="F62" s="93" t="n"/>
      <c r="G62" s="95">
        <f>IF(F62="","",IFERROR(INDEX('Constants &amp; Enums'!$B$5:$B$200,MATCH(F62,'Constants &amp; Enums'!$A$5:$A$200,0)),IFERROR(INDEX('Metrics &amp; Formulas'!$B$5:$B$200,MATCH(F62,'Metrics &amp; Formulas'!$A$5:$A$200,0)),IFERROR(INDEX('Projections &amp; Dashboards'!$B$5:$B$200,MATCH(F62,'Projections &amp; Dashboards'!$A$5:$A$200,0)),IFERROR(INDEX(Funções!$O$5:$O$300,MATCH(F62,Funções!$A$5:$A$300,0)),IFERROR(INDEX(Telas!$C$5:$C$400,MATCH(F62,Telas!$A$5:$A$400,0)),IFERROR(INDEX(Roadmap!$D$6:$D$200,MATCH(F62,Roadmap!$A$6:$A$200,0)),IFERROR(INDEX(Modules!$C$5:$C$100,MATCH(F62,Modules!$A$5:$A$100,0)),"NOT FOUND"))))))))</f>
        <v/>
      </c>
      <c r="H62" s="95">
        <f>IF(F62="","",IF(G62="NOT FOUND","—",IFERROR(INDEX(Listas!$J$5:$J$13,MATCH(LEFT(F62,FIND("-",F62)-1),Listas!$I$5:$I$13,0)),"Module / area")))</f>
        <v/>
      </c>
      <c r="I62" s="95">
        <f>IF(AND(B62="",F62=""),"",IF(OR(C62="NOT FOUND",G62="NOT FOUND"),"✖ ID inexistente",IF(B62=F62,"✖ Autorreferência",IF(E62="","✖ Sem relação","✔ OK"))))</f>
        <v/>
      </c>
      <c r="J62" s="93" t="n"/>
    </row>
    <row r="63" ht="15" customHeight="1" s="50">
      <c r="A63" s="93" t="n"/>
      <c r="B63" s="93" t="n"/>
      <c r="C63" s="95">
        <f>IF(B63="","",IFERROR(INDEX('Constants &amp; Enums'!$B$5:$B$200,MATCH(B63,'Constants &amp; Enums'!$A$5:$A$200,0)),IFERROR(INDEX('Metrics &amp; Formulas'!$B$5:$B$200,MATCH(B63,'Metrics &amp; Formulas'!$A$5:$A$200,0)),IFERROR(INDEX('Projections &amp; Dashboards'!$B$5:$B$200,MATCH(B63,'Projections &amp; Dashboards'!$A$5:$A$200,0)),IFERROR(INDEX(Funções!$O$5:$O$300,MATCH(B63,Funções!$A$5:$A$300,0)),IFERROR(INDEX(Telas!$C$5:$C$400,MATCH(B63,Telas!$A$5:$A$400,0)),IFERROR(INDEX(Roadmap!$D$6:$D$200,MATCH(B63,Roadmap!$A$6:$A$200,0)),IFERROR(INDEX(Modules!$C$5:$C$100,MATCH(B63,Modules!$A$5:$A$100,0)),"NOT FOUND"))))))))</f>
        <v/>
      </c>
      <c r="D63" s="95">
        <f>IF(B63="","",IF(C63="NOT FOUND","—",IFERROR(INDEX(Listas!$J$5:$J$13,MATCH(LEFT(B63,FIND("-",B63)-1),Listas!$I$5:$I$13,0)),"Module / area")))</f>
        <v/>
      </c>
      <c r="E63" s="93" t="n"/>
      <c r="F63" s="93" t="n"/>
      <c r="G63" s="95">
        <f>IF(F63="","",IFERROR(INDEX('Constants &amp; Enums'!$B$5:$B$200,MATCH(F63,'Constants &amp; Enums'!$A$5:$A$200,0)),IFERROR(INDEX('Metrics &amp; Formulas'!$B$5:$B$200,MATCH(F63,'Metrics &amp; Formulas'!$A$5:$A$200,0)),IFERROR(INDEX('Projections &amp; Dashboards'!$B$5:$B$200,MATCH(F63,'Projections &amp; Dashboards'!$A$5:$A$200,0)),IFERROR(INDEX(Funções!$O$5:$O$300,MATCH(F63,Funções!$A$5:$A$300,0)),IFERROR(INDEX(Telas!$C$5:$C$400,MATCH(F63,Telas!$A$5:$A$400,0)),IFERROR(INDEX(Roadmap!$D$6:$D$200,MATCH(F63,Roadmap!$A$6:$A$200,0)),IFERROR(INDEX(Modules!$C$5:$C$100,MATCH(F63,Modules!$A$5:$A$100,0)),"NOT FOUND"))))))))</f>
        <v/>
      </c>
      <c r="H63" s="95">
        <f>IF(F63="","",IF(G63="NOT FOUND","—",IFERROR(INDEX(Listas!$J$5:$J$13,MATCH(LEFT(F63,FIND("-",F63)-1),Listas!$I$5:$I$13,0)),"Module / area")))</f>
        <v/>
      </c>
      <c r="I63" s="95">
        <f>IF(AND(B63="",F63=""),"",IF(OR(C63="NOT FOUND",G63="NOT FOUND"),"✖ ID inexistente",IF(B63=F63,"✖ Autorreferência",IF(E63="","✖ Sem relação","✔ OK"))))</f>
        <v/>
      </c>
      <c r="J63" s="93" t="n"/>
    </row>
    <row r="64" ht="15" customHeight="1" s="50">
      <c r="A64" s="93" t="n"/>
      <c r="B64" s="93" t="n"/>
      <c r="C64" s="95">
        <f>IF(B64="","",IFERROR(INDEX('Constants &amp; Enums'!$B$5:$B$200,MATCH(B64,'Constants &amp; Enums'!$A$5:$A$200,0)),IFERROR(INDEX('Metrics &amp; Formulas'!$B$5:$B$200,MATCH(B64,'Metrics &amp; Formulas'!$A$5:$A$200,0)),IFERROR(INDEX('Projections &amp; Dashboards'!$B$5:$B$200,MATCH(B64,'Projections &amp; Dashboards'!$A$5:$A$200,0)),IFERROR(INDEX(Funções!$O$5:$O$300,MATCH(B64,Funções!$A$5:$A$300,0)),IFERROR(INDEX(Telas!$C$5:$C$400,MATCH(B64,Telas!$A$5:$A$400,0)),IFERROR(INDEX(Roadmap!$D$6:$D$200,MATCH(B64,Roadmap!$A$6:$A$200,0)),IFERROR(INDEX(Modules!$C$5:$C$100,MATCH(B64,Modules!$A$5:$A$100,0)),"NOT FOUND"))))))))</f>
        <v/>
      </c>
      <c r="D64" s="95">
        <f>IF(B64="","",IF(C64="NOT FOUND","—",IFERROR(INDEX(Listas!$J$5:$J$13,MATCH(LEFT(B64,FIND("-",B64)-1),Listas!$I$5:$I$13,0)),"Module / area")))</f>
        <v/>
      </c>
      <c r="E64" s="93" t="n"/>
      <c r="F64" s="93" t="n"/>
      <c r="G64" s="95">
        <f>IF(F64="","",IFERROR(INDEX('Constants &amp; Enums'!$B$5:$B$200,MATCH(F64,'Constants &amp; Enums'!$A$5:$A$200,0)),IFERROR(INDEX('Metrics &amp; Formulas'!$B$5:$B$200,MATCH(F64,'Metrics &amp; Formulas'!$A$5:$A$200,0)),IFERROR(INDEX('Projections &amp; Dashboards'!$B$5:$B$200,MATCH(F64,'Projections &amp; Dashboards'!$A$5:$A$200,0)),IFERROR(INDEX(Funções!$O$5:$O$300,MATCH(F64,Funções!$A$5:$A$300,0)),IFERROR(INDEX(Telas!$C$5:$C$400,MATCH(F64,Telas!$A$5:$A$400,0)),IFERROR(INDEX(Roadmap!$D$6:$D$200,MATCH(F64,Roadmap!$A$6:$A$200,0)),IFERROR(INDEX(Modules!$C$5:$C$100,MATCH(F64,Modules!$A$5:$A$100,0)),"NOT FOUND"))))))))</f>
        <v/>
      </c>
      <c r="H64" s="95">
        <f>IF(F64="","",IF(G64="NOT FOUND","—",IFERROR(INDEX(Listas!$J$5:$J$13,MATCH(LEFT(F64,FIND("-",F64)-1),Listas!$I$5:$I$13,0)),"Module / area")))</f>
        <v/>
      </c>
      <c r="I64" s="95">
        <f>IF(AND(B64="",F64=""),"",IF(OR(C64="NOT FOUND",G64="NOT FOUND"),"✖ ID inexistente",IF(B64=F64,"✖ Autorreferência",IF(E64="","✖ Sem relação","✔ OK"))))</f>
        <v/>
      </c>
      <c r="J64" s="93" t="n"/>
    </row>
    <row r="65" ht="15" customHeight="1" s="50">
      <c r="A65" s="93" t="n"/>
      <c r="B65" s="93" t="n"/>
      <c r="C65" s="95">
        <f>IF(B65="","",IFERROR(INDEX('Constants &amp; Enums'!$B$5:$B$200,MATCH(B65,'Constants &amp; Enums'!$A$5:$A$200,0)),IFERROR(INDEX('Metrics &amp; Formulas'!$B$5:$B$200,MATCH(B65,'Metrics &amp; Formulas'!$A$5:$A$200,0)),IFERROR(INDEX('Projections &amp; Dashboards'!$B$5:$B$200,MATCH(B65,'Projections &amp; Dashboards'!$A$5:$A$200,0)),IFERROR(INDEX(Funções!$O$5:$O$300,MATCH(B65,Funções!$A$5:$A$300,0)),IFERROR(INDEX(Telas!$C$5:$C$400,MATCH(B65,Telas!$A$5:$A$400,0)),IFERROR(INDEX(Roadmap!$D$6:$D$200,MATCH(B65,Roadmap!$A$6:$A$200,0)),IFERROR(INDEX(Modules!$C$5:$C$100,MATCH(B65,Modules!$A$5:$A$100,0)),"NOT FOUND"))))))))</f>
        <v/>
      </c>
      <c r="D65" s="95">
        <f>IF(B65="","",IF(C65="NOT FOUND","—",IFERROR(INDEX(Listas!$J$5:$J$13,MATCH(LEFT(B65,FIND("-",B65)-1),Listas!$I$5:$I$13,0)),"Module / area")))</f>
        <v/>
      </c>
      <c r="E65" s="93" t="n"/>
      <c r="F65" s="93" t="n"/>
      <c r="G65" s="95">
        <f>IF(F65="","",IFERROR(INDEX('Constants &amp; Enums'!$B$5:$B$200,MATCH(F65,'Constants &amp; Enums'!$A$5:$A$200,0)),IFERROR(INDEX('Metrics &amp; Formulas'!$B$5:$B$200,MATCH(F65,'Metrics &amp; Formulas'!$A$5:$A$200,0)),IFERROR(INDEX('Projections &amp; Dashboards'!$B$5:$B$200,MATCH(F65,'Projections &amp; Dashboards'!$A$5:$A$200,0)),IFERROR(INDEX(Funções!$O$5:$O$300,MATCH(F65,Funções!$A$5:$A$300,0)),IFERROR(INDEX(Telas!$C$5:$C$400,MATCH(F65,Telas!$A$5:$A$400,0)),IFERROR(INDEX(Roadmap!$D$6:$D$200,MATCH(F65,Roadmap!$A$6:$A$200,0)),IFERROR(INDEX(Modules!$C$5:$C$100,MATCH(F65,Modules!$A$5:$A$100,0)),"NOT FOUND"))))))))</f>
        <v/>
      </c>
      <c r="H65" s="95">
        <f>IF(F65="","",IF(G65="NOT FOUND","—",IFERROR(INDEX(Listas!$J$5:$J$13,MATCH(LEFT(F65,FIND("-",F65)-1),Listas!$I$5:$I$13,0)),"Module / area")))</f>
        <v/>
      </c>
      <c r="I65" s="95">
        <f>IF(AND(B65="",F65=""),"",IF(OR(C65="NOT FOUND",G65="NOT FOUND"),"✖ ID inexistente",IF(B65=F65,"✖ Autorreferência",IF(E65="","✖ Sem relação","✔ OK"))))</f>
        <v/>
      </c>
      <c r="J65" s="93" t="n"/>
    </row>
    <row r="66" ht="15" customHeight="1" s="50">
      <c r="A66" s="93" t="n"/>
      <c r="B66" s="93" t="n"/>
      <c r="C66" s="95">
        <f>IF(B66="","",IFERROR(INDEX('Constants &amp; Enums'!$B$5:$B$200,MATCH(B66,'Constants &amp; Enums'!$A$5:$A$200,0)),IFERROR(INDEX('Metrics &amp; Formulas'!$B$5:$B$200,MATCH(B66,'Metrics &amp; Formulas'!$A$5:$A$200,0)),IFERROR(INDEX('Projections &amp; Dashboards'!$B$5:$B$200,MATCH(B66,'Projections &amp; Dashboards'!$A$5:$A$200,0)),IFERROR(INDEX(Funções!$O$5:$O$300,MATCH(B66,Funções!$A$5:$A$300,0)),IFERROR(INDEX(Telas!$C$5:$C$400,MATCH(B66,Telas!$A$5:$A$400,0)),IFERROR(INDEX(Roadmap!$D$6:$D$200,MATCH(B66,Roadmap!$A$6:$A$200,0)),IFERROR(INDEX(Modules!$C$5:$C$100,MATCH(B66,Modules!$A$5:$A$100,0)),"NOT FOUND"))))))))</f>
        <v/>
      </c>
      <c r="D66" s="95">
        <f>IF(B66="","",IF(C66="NOT FOUND","—",IFERROR(INDEX(Listas!$J$5:$J$13,MATCH(LEFT(B66,FIND("-",B66)-1),Listas!$I$5:$I$13,0)),"Module / area")))</f>
        <v/>
      </c>
      <c r="E66" s="93" t="n"/>
      <c r="F66" s="93" t="n"/>
      <c r="G66" s="95">
        <f>IF(F66="","",IFERROR(INDEX('Constants &amp; Enums'!$B$5:$B$200,MATCH(F66,'Constants &amp; Enums'!$A$5:$A$200,0)),IFERROR(INDEX('Metrics &amp; Formulas'!$B$5:$B$200,MATCH(F66,'Metrics &amp; Formulas'!$A$5:$A$200,0)),IFERROR(INDEX('Projections &amp; Dashboards'!$B$5:$B$200,MATCH(F66,'Projections &amp; Dashboards'!$A$5:$A$200,0)),IFERROR(INDEX(Funções!$O$5:$O$300,MATCH(F66,Funções!$A$5:$A$300,0)),IFERROR(INDEX(Telas!$C$5:$C$400,MATCH(F66,Telas!$A$5:$A$400,0)),IFERROR(INDEX(Roadmap!$D$6:$D$200,MATCH(F66,Roadmap!$A$6:$A$200,0)),IFERROR(INDEX(Modules!$C$5:$C$100,MATCH(F66,Modules!$A$5:$A$100,0)),"NOT FOUND"))))))))</f>
        <v/>
      </c>
      <c r="H66" s="95">
        <f>IF(F66="","",IF(G66="NOT FOUND","—",IFERROR(INDEX(Listas!$J$5:$J$13,MATCH(LEFT(F66,FIND("-",F66)-1),Listas!$I$5:$I$13,0)),"Module / area")))</f>
        <v/>
      </c>
      <c r="I66" s="95">
        <f>IF(AND(B66="",F66=""),"",IF(OR(C66="NOT FOUND",G66="NOT FOUND"),"✖ ID inexistente",IF(B66=F66,"✖ Autorreferência",IF(E66="","✖ Sem relação","✔ OK"))))</f>
        <v/>
      </c>
      <c r="J66" s="93" t="n"/>
    </row>
    <row r="67" ht="15" customHeight="1" s="50">
      <c r="A67" s="93" t="n"/>
      <c r="B67" s="93" t="n"/>
      <c r="C67" s="95">
        <f>IF(B67="","",IFERROR(INDEX('Constants &amp; Enums'!$B$5:$B$200,MATCH(B67,'Constants &amp; Enums'!$A$5:$A$200,0)),IFERROR(INDEX('Metrics &amp; Formulas'!$B$5:$B$200,MATCH(B67,'Metrics &amp; Formulas'!$A$5:$A$200,0)),IFERROR(INDEX('Projections &amp; Dashboards'!$B$5:$B$200,MATCH(B67,'Projections &amp; Dashboards'!$A$5:$A$200,0)),IFERROR(INDEX(Funções!$O$5:$O$300,MATCH(B67,Funções!$A$5:$A$300,0)),IFERROR(INDEX(Telas!$C$5:$C$400,MATCH(B67,Telas!$A$5:$A$400,0)),IFERROR(INDEX(Roadmap!$D$6:$D$200,MATCH(B67,Roadmap!$A$6:$A$200,0)),IFERROR(INDEX(Modules!$C$5:$C$100,MATCH(B67,Modules!$A$5:$A$100,0)),"NOT FOUND"))))))))</f>
        <v/>
      </c>
      <c r="D67" s="95">
        <f>IF(B67="","",IF(C67="NOT FOUND","—",IFERROR(INDEX(Listas!$J$5:$J$13,MATCH(LEFT(B67,FIND("-",B67)-1),Listas!$I$5:$I$13,0)),"Module / area")))</f>
        <v/>
      </c>
      <c r="E67" s="93" t="n"/>
      <c r="F67" s="93" t="n"/>
      <c r="G67" s="95">
        <f>IF(F67="","",IFERROR(INDEX('Constants &amp; Enums'!$B$5:$B$200,MATCH(F67,'Constants &amp; Enums'!$A$5:$A$200,0)),IFERROR(INDEX('Metrics &amp; Formulas'!$B$5:$B$200,MATCH(F67,'Metrics &amp; Formulas'!$A$5:$A$200,0)),IFERROR(INDEX('Projections &amp; Dashboards'!$B$5:$B$200,MATCH(F67,'Projections &amp; Dashboards'!$A$5:$A$200,0)),IFERROR(INDEX(Funções!$O$5:$O$300,MATCH(F67,Funções!$A$5:$A$300,0)),IFERROR(INDEX(Telas!$C$5:$C$400,MATCH(F67,Telas!$A$5:$A$400,0)),IFERROR(INDEX(Roadmap!$D$6:$D$200,MATCH(F67,Roadmap!$A$6:$A$200,0)),IFERROR(INDEX(Modules!$C$5:$C$100,MATCH(F67,Modules!$A$5:$A$100,0)),"NOT FOUND"))))))))</f>
        <v/>
      </c>
      <c r="H67" s="95">
        <f>IF(F67="","",IF(G67="NOT FOUND","—",IFERROR(INDEX(Listas!$J$5:$J$13,MATCH(LEFT(F67,FIND("-",F67)-1),Listas!$I$5:$I$13,0)),"Module / area")))</f>
        <v/>
      </c>
      <c r="I67" s="95">
        <f>IF(AND(B67="",F67=""),"",IF(OR(C67="NOT FOUND",G67="NOT FOUND"),"✖ ID inexistente",IF(B67=F67,"✖ Autorreferência",IF(E67="","✖ Sem relação","✔ OK"))))</f>
        <v/>
      </c>
      <c r="J67" s="93" t="n"/>
    </row>
    <row r="68" ht="15" customHeight="1" s="50">
      <c r="A68" s="93" t="n"/>
      <c r="B68" s="93" t="n"/>
      <c r="C68" s="95">
        <f>IF(B68="","",IFERROR(INDEX('Constants &amp; Enums'!$B$5:$B$200,MATCH(B68,'Constants &amp; Enums'!$A$5:$A$200,0)),IFERROR(INDEX('Metrics &amp; Formulas'!$B$5:$B$200,MATCH(B68,'Metrics &amp; Formulas'!$A$5:$A$200,0)),IFERROR(INDEX('Projections &amp; Dashboards'!$B$5:$B$200,MATCH(B68,'Projections &amp; Dashboards'!$A$5:$A$200,0)),IFERROR(INDEX(Funções!$O$5:$O$300,MATCH(B68,Funções!$A$5:$A$300,0)),IFERROR(INDEX(Telas!$C$5:$C$400,MATCH(B68,Telas!$A$5:$A$400,0)),IFERROR(INDEX(Roadmap!$D$6:$D$200,MATCH(B68,Roadmap!$A$6:$A$200,0)),IFERROR(INDEX(Modules!$C$5:$C$100,MATCH(B68,Modules!$A$5:$A$100,0)),"NOT FOUND"))))))))</f>
        <v/>
      </c>
      <c r="D68" s="95">
        <f>IF(B68="","",IF(C68="NOT FOUND","—",IFERROR(INDEX(Listas!$J$5:$J$13,MATCH(LEFT(B68,FIND("-",B68)-1),Listas!$I$5:$I$13,0)),"Module / area")))</f>
        <v/>
      </c>
      <c r="E68" s="93" t="n"/>
      <c r="F68" s="93" t="n"/>
      <c r="G68" s="95">
        <f>IF(F68="","",IFERROR(INDEX('Constants &amp; Enums'!$B$5:$B$200,MATCH(F68,'Constants &amp; Enums'!$A$5:$A$200,0)),IFERROR(INDEX('Metrics &amp; Formulas'!$B$5:$B$200,MATCH(F68,'Metrics &amp; Formulas'!$A$5:$A$200,0)),IFERROR(INDEX('Projections &amp; Dashboards'!$B$5:$B$200,MATCH(F68,'Projections &amp; Dashboards'!$A$5:$A$200,0)),IFERROR(INDEX(Funções!$O$5:$O$300,MATCH(F68,Funções!$A$5:$A$300,0)),IFERROR(INDEX(Telas!$C$5:$C$400,MATCH(F68,Telas!$A$5:$A$400,0)),IFERROR(INDEX(Roadmap!$D$6:$D$200,MATCH(F68,Roadmap!$A$6:$A$200,0)),IFERROR(INDEX(Modules!$C$5:$C$100,MATCH(F68,Modules!$A$5:$A$100,0)),"NOT FOUND"))))))))</f>
        <v/>
      </c>
      <c r="H68" s="95">
        <f>IF(F68="","",IF(G68="NOT FOUND","—",IFERROR(INDEX(Listas!$J$5:$J$13,MATCH(LEFT(F68,FIND("-",F68)-1),Listas!$I$5:$I$13,0)),"Module / area")))</f>
        <v/>
      </c>
      <c r="I68" s="95">
        <f>IF(AND(B68="",F68=""),"",IF(OR(C68="NOT FOUND",G68="NOT FOUND"),"✖ ID inexistente",IF(B68=F68,"✖ Autorreferência",IF(E68="","✖ Sem relação","✔ OK"))))</f>
        <v/>
      </c>
      <c r="J68" s="93" t="n"/>
    </row>
    <row r="69" ht="15" customHeight="1" s="50">
      <c r="A69" s="93" t="n"/>
      <c r="B69" s="93" t="n"/>
      <c r="C69" s="95">
        <f>IF(B69="","",IFERROR(INDEX('Constants &amp; Enums'!$B$5:$B$200,MATCH(B69,'Constants &amp; Enums'!$A$5:$A$200,0)),IFERROR(INDEX('Metrics &amp; Formulas'!$B$5:$B$200,MATCH(B69,'Metrics &amp; Formulas'!$A$5:$A$200,0)),IFERROR(INDEX('Projections &amp; Dashboards'!$B$5:$B$200,MATCH(B69,'Projections &amp; Dashboards'!$A$5:$A$200,0)),IFERROR(INDEX(Funções!$O$5:$O$300,MATCH(B69,Funções!$A$5:$A$300,0)),IFERROR(INDEX(Telas!$C$5:$C$400,MATCH(B69,Telas!$A$5:$A$400,0)),IFERROR(INDEX(Roadmap!$D$6:$D$200,MATCH(B69,Roadmap!$A$6:$A$200,0)),IFERROR(INDEX(Modules!$C$5:$C$100,MATCH(B69,Modules!$A$5:$A$100,0)),"NOT FOUND"))))))))</f>
        <v/>
      </c>
      <c r="D69" s="95">
        <f>IF(B69="","",IF(C69="NOT FOUND","—",IFERROR(INDEX(Listas!$J$5:$J$13,MATCH(LEFT(B69,FIND("-",B69)-1),Listas!$I$5:$I$13,0)),"Module / area")))</f>
        <v/>
      </c>
      <c r="E69" s="93" t="n"/>
      <c r="F69" s="93" t="n"/>
      <c r="G69" s="95">
        <f>IF(F69="","",IFERROR(INDEX('Constants &amp; Enums'!$B$5:$B$200,MATCH(F69,'Constants &amp; Enums'!$A$5:$A$200,0)),IFERROR(INDEX('Metrics &amp; Formulas'!$B$5:$B$200,MATCH(F69,'Metrics &amp; Formulas'!$A$5:$A$200,0)),IFERROR(INDEX('Projections &amp; Dashboards'!$B$5:$B$200,MATCH(F69,'Projections &amp; Dashboards'!$A$5:$A$200,0)),IFERROR(INDEX(Funções!$O$5:$O$300,MATCH(F69,Funções!$A$5:$A$300,0)),IFERROR(INDEX(Telas!$C$5:$C$400,MATCH(F69,Telas!$A$5:$A$400,0)),IFERROR(INDEX(Roadmap!$D$6:$D$200,MATCH(F69,Roadmap!$A$6:$A$200,0)),IFERROR(INDEX(Modules!$C$5:$C$100,MATCH(F69,Modules!$A$5:$A$100,0)),"NOT FOUND"))))))))</f>
        <v/>
      </c>
      <c r="H69" s="95">
        <f>IF(F69="","",IF(G69="NOT FOUND","—",IFERROR(INDEX(Listas!$J$5:$J$13,MATCH(LEFT(F69,FIND("-",F69)-1),Listas!$I$5:$I$13,0)),"Module / area")))</f>
        <v/>
      </c>
      <c r="I69" s="95">
        <f>IF(AND(B69="",F69=""),"",IF(OR(C69="NOT FOUND",G69="NOT FOUND"),"✖ ID inexistente",IF(B69=F69,"✖ Autorreferência",IF(E69="","✖ Sem relação","✔ OK"))))</f>
        <v/>
      </c>
      <c r="J69" s="93" t="n"/>
    </row>
    <row r="70" ht="15" customHeight="1" s="50">
      <c r="A70" s="93" t="n"/>
      <c r="B70" s="93" t="n"/>
      <c r="C70" s="95">
        <f>IF(B70="","",IFERROR(INDEX('Constants &amp; Enums'!$B$5:$B$200,MATCH(B70,'Constants &amp; Enums'!$A$5:$A$200,0)),IFERROR(INDEX('Metrics &amp; Formulas'!$B$5:$B$200,MATCH(B70,'Metrics &amp; Formulas'!$A$5:$A$200,0)),IFERROR(INDEX('Projections &amp; Dashboards'!$B$5:$B$200,MATCH(B70,'Projections &amp; Dashboards'!$A$5:$A$200,0)),IFERROR(INDEX(Funções!$O$5:$O$300,MATCH(B70,Funções!$A$5:$A$300,0)),IFERROR(INDEX(Telas!$C$5:$C$400,MATCH(B70,Telas!$A$5:$A$400,0)),IFERROR(INDEX(Roadmap!$D$6:$D$200,MATCH(B70,Roadmap!$A$6:$A$200,0)),IFERROR(INDEX(Modules!$C$5:$C$100,MATCH(B70,Modules!$A$5:$A$100,0)),"NOT FOUND"))))))))</f>
        <v/>
      </c>
      <c r="D70" s="95">
        <f>IF(B70="","",IF(C70="NOT FOUND","—",IFERROR(INDEX(Listas!$J$5:$J$13,MATCH(LEFT(B70,FIND("-",B70)-1),Listas!$I$5:$I$13,0)),"Module / area")))</f>
        <v/>
      </c>
      <c r="E70" s="93" t="n"/>
      <c r="F70" s="93" t="n"/>
      <c r="G70" s="95">
        <f>IF(F70="","",IFERROR(INDEX('Constants &amp; Enums'!$B$5:$B$200,MATCH(F70,'Constants &amp; Enums'!$A$5:$A$200,0)),IFERROR(INDEX('Metrics &amp; Formulas'!$B$5:$B$200,MATCH(F70,'Metrics &amp; Formulas'!$A$5:$A$200,0)),IFERROR(INDEX('Projections &amp; Dashboards'!$B$5:$B$200,MATCH(F70,'Projections &amp; Dashboards'!$A$5:$A$200,0)),IFERROR(INDEX(Funções!$O$5:$O$300,MATCH(F70,Funções!$A$5:$A$300,0)),IFERROR(INDEX(Telas!$C$5:$C$400,MATCH(F70,Telas!$A$5:$A$400,0)),IFERROR(INDEX(Roadmap!$D$6:$D$200,MATCH(F70,Roadmap!$A$6:$A$200,0)),IFERROR(INDEX(Modules!$C$5:$C$100,MATCH(F70,Modules!$A$5:$A$100,0)),"NOT FOUND"))))))))</f>
        <v/>
      </c>
      <c r="H70" s="95">
        <f>IF(F70="","",IF(G70="NOT FOUND","—",IFERROR(INDEX(Listas!$J$5:$J$13,MATCH(LEFT(F70,FIND("-",F70)-1),Listas!$I$5:$I$13,0)),"Module / area")))</f>
        <v/>
      </c>
      <c r="I70" s="95">
        <f>IF(AND(B70="",F70=""),"",IF(OR(C70="NOT FOUND",G70="NOT FOUND"),"✖ ID inexistente",IF(B70=F70,"✖ Autorreferência",IF(E70="","✖ Sem relação","✔ OK"))))</f>
        <v/>
      </c>
      <c r="J70" s="93" t="n"/>
    </row>
    <row r="71" ht="15" customHeight="1" s="50">
      <c r="A71" s="93" t="n"/>
      <c r="B71" s="93" t="n"/>
      <c r="C71" s="95">
        <f>IF(B71="","",IFERROR(INDEX('Constants &amp; Enums'!$B$5:$B$200,MATCH(B71,'Constants &amp; Enums'!$A$5:$A$200,0)),IFERROR(INDEX('Metrics &amp; Formulas'!$B$5:$B$200,MATCH(B71,'Metrics &amp; Formulas'!$A$5:$A$200,0)),IFERROR(INDEX('Projections &amp; Dashboards'!$B$5:$B$200,MATCH(B71,'Projections &amp; Dashboards'!$A$5:$A$200,0)),IFERROR(INDEX(Funções!$O$5:$O$300,MATCH(B71,Funções!$A$5:$A$300,0)),IFERROR(INDEX(Telas!$C$5:$C$400,MATCH(B71,Telas!$A$5:$A$400,0)),IFERROR(INDEX(Roadmap!$D$6:$D$200,MATCH(B71,Roadmap!$A$6:$A$200,0)),IFERROR(INDEX(Modules!$C$5:$C$100,MATCH(B71,Modules!$A$5:$A$100,0)),"NOT FOUND"))))))))</f>
        <v/>
      </c>
      <c r="D71" s="95">
        <f>IF(B71="","",IF(C71="NOT FOUND","—",IFERROR(INDEX(Listas!$J$5:$J$13,MATCH(LEFT(B71,FIND("-",B71)-1),Listas!$I$5:$I$13,0)),"Module / area")))</f>
        <v/>
      </c>
      <c r="E71" s="93" t="n"/>
      <c r="F71" s="93" t="n"/>
      <c r="G71" s="95">
        <f>IF(F71="","",IFERROR(INDEX('Constants &amp; Enums'!$B$5:$B$200,MATCH(F71,'Constants &amp; Enums'!$A$5:$A$200,0)),IFERROR(INDEX('Metrics &amp; Formulas'!$B$5:$B$200,MATCH(F71,'Metrics &amp; Formulas'!$A$5:$A$200,0)),IFERROR(INDEX('Projections &amp; Dashboards'!$B$5:$B$200,MATCH(F71,'Projections &amp; Dashboards'!$A$5:$A$200,0)),IFERROR(INDEX(Funções!$O$5:$O$300,MATCH(F71,Funções!$A$5:$A$300,0)),IFERROR(INDEX(Telas!$C$5:$C$400,MATCH(F71,Telas!$A$5:$A$400,0)),IFERROR(INDEX(Roadmap!$D$6:$D$200,MATCH(F71,Roadmap!$A$6:$A$200,0)),IFERROR(INDEX(Modules!$C$5:$C$100,MATCH(F71,Modules!$A$5:$A$100,0)),"NOT FOUND"))))))))</f>
        <v/>
      </c>
      <c r="H71" s="95">
        <f>IF(F71="","",IF(G71="NOT FOUND","—",IFERROR(INDEX(Listas!$J$5:$J$13,MATCH(LEFT(F71,FIND("-",F71)-1),Listas!$I$5:$I$13,0)),"Module / area")))</f>
        <v/>
      </c>
      <c r="I71" s="95">
        <f>IF(AND(B71="",F71=""),"",IF(OR(C71="NOT FOUND",G71="NOT FOUND"),"✖ ID inexistente",IF(B71=F71,"✖ Autorreferência",IF(E71="","✖ Sem relação","✔ OK"))))</f>
        <v/>
      </c>
      <c r="J71" s="93" t="n"/>
    </row>
    <row r="72" ht="15" customHeight="1" s="50">
      <c r="A72" s="93" t="n"/>
      <c r="B72" s="93" t="n"/>
      <c r="C72" s="95">
        <f>IF(B72="","",IFERROR(INDEX('Constants &amp; Enums'!$B$5:$B$200,MATCH(B72,'Constants &amp; Enums'!$A$5:$A$200,0)),IFERROR(INDEX('Metrics &amp; Formulas'!$B$5:$B$200,MATCH(B72,'Metrics &amp; Formulas'!$A$5:$A$200,0)),IFERROR(INDEX('Projections &amp; Dashboards'!$B$5:$B$200,MATCH(B72,'Projections &amp; Dashboards'!$A$5:$A$200,0)),IFERROR(INDEX(Funções!$O$5:$O$300,MATCH(B72,Funções!$A$5:$A$300,0)),IFERROR(INDEX(Telas!$C$5:$C$400,MATCH(B72,Telas!$A$5:$A$400,0)),IFERROR(INDEX(Roadmap!$D$6:$D$200,MATCH(B72,Roadmap!$A$6:$A$200,0)),IFERROR(INDEX(Modules!$C$5:$C$100,MATCH(B72,Modules!$A$5:$A$100,0)),"NOT FOUND"))))))))</f>
        <v/>
      </c>
      <c r="D72" s="95">
        <f>IF(B72="","",IF(C72="NOT FOUND","—",IFERROR(INDEX(Listas!$J$5:$J$13,MATCH(LEFT(B72,FIND("-",B72)-1),Listas!$I$5:$I$13,0)),"Module / area")))</f>
        <v/>
      </c>
      <c r="E72" s="93" t="n"/>
      <c r="F72" s="93" t="n"/>
      <c r="G72" s="95">
        <f>IF(F72="","",IFERROR(INDEX('Constants &amp; Enums'!$B$5:$B$200,MATCH(F72,'Constants &amp; Enums'!$A$5:$A$200,0)),IFERROR(INDEX('Metrics &amp; Formulas'!$B$5:$B$200,MATCH(F72,'Metrics &amp; Formulas'!$A$5:$A$200,0)),IFERROR(INDEX('Projections &amp; Dashboards'!$B$5:$B$200,MATCH(F72,'Projections &amp; Dashboards'!$A$5:$A$200,0)),IFERROR(INDEX(Funções!$O$5:$O$300,MATCH(F72,Funções!$A$5:$A$300,0)),IFERROR(INDEX(Telas!$C$5:$C$400,MATCH(F72,Telas!$A$5:$A$400,0)),IFERROR(INDEX(Roadmap!$D$6:$D$200,MATCH(F72,Roadmap!$A$6:$A$200,0)),IFERROR(INDEX(Modules!$C$5:$C$100,MATCH(F72,Modules!$A$5:$A$100,0)),"NOT FOUND"))))))))</f>
        <v/>
      </c>
      <c r="H72" s="95">
        <f>IF(F72="","",IF(G72="NOT FOUND","—",IFERROR(INDEX(Listas!$J$5:$J$13,MATCH(LEFT(F72,FIND("-",F72)-1),Listas!$I$5:$I$13,0)),"Module / area")))</f>
        <v/>
      </c>
      <c r="I72" s="95">
        <f>IF(AND(B72="",F72=""),"",IF(OR(C72="NOT FOUND",G72="NOT FOUND"),"✖ ID inexistente",IF(B72=F72,"✖ Autorreferência",IF(E72="","✖ Sem relação","✔ OK"))))</f>
        <v/>
      </c>
      <c r="J72" s="93" t="n"/>
    </row>
    <row r="73" ht="15" customHeight="1" s="50">
      <c r="A73" s="93" t="n"/>
      <c r="B73" s="93" t="n"/>
      <c r="C73" s="95">
        <f>IF(B73="","",IFERROR(INDEX('Constants &amp; Enums'!$B$5:$B$200,MATCH(B73,'Constants &amp; Enums'!$A$5:$A$200,0)),IFERROR(INDEX('Metrics &amp; Formulas'!$B$5:$B$200,MATCH(B73,'Metrics &amp; Formulas'!$A$5:$A$200,0)),IFERROR(INDEX('Projections &amp; Dashboards'!$B$5:$B$200,MATCH(B73,'Projections &amp; Dashboards'!$A$5:$A$200,0)),IFERROR(INDEX(Funções!$O$5:$O$300,MATCH(B73,Funções!$A$5:$A$300,0)),IFERROR(INDEX(Telas!$C$5:$C$400,MATCH(B73,Telas!$A$5:$A$400,0)),IFERROR(INDEX(Roadmap!$D$6:$D$200,MATCH(B73,Roadmap!$A$6:$A$200,0)),IFERROR(INDEX(Modules!$C$5:$C$100,MATCH(B73,Modules!$A$5:$A$100,0)),"NOT FOUND"))))))))</f>
        <v/>
      </c>
      <c r="D73" s="95">
        <f>IF(B73="","",IF(C73="NOT FOUND","—",IFERROR(INDEX(Listas!$J$5:$J$13,MATCH(LEFT(B73,FIND("-",B73)-1),Listas!$I$5:$I$13,0)),"Module / area")))</f>
        <v/>
      </c>
      <c r="E73" s="93" t="n"/>
      <c r="F73" s="93" t="n"/>
      <c r="G73" s="95">
        <f>IF(F73="","",IFERROR(INDEX('Constants &amp; Enums'!$B$5:$B$200,MATCH(F73,'Constants &amp; Enums'!$A$5:$A$200,0)),IFERROR(INDEX('Metrics &amp; Formulas'!$B$5:$B$200,MATCH(F73,'Metrics &amp; Formulas'!$A$5:$A$200,0)),IFERROR(INDEX('Projections &amp; Dashboards'!$B$5:$B$200,MATCH(F73,'Projections &amp; Dashboards'!$A$5:$A$200,0)),IFERROR(INDEX(Funções!$O$5:$O$300,MATCH(F73,Funções!$A$5:$A$300,0)),IFERROR(INDEX(Telas!$C$5:$C$400,MATCH(F73,Telas!$A$5:$A$400,0)),IFERROR(INDEX(Roadmap!$D$6:$D$200,MATCH(F73,Roadmap!$A$6:$A$200,0)),IFERROR(INDEX(Modules!$C$5:$C$100,MATCH(F73,Modules!$A$5:$A$100,0)),"NOT FOUND"))))))))</f>
        <v/>
      </c>
      <c r="H73" s="95">
        <f>IF(F73="","",IF(G73="NOT FOUND","—",IFERROR(INDEX(Listas!$J$5:$J$13,MATCH(LEFT(F73,FIND("-",F73)-1),Listas!$I$5:$I$13,0)),"Module / area")))</f>
        <v/>
      </c>
      <c r="I73" s="95">
        <f>IF(AND(B73="",F73=""),"",IF(OR(C73="NOT FOUND",G73="NOT FOUND"),"✖ ID inexistente",IF(B73=F73,"✖ Autorreferência",IF(E73="","✖ Sem relação","✔ OK"))))</f>
        <v/>
      </c>
      <c r="J73" s="93" t="n"/>
    </row>
    <row r="74" ht="15" customHeight="1" s="50">
      <c r="A74" s="93" t="n"/>
      <c r="B74" s="93" t="n"/>
      <c r="C74" s="95">
        <f>IF(B74="","",IFERROR(INDEX('Constants &amp; Enums'!$B$5:$B$200,MATCH(B74,'Constants &amp; Enums'!$A$5:$A$200,0)),IFERROR(INDEX('Metrics &amp; Formulas'!$B$5:$B$200,MATCH(B74,'Metrics &amp; Formulas'!$A$5:$A$200,0)),IFERROR(INDEX('Projections &amp; Dashboards'!$B$5:$B$200,MATCH(B74,'Projections &amp; Dashboards'!$A$5:$A$200,0)),IFERROR(INDEX(Funções!$O$5:$O$300,MATCH(B74,Funções!$A$5:$A$300,0)),IFERROR(INDEX(Telas!$C$5:$C$400,MATCH(B74,Telas!$A$5:$A$400,0)),IFERROR(INDEX(Roadmap!$D$6:$D$200,MATCH(B74,Roadmap!$A$6:$A$200,0)),IFERROR(INDEX(Modules!$C$5:$C$100,MATCH(B74,Modules!$A$5:$A$100,0)),"NOT FOUND"))))))))</f>
        <v/>
      </c>
      <c r="D74" s="95">
        <f>IF(B74="","",IF(C74="NOT FOUND","—",IFERROR(INDEX(Listas!$J$5:$J$13,MATCH(LEFT(B74,FIND("-",B74)-1),Listas!$I$5:$I$13,0)),"Module / area")))</f>
        <v/>
      </c>
      <c r="E74" s="93" t="n"/>
      <c r="F74" s="93" t="n"/>
      <c r="G74" s="95">
        <f>IF(F74="","",IFERROR(INDEX('Constants &amp; Enums'!$B$5:$B$200,MATCH(F74,'Constants &amp; Enums'!$A$5:$A$200,0)),IFERROR(INDEX('Metrics &amp; Formulas'!$B$5:$B$200,MATCH(F74,'Metrics &amp; Formulas'!$A$5:$A$200,0)),IFERROR(INDEX('Projections &amp; Dashboards'!$B$5:$B$200,MATCH(F74,'Projections &amp; Dashboards'!$A$5:$A$200,0)),IFERROR(INDEX(Funções!$O$5:$O$300,MATCH(F74,Funções!$A$5:$A$300,0)),IFERROR(INDEX(Telas!$C$5:$C$400,MATCH(F74,Telas!$A$5:$A$400,0)),IFERROR(INDEX(Roadmap!$D$6:$D$200,MATCH(F74,Roadmap!$A$6:$A$200,0)),IFERROR(INDEX(Modules!$C$5:$C$100,MATCH(F74,Modules!$A$5:$A$100,0)),"NOT FOUND"))))))))</f>
        <v/>
      </c>
      <c r="H74" s="95">
        <f>IF(F74="","",IF(G74="NOT FOUND","—",IFERROR(INDEX(Listas!$J$5:$J$13,MATCH(LEFT(F74,FIND("-",F74)-1),Listas!$I$5:$I$13,0)),"Module / area")))</f>
        <v/>
      </c>
      <c r="I74" s="95">
        <f>IF(AND(B74="",F74=""),"",IF(OR(C74="NOT FOUND",G74="NOT FOUND"),"✖ ID inexistente",IF(B74=F74,"✖ Autorreferência",IF(E74="","✖ Sem relação","✔ OK"))))</f>
        <v/>
      </c>
      <c r="J74" s="93" t="n"/>
    </row>
    <row r="75" ht="15" customHeight="1" s="50">
      <c r="A75" s="93" t="n"/>
      <c r="B75" s="93" t="n"/>
      <c r="C75" s="95">
        <f>IF(B75="","",IFERROR(INDEX('Constants &amp; Enums'!$B$5:$B$200,MATCH(B75,'Constants &amp; Enums'!$A$5:$A$200,0)),IFERROR(INDEX('Metrics &amp; Formulas'!$B$5:$B$200,MATCH(B75,'Metrics &amp; Formulas'!$A$5:$A$200,0)),IFERROR(INDEX('Projections &amp; Dashboards'!$B$5:$B$200,MATCH(B75,'Projections &amp; Dashboards'!$A$5:$A$200,0)),IFERROR(INDEX(Funções!$O$5:$O$300,MATCH(B75,Funções!$A$5:$A$300,0)),IFERROR(INDEX(Telas!$C$5:$C$400,MATCH(B75,Telas!$A$5:$A$400,0)),IFERROR(INDEX(Roadmap!$D$6:$D$200,MATCH(B75,Roadmap!$A$6:$A$200,0)),IFERROR(INDEX(Modules!$C$5:$C$100,MATCH(B75,Modules!$A$5:$A$100,0)),"NOT FOUND"))))))))</f>
        <v/>
      </c>
      <c r="D75" s="95">
        <f>IF(B75="","",IF(C75="NOT FOUND","—",IFERROR(INDEX(Listas!$J$5:$J$13,MATCH(LEFT(B75,FIND("-",B75)-1),Listas!$I$5:$I$13,0)),"Module / area")))</f>
        <v/>
      </c>
      <c r="E75" s="93" t="n"/>
      <c r="F75" s="93" t="n"/>
      <c r="G75" s="95">
        <f>IF(F75="","",IFERROR(INDEX('Constants &amp; Enums'!$B$5:$B$200,MATCH(F75,'Constants &amp; Enums'!$A$5:$A$200,0)),IFERROR(INDEX('Metrics &amp; Formulas'!$B$5:$B$200,MATCH(F75,'Metrics &amp; Formulas'!$A$5:$A$200,0)),IFERROR(INDEX('Projections &amp; Dashboards'!$B$5:$B$200,MATCH(F75,'Projections &amp; Dashboards'!$A$5:$A$200,0)),IFERROR(INDEX(Funções!$O$5:$O$300,MATCH(F75,Funções!$A$5:$A$300,0)),IFERROR(INDEX(Telas!$C$5:$C$400,MATCH(F75,Telas!$A$5:$A$400,0)),IFERROR(INDEX(Roadmap!$D$6:$D$200,MATCH(F75,Roadmap!$A$6:$A$200,0)),IFERROR(INDEX(Modules!$C$5:$C$100,MATCH(F75,Modules!$A$5:$A$100,0)),"NOT FOUND"))))))))</f>
        <v/>
      </c>
      <c r="H75" s="95">
        <f>IF(F75="","",IF(G75="NOT FOUND","—",IFERROR(INDEX(Listas!$J$5:$J$13,MATCH(LEFT(F75,FIND("-",F75)-1),Listas!$I$5:$I$13,0)),"Module / area")))</f>
        <v/>
      </c>
      <c r="I75" s="95">
        <f>IF(AND(B75="",F75=""),"",IF(OR(C75="NOT FOUND",G75="NOT FOUND"),"✖ ID inexistente",IF(B75=F75,"✖ Autorreferência",IF(E75="","✖ Sem relação","✔ OK"))))</f>
        <v/>
      </c>
      <c r="J75" s="93" t="n"/>
    </row>
    <row r="76" ht="15" customHeight="1" s="50">
      <c r="A76" s="93" t="n"/>
      <c r="B76" s="93" t="n"/>
      <c r="C76" s="95">
        <f>IF(B76="","",IFERROR(INDEX('Constants &amp; Enums'!$B$5:$B$200,MATCH(B76,'Constants &amp; Enums'!$A$5:$A$200,0)),IFERROR(INDEX('Metrics &amp; Formulas'!$B$5:$B$200,MATCH(B76,'Metrics &amp; Formulas'!$A$5:$A$200,0)),IFERROR(INDEX('Projections &amp; Dashboards'!$B$5:$B$200,MATCH(B76,'Projections &amp; Dashboards'!$A$5:$A$200,0)),IFERROR(INDEX(Funções!$O$5:$O$300,MATCH(B76,Funções!$A$5:$A$300,0)),IFERROR(INDEX(Telas!$C$5:$C$400,MATCH(B76,Telas!$A$5:$A$400,0)),IFERROR(INDEX(Roadmap!$D$6:$D$200,MATCH(B76,Roadmap!$A$6:$A$200,0)),IFERROR(INDEX(Modules!$C$5:$C$100,MATCH(B76,Modules!$A$5:$A$100,0)),"NOT FOUND"))))))))</f>
        <v/>
      </c>
      <c r="D76" s="95">
        <f>IF(B76="","",IF(C76="NOT FOUND","—",IFERROR(INDEX(Listas!$J$5:$J$13,MATCH(LEFT(B76,FIND("-",B76)-1),Listas!$I$5:$I$13,0)),"Module / area")))</f>
        <v/>
      </c>
      <c r="E76" s="93" t="n"/>
      <c r="F76" s="93" t="n"/>
      <c r="G76" s="95">
        <f>IF(F76="","",IFERROR(INDEX('Constants &amp; Enums'!$B$5:$B$200,MATCH(F76,'Constants &amp; Enums'!$A$5:$A$200,0)),IFERROR(INDEX('Metrics &amp; Formulas'!$B$5:$B$200,MATCH(F76,'Metrics &amp; Formulas'!$A$5:$A$200,0)),IFERROR(INDEX('Projections &amp; Dashboards'!$B$5:$B$200,MATCH(F76,'Projections &amp; Dashboards'!$A$5:$A$200,0)),IFERROR(INDEX(Funções!$O$5:$O$300,MATCH(F76,Funções!$A$5:$A$300,0)),IFERROR(INDEX(Telas!$C$5:$C$400,MATCH(F76,Telas!$A$5:$A$400,0)),IFERROR(INDEX(Roadmap!$D$6:$D$200,MATCH(F76,Roadmap!$A$6:$A$200,0)),IFERROR(INDEX(Modules!$C$5:$C$100,MATCH(F76,Modules!$A$5:$A$100,0)),"NOT FOUND"))))))))</f>
        <v/>
      </c>
      <c r="H76" s="95">
        <f>IF(F76="","",IF(G76="NOT FOUND","—",IFERROR(INDEX(Listas!$J$5:$J$13,MATCH(LEFT(F76,FIND("-",F76)-1),Listas!$I$5:$I$13,0)),"Module / area")))</f>
        <v/>
      </c>
      <c r="I76" s="95">
        <f>IF(AND(B76="",F76=""),"",IF(OR(C76="NOT FOUND",G76="NOT FOUND"),"✖ ID inexistente",IF(B76=F76,"✖ Autorreferência",IF(E76="","✖ Sem relação","✔ OK"))))</f>
        <v/>
      </c>
      <c r="J76" s="93" t="n"/>
    </row>
    <row r="77" ht="15" customHeight="1" s="50">
      <c r="A77" s="93" t="n"/>
      <c r="B77" s="93" t="n"/>
      <c r="C77" s="95">
        <f>IF(B77="","",IFERROR(INDEX('Constants &amp; Enums'!$B$5:$B$200,MATCH(B77,'Constants &amp; Enums'!$A$5:$A$200,0)),IFERROR(INDEX('Metrics &amp; Formulas'!$B$5:$B$200,MATCH(B77,'Metrics &amp; Formulas'!$A$5:$A$200,0)),IFERROR(INDEX('Projections &amp; Dashboards'!$B$5:$B$200,MATCH(B77,'Projections &amp; Dashboards'!$A$5:$A$200,0)),IFERROR(INDEX(Funções!$O$5:$O$300,MATCH(B77,Funções!$A$5:$A$300,0)),IFERROR(INDEX(Telas!$C$5:$C$400,MATCH(B77,Telas!$A$5:$A$400,0)),IFERROR(INDEX(Roadmap!$D$6:$D$200,MATCH(B77,Roadmap!$A$6:$A$200,0)),IFERROR(INDEX(Modules!$C$5:$C$100,MATCH(B77,Modules!$A$5:$A$100,0)),"NOT FOUND"))))))))</f>
        <v/>
      </c>
      <c r="D77" s="95">
        <f>IF(B77="","",IF(C77="NOT FOUND","—",IFERROR(INDEX(Listas!$J$5:$J$13,MATCH(LEFT(B77,FIND("-",B77)-1),Listas!$I$5:$I$13,0)),"Module / area")))</f>
        <v/>
      </c>
      <c r="E77" s="93" t="n"/>
      <c r="F77" s="93" t="n"/>
      <c r="G77" s="95">
        <f>IF(F77="","",IFERROR(INDEX('Constants &amp; Enums'!$B$5:$B$200,MATCH(F77,'Constants &amp; Enums'!$A$5:$A$200,0)),IFERROR(INDEX('Metrics &amp; Formulas'!$B$5:$B$200,MATCH(F77,'Metrics &amp; Formulas'!$A$5:$A$200,0)),IFERROR(INDEX('Projections &amp; Dashboards'!$B$5:$B$200,MATCH(F77,'Projections &amp; Dashboards'!$A$5:$A$200,0)),IFERROR(INDEX(Funções!$O$5:$O$300,MATCH(F77,Funções!$A$5:$A$300,0)),IFERROR(INDEX(Telas!$C$5:$C$400,MATCH(F77,Telas!$A$5:$A$400,0)),IFERROR(INDEX(Roadmap!$D$6:$D$200,MATCH(F77,Roadmap!$A$6:$A$200,0)),IFERROR(INDEX(Modules!$C$5:$C$100,MATCH(F77,Modules!$A$5:$A$100,0)),"NOT FOUND"))))))))</f>
        <v/>
      </c>
      <c r="H77" s="95">
        <f>IF(F77="","",IF(G77="NOT FOUND","—",IFERROR(INDEX(Listas!$J$5:$J$13,MATCH(LEFT(F77,FIND("-",F77)-1),Listas!$I$5:$I$13,0)),"Module / area")))</f>
        <v/>
      </c>
      <c r="I77" s="95">
        <f>IF(AND(B77="",F77=""),"",IF(OR(C77="NOT FOUND",G77="NOT FOUND"),"✖ ID inexistente",IF(B77=F77,"✖ Autorreferência",IF(E77="","✖ Sem relação","✔ OK"))))</f>
        <v/>
      </c>
      <c r="J77" s="93" t="n"/>
    </row>
    <row r="78" ht="15" customHeight="1" s="50">
      <c r="A78" s="93" t="n"/>
      <c r="B78" s="93" t="n"/>
      <c r="C78" s="95">
        <f>IF(B78="","",IFERROR(INDEX('Constants &amp; Enums'!$B$5:$B$200,MATCH(B78,'Constants &amp; Enums'!$A$5:$A$200,0)),IFERROR(INDEX('Metrics &amp; Formulas'!$B$5:$B$200,MATCH(B78,'Metrics &amp; Formulas'!$A$5:$A$200,0)),IFERROR(INDEX('Projections &amp; Dashboards'!$B$5:$B$200,MATCH(B78,'Projections &amp; Dashboards'!$A$5:$A$200,0)),IFERROR(INDEX(Funções!$O$5:$O$300,MATCH(B78,Funções!$A$5:$A$300,0)),IFERROR(INDEX(Telas!$C$5:$C$400,MATCH(B78,Telas!$A$5:$A$400,0)),IFERROR(INDEX(Roadmap!$D$6:$D$200,MATCH(B78,Roadmap!$A$6:$A$200,0)),IFERROR(INDEX(Modules!$C$5:$C$100,MATCH(B78,Modules!$A$5:$A$100,0)),"NOT FOUND"))))))))</f>
        <v/>
      </c>
      <c r="D78" s="95">
        <f>IF(B78="","",IF(C78="NOT FOUND","—",IFERROR(INDEX(Listas!$J$5:$J$13,MATCH(LEFT(B78,FIND("-",B78)-1),Listas!$I$5:$I$13,0)),"Module / area")))</f>
        <v/>
      </c>
      <c r="E78" s="93" t="n"/>
      <c r="F78" s="93" t="n"/>
      <c r="G78" s="95">
        <f>IF(F78="","",IFERROR(INDEX('Constants &amp; Enums'!$B$5:$B$200,MATCH(F78,'Constants &amp; Enums'!$A$5:$A$200,0)),IFERROR(INDEX('Metrics &amp; Formulas'!$B$5:$B$200,MATCH(F78,'Metrics &amp; Formulas'!$A$5:$A$200,0)),IFERROR(INDEX('Projections &amp; Dashboards'!$B$5:$B$200,MATCH(F78,'Projections &amp; Dashboards'!$A$5:$A$200,0)),IFERROR(INDEX(Funções!$O$5:$O$300,MATCH(F78,Funções!$A$5:$A$300,0)),IFERROR(INDEX(Telas!$C$5:$C$400,MATCH(F78,Telas!$A$5:$A$400,0)),IFERROR(INDEX(Roadmap!$D$6:$D$200,MATCH(F78,Roadmap!$A$6:$A$200,0)),IFERROR(INDEX(Modules!$C$5:$C$100,MATCH(F78,Modules!$A$5:$A$100,0)),"NOT FOUND"))))))))</f>
        <v/>
      </c>
      <c r="H78" s="95">
        <f>IF(F78="","",IF(G78="NOT FOUND","—",IFERROR(INDEX(Listas!$J$5:$J$13,MATCH(LEFT(F78,FIND("-",F78)-1),Listas!$I$5:$I$13,0)),"Module / area")))</f>
        <v/>
      </c>
      <c r="I78" s="95">
        <f>IF(AND(B78="",F78=""),"",IF(OR(C78="NOT FOUND",G78="NOT FOUND"),"✖ ID inexistente",IF(B78=F78,"✖ Autorreferência",IF(E78="","✖ Sem relação","✔ OK"))))</f>
        <v/>
      </c>
      <c r="J78" s="93" t="n"/>
    </row>
    <row r="79" ht="15" customHeight="1" s="50">
      <c r="A79" s="93" t="n"/>
      <c r="B79" s="93" t="n"/>
      <c r="C79" s="95">
        <f>IF(B79="","",IFERROR(INDEX('Constants &amp; Enums'!$B$5:$B$200,MATCH(B79,'Constants &amp; Enums'!$A$5:$A$200,0)),IFERROR(INDEX('Metrics &amp; Formulas'!$B$5:$B$200,MATCH(B79,'Metrics &amp; Formulas'!$A$5:$A$200,0)),IFERROR(INDEX('Projections &amp; Dashboards'!$B$5:$B$200,MATCH(B79,'Projections &amp; Dashboards'!$A$5:$A$200,0)),IFERROR(INDEX(Funções!$O$5:$O$300,MATCH(B79,Funções!$A$5:$A$300,0)),IFERROR(INDEX(Telas!$C$5:$C$400,MATCH(B79,Telas!$A$5:$A$400,0)),IFERROR(INDEX(Roadmap!$D$6:$D$200,MATCH(B79,Roadmap!$A$6:$A$200,0)),IFERROR(INDEX(Modules!$C$5:$C$100,MATCH(B79,Modules!$A$5:$A$100,0)),"NOT FOUND"))))))))</f>
        <v/>
      </c>
      <c r="D79" s="95">
        <f>IF(B79="","",IF(C79="NOT FOUND","—",IFERROR(INDEX(Listas!$J$5:$J$13,MATCH(LEFT(B79,FIND("-",B79)-1),Listas!$I$5:$I$13,0)),"Module / area")))</f>
        <v/>
      </c>
      <c r="E79" s="93" t="n"/>
      <c r="F79" s="93" t="n"/>
      <c r="G79" s="95">
        <f>IF(F79="","",IFERROR(INDEX('Constants &amp; Enums'!$B$5:$B$200,MATCH(F79,'Constants &amp; Enums'!$A$5:$A$200,0)),IFERROR(INDEX('Metrics &amp; Formulas'!$B$5:$B$200,MATCH(F79,'Metrics &amp; Formulas'!$A$5:$A$200,0)),IFERROR(INDEX('Projections &amp; Dashboards'!$B$5:$B$200,MATCH(F79,'Projections &amp; Dashboards'!$A$5:$A$200,0)),IFERROR(INDEX(Funções!$O$5:$O$300,MATCH(F79,Funções!$A$5:$A$300,0)),IFERROR(INDEX(Telas!$C$5:$C$400,MATCH(F79,Telas!$A$5:$A$400,0)),IFERROR(INDEX(Roadmap!$D$6:$D$200,MATCH(F79,Roadmap!$A$6:$A$200,0)),IFERROR(INDEX(Modules!$C$5:$C$100,MATCH(F79,Modules!$A$5:$A$100,0)),"NOT FOUND"))))))))</f>
        <v/>
      </c>
      <c r="H79" s="95">
        <f>IF(F79="","",IF(G79="NOT FOUND","—",IFERROR(INDEX(Listas!$J$5:$J$13,MATCH(LEFT(F79,FIND("-",F79)-1),Listas!$I$5:$I$13,0)),"Module / area")))</f>
        <v/>
      </c>
      <c r="I79" s="95">
        <f>IF(AND(B79="",F79=""),"",IF(OR(C79="NOT FOUND",G79="NOT FOUND"),"✖ ID inexistente",IF(B79=F79,"✖ Autorreferência",IF(E79="","✖ Sem relação","✔ OK"))))</f>
        <v/>
      </c>
      <c r="J79" s="93" t="n"/>
    </row>
    <row r="80" ht="15" customHeight="1" s="50">
      <c r="A80" s="93" t="n"/>
      <c r="B80" s="93" t="n"/>
      <c r="C80" s="95">
        <f>IF(B80="","",IFERROR(INDEX('Constants &amp; Enums'!$B$5:$B$200,MATCH(B80,'Constants &amp; Enums'!$A$5:$A$200,0)),IFERROR(INDEX('Metrics &amp; Formulas'!$B$5:$B$200,MATCH(B80,'Metrics &amp; Formulas'!$A$5:$A$200,0)),IFERROR(INDEX('Projections &amp; Dashboards'!$B$5:$B$200,MATCH(B80,'Projections &amp; Dashboards'!$A$5:$A$200,0)),IFERROR(INDEX(Funções!$O$5:$O$300,MATCH(B80,Funções!$A$5:$A$300,0)),IFERROR(INDEX(Telas!$C$5:$C$400,MATCH(B80,Telas!$A$5:$A$400,0)),IFERROR(INDEX(Roadmap!$D$6:$D$200,MATCH(B80,Roadmap!$A$6:$A$200,0)),IFERROR(INDEX(Modules!$C$5:$C$100,MATCH(B80,Modules!$A$5:$A$100,0)),"NOT FOUND"))))))))</f>
        <v/>
      </c>
      <c r="D80" s="95">
        <f>IF(B80="","",IF(C80="NOT FOUND","—",IFERROR(INDEX(Listas!$J$5:$J$13,MATCH(LEFT(B80,FIND("-",B80)-1),Listas!$I$5:$I$13,0)),"Module / area")))</f>
        <v/>
      </c>
      <c r="E80" s="93" t="n"/>
      <c r="F80" s="93" t="n"/>
      <c r="G80" s="95">
        <f>IF(F80="","",IFERROR(INDEX('Constants &amp; Enums'!$B$5:$B$200,MATCH(F80,'Constants &amp; Enums'!$A$5:$A$200,0)),IFERROR(INDEX('Metrics &amp; Formulas'!$B$5:$B$200,MATCH(F80,'Metrics &amp; Formulas'!$A$5:$A$200,0)),IFERROR(INDEX('Projections &amp; Dashboards'!$B$5:$B$200,MATCH(F80,'Projections &amp; Dashboards'!$A$5:$A$200,0)),IFERROR(INDEX(Funções!$O$5:$O$300,MATCH(F80,Funções!$A$5:$A$300,0)),IFERROR(INDEX(Telas!$C$5:$C$400,MATCH(F80,Telas!$A$5:$A$400,0)),IFERROR(INDEX(Roadmap!$D$6:$D$200,MATCH(F80,Roadmap!$A$6:$A$200,0)),IFERROR(INDEX(Modules!$C$5:$C$100,MATCH(F80,Modules!$A$5:$A$100,0)),"NOT FOUND"))))))))</f>
        <v/>
      </c>
      <c r="H80" s="95">
        <f>IF(F80="","",IF(G80="NOT FOUND","—",IFERROR(INDEX(Listas!$J$5:$J$13,MATCH(LEFT(F80,FIND("-",F80)-1),Listas!$I$5:$I$13,0)),"Module / area")))</f>
        <v/>
      </c>
      <c r="I80" s="95">
        <f>IF(AND(B80="",F80=""),"",IF(OR(C80="NOT FOUND",G80="NOT FOUND"),"✖ ID inexistente",IF(B80=F80,"✖ Autorreferência",IF(E80="","✖ Sem relação","✔ OK"))))</f>
        <v/>
      </c>
      <c r="J80" s="93" t="n"/>
    </row>
    <row r="81" ht="15" customHeight="1" s="50">
      <c r="A81" s="93" t="n"/>
      <c r="B81" s="93" t="n"/>
      <c r="C81" s="95">
        <f>IF(B81="","",IFERROR(INDEX('Constants &amp; Enums'!$B$5:$B$200,MATCH(B81,'Constants &amp; Enums'!$A$5:$A$200,0)),IFERROR(INDEX('Metrics &amp; Formulas'!$B$5:$B$200,MATCH(B81,'Metrics &amp; Formulas'!$A$5:$A$200,0)),IFERROR(INDEX('Projections &amp; Dashboards'!$B$5:$B$200,MATCH(B81,'Projections &amp; Dashboards'!$A$5:$A$200,0)),IFERROR(INDEX(Funções!$O$5:$O$300,MATCH(B81,Funções!$A$5:$A$300,0)),IFERROR(INDEX(Telas!$C$5:$C$400,MATCH(B81,Telas!$A$5:$A$400,0)),IFERROR(INDEX(Roadmap!$D$6:$D$200,MATCH(B81,Roadmap!$A$6:$A$200,0)),IFERROR(INDEX(Modules!$C$5:$C$100,MATCH(B81,Modules!$A$5:$A$100,0)),"NOT FOUND"))))))))</f>
        <v/>
      </c>
      <c r="D81" s="95">
        <f>IF(B81="","",IF(C81="NOT FOUND","—",IFERROR(INDEX(Listas!$J$5:$J$13,MATCH(LEFT(B81,FIND("-",B81)-1),Listas!$I$5:$I$13,0)),"Module / area")))</f>
        <v/>
      </c>
      <c r="E81" s="93" t="n"/>
      <c r="F81" s="93" t="n"/>
      <c r="G81" s="95">
        <f>IF(F81="","",IFERROR(INDEX('Constants &amp; Enums'!$B$5:$B$200,MATCH(F81,'Constants &amp; Enums'!$A$5:$A$200,0)),IFERROR(INDEX('Metrics &amp; Formulas'!$B$5:$B$200,MATCH(F81,'Metrics &amp; Formulas'!$A$5:$A$200,0)),IFERROR(INDEX('Projections &amp; Dashboards'!$B$5:$B$200,MATCH(F81,'Projections &amp; Dashboards'!$A$5:$A$200,0)),IFERROR(INDEX(Funções!$O$5:$O$300,MATCH(F81,Funções!$A$5:$A$300,0)),IFERROR(INDEX(Telas!$C$5:$C$400,MATCH(F81,Telas!$A$5:$A$400,0)),IFERROR(INDEX(Roadmap!$D$6:$D$200,MATCH(F81,Roadmap!$A$6:$A$200,0)),IFERROR(INDEX(Modules!$C$5:$C$100,MATCH(F81,Modules!$A$5:$A$100,0)),"NOT FOUND"))))))))</f>
        <v/>
      </c>
      <c r="H81" s="95">
        <f>IF(F81="","",IF(G81="NOT FOUND","—",IFERROR(INDEX(Listas!$J$5:$J$13,MATCH(LEFT(F81,FIND("-",F81)-1),Listas!$I$5:$I$13,0)),"Module / area")))</f>
        <v/>
      </c>
      <c r="I81" s="95">
        <f>IF(AND(B81="",F81=""),"",IF(OR(C81="NOT FOUND",G81="NOT FOUND"),"✖ ID inexistente",IF(B81=F81,"✖ Autorreferência",IF(E81="","✖ Sem relação","✔ OK"))))</f>
        <v/>
      </c>
      <c r="J81" s="93" t="n"/>
    </row>
    <row r="82" ht="15" customHeight="1" s="50">
      <c r="A82" s="93" t="n"/>
      <c r="B82" s="93" t="n"/>
      <c r="C82" s="95">
        <f>IF(B82="","",IFERROR(INDEX('Constants &amp; Enums'!$B$5:$B$200,MATCH(B82,'Constants &amp; Enums'!$A$5:$A$200,0)),IFERROR(INDEX('Metrics &amp; Formulas'!$B$5:$B$200,MATCH(B82,'Metrics &amp; Formulas'!$A$5:$A$200,0)),IFERROR(INDEX('Projections &amp; Dashboards'!$B$5:$B$200,MATCH(B82,'Projections &amp; Dashboards'!$A$5:$A$200,0)),IFERROR(INDEX(Funções!$O$5:$O$300,MATCH(B82,Funções!$A$5:$A$300,0)),IFERROR(INDEX(Telas!$C$5:$C$400,MATCH(B82,Telas!$A$5:$A$400,0)),IFERROR(INDEX(Roadmap!$D$6:$D$200,MATCH(B82,Roadmap!$A$6:$A$200,0)),IFERROR(INDEX(Modules!$C$5:$C$100,MATCH(B82,Modules!$A$5:$A$100,0)),"NOT FOUND"))))))))</f>
        <v/>
      </c>
      <c r="D82" s="95">
        <f>IF(B82="","",IF(C82="NOT FOUND","—",IFERROR(INDEX(Listas!$J$5:$J$13,MATCH(LEFT(B82,FIND("-",B82)-1),Listas!$I$5:$I$13,0)),"Module / area")))</f>
        <v/>
      </c>
      <c r="E82" s="93" t="n"/>
      <c r="F82" s="93" t="n"/>
      <c r="G82" s="95">
        <f>IF(F82="","",IFERROR(INDEX('Constants &amp; Enums'!$B$5:$B$200,MATCH(F82,'Constants &amp; Enums'!$A$5:$A$200,0)),IFERROR(INDEX('Metrics &amp; Formulas'!$B$5:$B$200,MATCH(F82,'Metrics &amp; Formulas'!$A$5:$A$200,0)),IFERROR(INDEX('Projections &amp; Dashboards'!$B$5:$B$200,MATCH(F82,'Projections &amp; Dashboards'!$A$5:$A$200,0)),IFERROR(INDEX(Funções!$O$5:$O$300,MATCH(F82,Funções!$A$5:$A$300,0)),IFERROR(INDEX(Telas!$C$5:$C$400,MATCH(F82,Telas!$A$5:$A$400,0)),IFERROR(INDEX(Roadmap!$D$6:$D$200,MATCH(F82,Roadmap!$A$6:$A$200,0)),IFERROR(INDEX(Modules!$C$5:$C$100,MATCH(F82,Modules!$A$5:$A$100,0)),"NOT FOUND"))))))))</f>
        <v/>
      </c>
      <c r="H82" s="95">
        <f>IF(F82="","",IF(G82="NOT FOUND","—",IFERROR(INDEX(Listas!$J$5:$J$13,MATCH(LEFT(F82,FIND("-",F82)-1),Listas!$I$5:$I$13,0)),"Module / area")))</f>
        <v/>
      </c>
      <c r="I82" s="95">
        <f>IF(AND(B82="",F82=""),"",IF(OR(C82="NOT FOUND",G82="NOT FOUND"),"✖ ID inexistente",IF(B82=F82,"✖ Autorreferência",IF(E82="","✖ Sem relação","✔ OK"))))</f>
        <v/>
      </c>
      <c r="J82" s="93" t="n"/>
    </row>
    <row r="83" ht="15" customHeight="1" s="50">
      <c r="A83" s="93" t="n"/>
      <c r="B83" s="93" t="n"/>
      <c r="C83" s="95">
        <f>IF(B83="","",IFERROR(INDEX('Constants &amp; Enums'!$B$5:$B$200,MATCH(B83,'Constants &amp; Enums'!$A$5:$A$200,0)),IFERROR(INDEX('Metrics &amp; Formulas'!$B$5:$B$200,MATCH(B83,'Metrics &amp; Formulas'!$A$5:$A$200,0)),IFERROR(INDEX('Projections &amp; Dashboards'!$B$5:$B$200,MATCH(B83,'Projections &amp; Dashboards'!$A$5:$A$200,0)),IFERROR(INDEX(Funções!$O$5:$O$300,MATCH(B83,Funções!$A$5:$A$300,0)),IFERROR(INDEX(Telas!$C$5:$C$400,MATCH(B83,Telas!$A$5:$A$400,0)),IFERROR(INDEX(Roadmap!$D$6:$D$200,MATCH(B83,Roadmap!$A$6:$A$200,0)),IFERROR(INDEX(Modules!$C$5:$C$100,MATCH(B83,Modules!$A$5:$A$100,0)),"NOT FOUND"))))))))</f>
        <v/>
      </c>
      <c r="D83" s="95">
        <f>IF(B83="","",IF(C83="NOT FOUND","—",IFERROR(INDEX(Listas!$J$5:$J$13,MATCH(LEFT(B83,FIND("-",B83)-1),Listas!$I$5:$I$13,0)),"Module / area")))</f>
        <v/>
      </c>
      <c r="E83" s="93" t="n"/>
      <c r="F83" s="93" t="n"/>
      <c r="G83" s="95">
        <f>IF(F83="","",IFERROR(INDEX('Constants &amp; Enums'!$B$5:$B$200,MATCH(F83,'Constants &amp; Enums'!$A$5:$A$200,0)),IFERROR(INDEX('Metrics &amp; Formulas'!$B$5:$B$200,MATCH(F83,'Metrics &amp; Formulas'!$A$5:$A$200,0)),IFERROR(INDEX('Projections &amp; Dashboards'!$B$5:$B$200,MATCH(F83,'Projections &amp; Dashboards'!$A$5:$A$200,0)),IFERROR(INDEX(Funções!$O$5:$O$300,MATCH(F83,Funções!$A$5:$A$300,0)),IFERROR(INDEX(Telas!$C$5:$C$400,MATCH(F83,Telas!$A$5:$A$400,0)),IFERROR(INDEX(Roadmap!$D$6:$D$200,MATCH(F83,Roadmap!$A$6:$A$200,0)),IFERROR(INDEX(Modules!$C$5:$C$100,MATCH(F83,Modules!$A$5:$A$100,0)),"NOT FOUND"))))))))</f>
        <v/>
      </c>
      <c r="H83" s="95">
        <f>IF(F83="","",IF(G83="NOT FOUND","—",IFERROR(INDEX(Listas!$J$5:$J$13,MATCH(LEFT(F83,FIND("-",F83)-1),Listas!$I$5:$I$13,0)),"Module / area")))</f>
        <v/>
      </c>
      <c r="I83" s="95">
        <f>IF(AND(B83="",F83=""),"",IF(OR(C83="NOT FOUND",G83="NOT FOUND"),"✖ ID inexistente",IF(B83=F83,"✖ Autorreferência",IF(E83="","✖ Sem relação","✔ OK"))))</f>
        <v/>
      </c>
      <c r="J83" s="93" t="n"/>
    </row>
    <row r="84" ht="15" customHeight="1" s="50">
      <c r="A84" s="93" t="n"/>
      <c r="B84" s="93" t="n"/>
      <c r="C84" s="95">
        <f>IF(B84="","",IFERROR(INDEX('Constants &amp; Enums'!$B$5:$B$200,MATCH(B84,'Constants &amp; Enums'!$A$5:$A$200,0)),IFERROR(INDEX('Metrics &amp; Formulas'!$B$5:$B$200,MATCH(B84,'Metrics &amp; Formulas'!$A$5:$A$200,0)),IFERROR(INDEX('Projections &amp; Dashboards'!$B$5:$B$200,MATCH(B84,'Projections &amp; Dashboards'!$A$5:$A$200,0)),IFERROR(INDEX(Funções!$O$5:$O$300,MATCH(B84,Funções!$A$5:$A$300,0)),IFERROR(INDEX(Telas!$C$5:$C$400,MATCH(B84,Telas!$A$5:$A$400,0)),IFERROR(INDEX(Roadmap!$D$6:$D$200,MATCH(B84,Roadmap!$A$6:$A$200,0)),IFERROR(INDEX(Modules!$C$5:$C$100,MATCH(B84,Modules!$A$5:$A$100,0)),"NOT FOUND"))))))))</f>
        <v/>
      </c>
      <c r="D84" s="95">
        <f>IF(B84="","",IF(C84="NOT FOUND","—",IFERROR(INDEX(Listas!$J$5:$J$13,MATCH(LEFT(B84,FIND("-",B84)-1),Listas!$I$5:$I$13,0)),"Module / area")))</f>
        <v/>
      </c>
      <c r="E84" s="93" t="n"/>
      <c r="F84" s="93" t="n"/>
      <c r="G84" s="95">
        <f>IF(F84="","",IFERROR(INDEX('Constants &amp; Enums'!$B$5:$B$200,MATCH(F84,'Constants &amp; Enums'!$A$5:$A$200,0)),IFERROR(INDEX('Metrics &amp; Formulas'!$B$5:$B$200,MATCH(F84,'Metrics &amp; Formulas'!$A$5:$A$200,0)),IFERROR(INDEX('Projections &amp; Dashboards'!$B$5:$B$200,MATCH(F84,'Projections &amp; Dashboards'!$A$5:$A$200,0)),IFERROR(INDEX(Funções!$O$5:$O$300,MATCH(F84,Funções!$A$5:$A$300,0)),IFERROR(INDEX(Telas!$C$5:$C$400,MATCH(F84,Telas!$A$5:$A$400,0)),IFERROR(INDEX(Roadmap!$D$6:$D$200,MATCH(F84,Roadmap!$A$6:$A$200,0)),IFERROR(INDEX(Modules!$C$5:$C$100,MATCH(F84,Modules!$A$5:$A$100,0)),"NOT FOUND"))))))))</f>
        <v/>
      </c>
      <c r="H84" s="95">
        <f>IF(F84="","",IF(G84="NOT FOUND","—",IFERROR(INDEX(Listas!$J$5:$J$13,MATCH(LEFT(F84,FIND("-",F84)-1),Listas!$I$5:$I$13,0)),"Module / area")))</f>
        <v/>
      </c>
      <c r="I84" s="95">
        <f>IF(AND(B84="",F84=""),"",IF(OR(C84="NOT FOUND",G84="NOT FOUND"),"✖ ID inexistente",IF(B84=F84,"✖ Autorreferência",IF(E84="","✖ Sem relação","✔ OK"))))</f>
        <v/>
      </c>
      <c r="J84" s="93" t="n"/>
    </row>
    <row r="85" ht="15" customHeight="1" s="50">
      <c r="A85" s="93" t="n"/>
      <c r="B85" s="93" t="n"/>
      <c r="C85" s="95">
        <f>IF(B85="","",IFERROR(INDEX('Constants &amp; Enums'!$B$5:$B$200,MATCH(B85,'Constants &amp; Enums'!$A$5:$A$200,0)),IFERROR(INDEX('Metrics &amp; Formulas'!$B$5:$B$200,MATCH(B85,'Metrics &amp; Formulas'!$A$5:$A$200,0)),IFERROR(INDEX('Projections &amp; Dashboards'!$B$5:$B$200,MATCH(B85,'Projections &amp; Dashboards'!$A$5:$A$200,0)),IFERROR(INDEX(Funções!$O$5:$O$300,MATCH(B85,Funções!$A$5:$A$300,0)),IFERROR(INDEX(Telas!$C$5:$C$400,MATCH(B85,Telas!$A$5:$A$400,0)),IFERROR(INDEX(Roadmap!$D$6:$D$200,MATCH(B85,Roadmap!$A$6:$A$200,0)),IFERROR(INDEX(Modules!$C$5:$C$100,MATCH(B85,Modules!$A$5:$A$100,0)),"NOT FOUND"))))))))</f>
        <v/>
      </c>
      <c r="D85" s="95">
        <f>IF(B85="","",IF(C85="NOT FOUND","—",IFERROR(INDEX(Listas!$J$5:$J$13,MATCH(LEFT(B85,FIND("-",B85)-1),Listas!$I$5:$I$13,0)),"Module / area")))</f>
        <v/>
      </c>
      <c r="E85" s="93" t="n"/>
      <c r="F85" s="93" t="n"/>
      <c r="G85" s="95">
        <f>IF(F85="","",IFERROR(INDEX('Constants &amp; Enums'!$B$5:$B$200,MATCH(F85,'Constants &amp; Enums'!$A$5:$A$200,0)),IFERROR(INDEX('Metrics &amp; Formulas'!$B$5:$B$200,MATCH(F85,'Metrics &amp; Formulas'!$A$5:$A$200,0)),IFERROR(INDEX('Projections &amp; Dashboards'!$B$5:$B$200,MATCH(F85,'Projections &amp; Dashboards'!$A$5:$A$200,0)),IFERROR(INDEX(Funções!$O$5:$O$300,MATCH(F85,Funções!$A$5:$A$300,0)),IFERROR(INDEX(Telas!$C$5:$C$400,MATCH(F85,Telas!$A$5:$A$400,0)),IFERROR(INDEX(Roadmap!$D$6:$D$200,MATCH(F85,Roadmap!$A$6:$A$200,0)),IFERROR(INDEX(Modules!$C$5:$C$100,MATCH(F85,Modules!$A$5:$A$100,0)),"NOT FOUND"))))))))</f>
        <v/>
      </c>
      <c r="H85" s="95">
        <f>IF(F85="","",IF(G85="NOT FOUND","—",IFERROR(INDEX(Listas!$J$5:$J$13,MATCH(LEFT(F85,FIND("-",F85)-1),Listas!$I$5:$I$13,0)),"Module / area")))</f>
        <v/>
      </c>
      <c r="I85" s="95">
        <f>IF(AND(B85="",F85=""),"",IF(OR(C85="NOT FOUND",G85="NOT FOUND"),"✖ ID inexistente",IF(B85=F85,"✖ Autorreferência",IF(E85="","✖ Sem relação","✔ OK"))))</f>
        <v/>
      </c>
      <c r="J85" s="93" t="n"/>
    </row>
    <row r="86" ht="15" customHeight="1" s="50">
      <c r="A86" s="93" t="n"/>
      <c r="B86" s="93" t="n"/>
      <c r="C86" s="95">
        <f>IF(B86="","",IFERROR(INDEX('Constants &amp; Enums'!$B$5:$B$200,MATCH(B86,'Constants &amp; Enums'!$A$5:$A$200,0)),IFERROR(INDEX('Metrics &amp; Formulas'!$B$5:$B$200,MATCH(B86,'Metrics &amp; Formulas'!$A$5:$A$200,0)),IFERROR(INDEX('Projections &amp; Dashboards'!$B$5:$B$200,MATCH(B86,'Projections &amp; Dashboards'!$A$5:$A$200,0)),IFERROR(INDEX(Funções!$O$5:$O$300,MATCH(B86,Funções!$A$5:$A$300,0)),IFERROR(INDEX(Telas!$C$5:$C$400,MATCH(B86,Telas!$A$5:$A$400,0)),IFERROR(INDEX(Roadmap!$D$6:$D$200,MATCH(B86,Roadmap!$A$6:$A$200,0)),IFERROR(INDEX(Modules!$C$5:$C$100,MATCH(B86,Modules!$A$5:$A$100,0)),"NOT FOUND"))))))))</f>
        <v/>
      </c>
      <c r="D86" s="95">
        <f>IF(B86="","",IF(C86="NOT FOUND","—",IFERROR(INDEX(Listas!$J$5:$J$13,MATCH(LEFT(B86,FIND("-",B86)-1),Listas!$I$5:$I$13,0)),"Module / area")))</f>
        <v/>
      </c>
      <c r="E86" s="93" t="n"/>
      <c r="F86" s="93" t="n"/>
      <c r="G86" s="95">
        <f>IF(F86="","",IFERROR(INDEX('Constants &amp; Enums'!$B$5:$B$200,MATCH(F86,'Constants &amp; Enums'!$A$5:$A$200,0)),IFERROR(INDEX('Metrics &amp; Formulas'!$B$5:$B$200,MATCH(F86,'Metrics &amp; Formulas'!$A$5:$A$200,0)),IFERROR(INDEX('Projections &amp; Dashboards'!$B$5:$B$200,MATCH(F86,'Projections &amp; Dashboards'!$A$5:$A$200,0)),IFERROR(INDEX(Funções!$O$5:$O$300,MATCH(F86,Funções!$A$5:$A$300,0)),IFERROR(INDEX(Telas!$C$5:$C$400,MATCH(F86,Telas!$A$5:$A$400,0)),IFERROR(INDEX(Roadmap!$D$6:$D$200,MATCH(F86,Roadmap!$A$6:$A$200,0)),IFERROR(INDEX(Modules!$C$5:$C$100,MATCH(F86,Modules!$A$5:$A$100,0)),"NOT FOUND"))))))))</f>
        <v/>
      </c>
      <c r="H86" s="95">
        <f>IF(F86="","",IF(G86="NOT FOUND","—",IFERROR(INDEX(Listas!$J$5:$J$13,MATCH(LEFT(F86,FIND("-",F86)-1),Listas!$I$5:$I$13,0)),"Module / area")))</f>
        <v/>
      </c>
      <c r="I86" s="95">
        <f>IF(AND(B86="",F86=""),"",IF(OR(C86="NOT FOUND",G86="NOT FOUND"),"✖ ID inexistente",IF(B86=F86,"✖ Autorreferência",IF(E86="","✖ Sem relação","✔ OK"))))</f>
        <v/>
      </c>
      <c r="J86" s="93" t="n"/>
    </row>
    <row r="87" ht="15" customHeight="1" s="50">
      <c r="A87" s="93" t="n"/>
      <c r="B87" s="93" t="n"/>
      <c r="C87" s="95">
        <f>IF(B87="","",IFERROR(INDEX('Constants &amp; Enums'!$B$5:$B$200,MATCH(B87,'Constants &amp; Enums'!$A$5:$A$200,0)),IFERROR(INDEX('Metrics &amp; Formulas'!$B$5:$B$200,MATCH(B87,'Metrics &amp; Formulas'!$A$5:$A$200,0)),IFERROR(INDEX('Projections &amp; Dashboards'!$B$5:$B$200,MATCH(B87,'Projections &amp; Dashboards'!$A$5:$A$200,0)),IFERROR(INDEX(Funções!$O$5:$O$300,MATCH(B87,Funções!$A$5:$A$300,0)),IFERROR(INDEX(Telas!$C$5:$C$400,MATCH(B87,Telas!$A$5:$A$400,0)),IFERROR(INDEX(Roadmap!$D$6:$D$200,MATCH(B87,Roadmap!$A$6:$A$200,0)),IFERROR(INDEX(Modules!$C$5:$C$100,MATCH(B87,Modules!$A$5:$A$100,0)),"NOT FOUND"))))))))</f>
        <v/>
      </c>
      <c r="D87" s="95">
        <f>IF(B87="","",IF(C87="NOT FOUND","—",IFERROR(INDEX(Listas!$J$5:$J$13,MATCH(LEFT(B87,FIND("-",B87)-1),Listas!$I$5:$I$13,0)),"Module / area")))</f>
        <v/>
      </c>
      <c r="E87" s="93" t="n"/>
      <c r="F87" s="93" t="n"/>
      <c r="G87" s="95">
        <f>IF(F87="","",IFERROR(INDEX('Constants &amp; Enums'!$B$5:$B$200,MATCH(F87,'Constants &amp; Enums'!$A$5:$A$200,0)),IFERROR(INDEX('Metrics &amp; Formulas'!$B$5:$B$200,MATCH(F87,'Metrics &amp; Formulas'!$A$5:$A$200,0)),IFERROR(INDEX('Projections &amp; Dashboards'!$B$5:$B$200,MATCH(F87,'Projections &amp; Dashboards'!$A$5:$A$200,0)),IFERROR(INDEX(Funções!$O$5:$O$300,MATCH(F87,Funções!$A$5:$A$300,0)),IFERROR(INDEX(Telas!$C$5:$C$400,MATCH(F87,Telas!$A$5:$A$400,0)),IFERROR(INDEX(Roadmap!$D$6:$D$200,MATCH(F87,Roadmap!$A$6:$A$200,0)),IFERROR(INDEX(Modules!$C$5:$C$100,MATCH(F87,Modules!$A$5:$A$100,0)),"NOT FOUND"))))))))</f>
        <v/>
      </c>
      <c r="H87" s="95">
        <f>IF(F87="","",IF(G87="NOT FOUND","—",IFERROR(INDEX(Listas!$J$5:$J$13,MATCH(LEFT(F87,FIND("-",F87)-1),Listas!$I$5:$I$13,0)),"Module / area")))</f>
        <v/>
      </c>
      <c r="I87" s="95">
        <f>IF(AND(B87="",F87=""),"",IF(OR(C87="NOT FOUND",G87="NOT FOUND"),"✖ ID inexistente",IF(B87=F87,"✖ Autorreferência",IF(E87="","✖ Sem relação","✔ OK"))))</f>
        <v/>
      </c>
      <c r="J87" s="93" t="n"/>
    </row>
    <row r="88" ht="15" customHeight="1" s="50">
      <c r="A88" s="93" t="n"/>
      <c r="B88" s="93" t="n"/>
      <c r="C88" s="95">
        <f>IF(B88="","",IFERROR(INDEX('Constants &amp; Enums'!$B$5:$B$200,MATCH(B88,'Constants &amp; Enums'!$A$5:$A$200,0)),IFERROR(INDEX('Metrics &amp; Formulas'!$B$5:$B$200,MATCH(B88,'Metrics &amp; Formulas'!$A$5:$A$200,0)),IFERROR(INDEX('Projections &amp; Dashboards'!$B$5:$B$200,MATCH(B88,'Projections &amp; Dashboards'!$A$5:$A$200,0)),IFERROR(INDEX(Funções!$O$5:$O$300,MATCH(B88,Funções!$A$5:$A$300,0)),IFERROR(INDEX(Telas!$C$5:$C$400,MATCH(B88,Telas!$A$5:$A$400,0)),IFERROR(INDEX(Roadmap!$D$6:$D$200,MATCH(B88,Roadmap!$A$6:$A$200,0)),IFERROR(INDEX(Modules!$C$5:$C$100,MATCH(B88,Modules!$A$5:$A$100,0)),"NOT FOUND"))))))))</f>
        <v/>
      </c>
      <c r="D88" s="95">
        <f>IF(B88="","",IF(C88="NOT FOUND","—",IFERROR(INDEX(Listas!$J$5:$J$13,MATCH(LEFT(B88,FIND("-",B88)-1),Listas!$I$5:$I$13,0)),"Module / area")))</f>
        <v/>
      </c>
      <c r="E88" s="93" t="n"/>
      <c r="F88" s="93" t="n"/>
      <c r="G88" s="95">
        <f>IF(F88="","",IFERROR(INDEX('Constants &amp; Enums'!$B$5:$B$200,MATCH(F88,'Constants &amp; Enums'!$A$5:$A$200,0)),IFERROR(INDEX('Metrics &amp; Formulas'!$B$5:$B$200,MATCH(F88,'Metrics &amp; Formulas'!$A$5:$A$200,0)),IFERROR(INDEX('Projections &amp; Dashboards'!$B$5:$B$200,MATCH(F88,'Projections &amp; Dashboards'!$A$5:$A$200,0)),IFERROR(INDEX(Funções!$O$5:$O$300,MATCH(F88,Funções!$A$5:$A$300,0)),IFERROR(INDEX(Telas!$C$5:$C$400,MATCH(F88,Telas!$A$5:$A$400,0)),IFERROR(INDEX(Roadmap!$D$6:$D$200,MATCH(F88,Roadmap!$A$6:$A$200,0)),IFERROR(INDEX(Modules!$C$5:$C$100,MATCH(F88,Modules!$A$5:$A$100,0)),"NOT FOUND"))))))))</f>
        <v/>
      </c>
      <c r="H88" s="95">
        <f>IF(F88="","",IF(G88="NOT FOUND","—",IFERROR(INDEX(Listas!$J$5:$J$13,MATCH(LEFT(F88,FIND("-",F88)-1),Listas!$I$5:$I$13,0)),"Module / area")))</f>
        <v/>
      </c>
      <c r="I88" s="95">
        <f>IF(AND(B88="",F88=""),"",IF(OR(C88="NOT FOUND",G88="NOT FOUND"),"✖ ID inexistente",IF(B88=F88,"✖ Autorreferência",IF(E88="","✖ Sem relação","✔ OK"))))</f>
        <v/>
      </c>
      <c r="J88" s="93" t="n"/>
    </row>
    <row r="89" ht="15" customHeight="1" s="50">
      <c r="A89" s="93" t="n"/>
      <c r="B89" s="93" t="n"/>
      <c r="C89" s="95">
        <f>IF(B89="","",IFERROR(INDEX('Constants &amp; Enums'!$B$5:$B$200,MATCH(B89,'Constants &amp; Enums'!$A$5:$A$200,0)),IFERROR(INDEX('Metrics &amp; Formulas'!$B$5:$B$200,MATCH(B89,'Metrics &amp; Formulas'!$A$5:$A$200,0)),IFERROR(INDEX('Projections &amp; Dashboards'!$B$5:$B$200,MATCH(B89,'Projections &amp; Dashboards'!$A$5:$A$200,0)),IFERROR(INDEX(Funções!$O$5:$O$300,MATCH(B89,Funções!$A$5:$A$300,0)),IFERROR(INDEX(Telas!$C$5:$C$400,MATCH(B89,Telas!$A$5:$A$400,0)),IFERROR(INDEX(Roadmap!$D$6:$D$200,MATCH(B89,Roadmap!$A$6:$A$200,0)),IFERROR(INDEX(Modules!$C$5:$C$100,MATCH(B89,Modules!$A$5:$A$100,0)),"NOT FOUND"))))))))</f>
        <v/>
      </c>
      <c r="D89" s="95">
        <f>IF(B89="","",IF(C89="NOT FOUND","—",IFERROR(INDEX(Listas!$J$5:$J$13,MATCH(LEFT(B89,FIND("-",B89)-1),Listas!$I$5:$I$13,0)),"Module / area")))</f>
        <v/>
      </c>
      <c r="E89" s="93" t="n"/>
      <c r="F89" s="93" t="n"/>
      <c r="G89" s="95">
        <f>IF(F89="","",IFERROR(INDEX('Constants &amp; Enums'!$B$5:$B$200,MATCH(F89,'Constants &amp; Enums'!$A$5:$A$200,0)),IFERROR(INDEX('Metrics &amp; Formulas'!$B$5:$B$200,MATCH(F89,'Metrics &amp; Formulas'!$A$5:$A$200,0)),IFERROR(INDEX('Projections &amp; Dashboards'!$B$5:$B$200,MATCH(F89,'Projections &amp; Dashboards'!$A$5:$A$200,0)),IFERROR(INDEX(Funções!$O$5:$O$300,MATCH(F89,Funções!$A$5:$A$300,0)),IFERROR(INDEX(Telas!$C$5:$C$400,MATCH(F89,Telas!$A$5:$A$400,0)),IFERROR(INDEX(Roadmap!$D$6:$D$200,MATCH(F89,Roadmap!$A$6:$A$200,0)),IFERROR(INDEX(Modules!$C$5:$C$100,MATCH(F89,Modules!$A$5:$A$100,0)),"NOT FOUND"))))))))</f>
        <v/>
      </c>
      <c r="H89" s="95">
        <f>IF(F89="","",IF(G89="NOT FOUND","—",IFERROR(INDEX(Listas!$J$5:$J$13,MATCH(LEFT(F89,FIND("-",F89)-1),Listas!$I$5:$I$13,0)),"Module / area")))</f>
        <v/>
      </c>
      <c r="I89" s="95">
        <f>IF(AND(B89="",F89=""),"",IF(OR(C89="NOT FOUND",G89="NOT FOUND"),"✖ ID inexistente",IF(B89=F89,"✖ Autorreferência",IF(E89="","✖ Sem relação","✔ OK"))))</f>
        <v/>
      </c>
      <c r="J89" s="93" t="n"/>
    </row>
    <row r="90" ht="15" customHeight="1" s="50">
      <c r="A90" s="93" t="n"/>
      <c r="B90" s="93" t="n"/>
      <c r="C90" s="95">
        <f>IF(B90="","",IFERROR(INDEX('Constants &amp; Enums'!$B$5:$B$200,MATCH(B90,'Constants &amp; Enums'!$A$5:$A$200,0)),IFERROR(INDEX('Metrics &amp; Formulas'!$B$5:$B$200,MATCH(B90,'Metrics &amp; Formulas'!$A$5:$A$200,0)),IFERROR(INDEX('Projections &amp; Dashboards'!$B$5:$B$200,MATCH(B90,'Projections &amp; Dashboards'!$A$5:$A$200,0)),IFERROR(INDEX(Funções!$O$5:$O$300,MATCH(B90,Funções!$A$5:$A$300,0)),IFERROR(INDEX(Telas!$C$5:$C$400,MATCH(B90,Telas!$A$5:$A$400,0)),IFERROR(INDEX(Roadmap!$D$6:$D$200,MATCH(B90,Roadmap!$A$6:$A$200,0)),IFERROR(INDEX(Modules!$C$5:$C$100,MATCH(B90,Modules!$A$5:$A$100,0)),"NOT FOUND"))))))))</f>
        <v/>
      </c>
      <c r="D90" s="95">
        <f>IF(B90="","",IF(C90="NOT FOUND","—",IFERROR(INDEX(Listas!$J$5:$J$13,MATCH(LEFT(B90,FIND("-",B90)-1),Listas!$I$5:$I$13,0)),"Module / area")))</f>
        <v/>
      </c>
      <c r="E90" s="93" t="n"/>
      <c r="F90" s="93" t="n"/>
      <c r="G90" s="95">
        <f>IF(F90="","",IFERROR(INDEX('Constants &amp; Enums'!$B$5:$B$200,MATCH(F90,'Constants &amp; Enums'!$A$5:$A$200,0)),IFERROR(INDEX('Metrics &amp; Formulas'!$B$5:$B$200,MATCH(F90,'Metrics &amp; Formulas'!$A$5:$A$200,0)),IFERROR(INDEX('Projections &amp; Dashboards'!$B$5:$B$200,MATCH(F90,'Projections &amp; Dashboards'!$A$5:$A$200,0)),IFERROR(INDEX(Funções!$O$5:$O$300,MATCH(F90,Funções!$A$5:$A$300,0)),IFERROR(INDEX(Telas!$C$5:$C$400,MATCH(F90,Telas!$A$5:$A$400,0)),IFERROR(INDEX(Roadmap!$D$6:$D$200,MATCH(F90,Roadmap!$A$6:$A$200,0)),IFERROR(INDEX(Modules!$C$5:$C$100,MATCH(F90,Modules!$A$5:$A$100,0)),"NOT FOUND"))))))))</f>
        <v/>
      </c>
      <c r="H90" s="95">
        <f>IF(F90="","",IF(G90="NOT FOUND","—",IFERROR(INDEX(Listas!$J$5:$J$13,MATCH(LEFT(F90,FIND("-",F90)-1),Listas!$I$5:$I$13,0)),"Module / area")))</f>
        <v/>
      </c>
      <c r="I90" s="95">
        <f>IF(AND(B90="",F90=""),"",IF(OR(C90="NOT FOUND",G90="NOT FOUND"),"✖ ID inexistente",IF(B90=F90,"✖ Autorreferência",IF(E90="","✖ Sem relação","✔ OK"))))</f>
        <v/>
      </c>
      <c r="J90" s="93" t="n"/>
    </row>
    <row r="91" ht="15" customHeight="1" s="50">
      <c r="A91" s="93" t="n"/>
      <c r="B91" s="93" t="n"/>
      <c r="C91" s="95">
        <f>IF(B91="","",IFERROR(INDEX('Constants &amp; Enums'!$B$5:$B$200,MATCH(B91,'Constants &amp; Enums'!$A$5:$A$200,0)),IFERROR(INDEX('Metrics &amp; Formulas'!$B$5:$B$200,MATCH(B91,'Metrics &amp; Formulas'!$A$5:$A$200,0)),IFERROR(INDEX('Projections &amp; Dashboards'!$B$5:$B$200,MATCH(B91,'Projections &amp; Dashboards'!$A$5:$A$200,0)),IFERROR(INDEX(Funções!$O$5:$O$300,MATCH(B91,Funções!$A$5:$A$300,0)),IFERROR(INDEX(Telas!$C$5:$C$400,MATCH(B91,Telas!$A$5:$A$400,0)),IFERROR(INDEX(Roadmap!$D$6:$D$200,MATCH(B91,Roadmap!$A$6:$A$200,0)),IFERROR(INDEX(Modules!$C$5:$C$100,MATCH(B91,Modules!$A$5:$A$100,0)),"NOT FOUND"))))))))</f>
        <v/>
      </c>
      <c r="D91" s="95">
        <f>IF(B91="","",IF(C91="NOT FOUND","—",IFERROR(INDEX(Listas!$J$5:$J$13,MATCH(LEFT(B91,FIND("-",B91)-1),Listas!$I$5:$I$13,0)),"Module / area")))</f>
        <v/>
      </c>
      <c r="E91" s="93" t="n"/>
      <c r="F91" s="93" t="n"/>
      <c r="G91" s="95">
        <f>IF(F91="","",IFERROR(INDEX('Constants &amp; Enums'!$B$5:$B$200,MATCH(F91,'Constants &amp; Enums'!$A$5:$A$200,0)),IFERROR(INDEX('Metrics &amp; Formulas'!$B$5:$B$200,MATCH(F91,'Metrics &amp; Formulas'!$A$5:$A$200,0)),IFERROR(INDEX('Projections &amp; Dashboards'!$B$5:$B$200,MATCH(F91,'Projections &amp; Dashboards'!$A$5:$A$200,0)),IFERROR(INDEX(Funções!$O$5:$O$300,MATCH(F91,Funções!$A$5:$A$300,0)),IFERROR(INDEX(Telas!$C$5:$C$400,MATCH(F91,Telas!$A$5:$A$400,0)),IFERROR(INDEX(Roadmap!$D$6:$D$200,MATCH(F91,Roadmap!$A$6:$A$200,0)),IFERROR(INDEX(Modules!$C$5:$C$100,MATCH(F91,Modules!$A$5:$A$100,0)),"NOT FOUND"))))))))</f>
        <v/>
      </c>
      <c r="H91" s="95">
        <f>IF(F91="","",IF(G91="NOT FOUND","—",IFERROR(INDEX(Listas!$J$5:$J$13,MATCH(LEFT(F91,FIND("-",F91)-1),Listas!$I$5:$I$13,0)),"Module / area")))</f>
        <v/>
      </c>
      <c r="I91" s="95">
        <f>IF(AND(B91="",F91=""),"",IF(OR(C91="NOT FOUND",G91="NOT FOUND"),"✖ ID inexistente",IF(B91=F91,"✖ Autorreferência",IF(E91="","✖ Sem relação","✔ OK"))))</f>
        <v/>
      </c>
      <c r="J91" s="93" t="n"/>
    </row>
    <row r="92" ht="15" customHeight="1" s="50">
      <c r="A92" s="93" t="n"/>
      <c r="B92" s="93" t="n"/>
      <c r="C92" s="95">
        <f>IF(B92="","",IFERROR(INDEX('Constants &amp; Enums'!$B$5:$B$200,MATCH(B92,'Constants &amp; Enums'!$A$5:$A$200,0)),IFERROR(INDEX('Metrics &amp; Formulas'!$B$5:$B$200,MATCH(B92,'Metrics &amp; Formulas'!$A$5:$A$200,0)),IFERROR(INDEX('Projections &amp; Dashboards'!$B$5:$B$200,MATCH(B92,'Projections &amp; Dashboards'!$A$5:$A$200,0)),IFERROR(INDEX(Funções!$O$5:$O$300,MATCH(B92,Funções!$A$5:$A$300,0)),IFERROR(INDEX(Telas!$C$5:$C$400,MATCH(B92,Telas!$A$5:$A$400,0)),IFERROR(INDEX(Roadmap!$D$6:$D$200,MATCH(B92,Roadmap!$A$6:$A$200,0)),IFERROR(INDEX(Modules!$C$5:$C$100,MATCH(B92,Modules!$A$5:$A$100,0)),"NOT FOUND"))))))))</f>
        <v/>
      </c>
      <c r="D92" s="95">
        <f>IF(B92="","",IF(C92="NOT FOUND","—",IFERROR(INDEX(Listas!$J$5:$J$13,MATCH(LEFT(B92,FIND("-",B92)-1),Listas!$I$5:$I$13,0)),"Module / area")))</f>
        <v/>
      </c>
      <c r="E92" s="93" t="n"/>
      <c r="F92" s="93" t="n"/>
      <c r="G92" s="95">
        <f>IF(F92="","",IFERROR(INDEX('Constants &amp; Enums'!$B$5:$B$200,MATCH(F92,'Constants &amp; Enums'!$A$5:$A$200,0)),IFERROR(INDEX('Metrics &amp; Formulas'!$B$5:$B$200,MATCH(F92,'Metrics &amp; Formulas'!$A$5:$A$200,0)),IFERROR(INDEX('Projections &amp; Dashboards'!$B$5:$B$200,MATCH(F92,'Projections &amp; Dashboards'!$A$5:$A$200,0)),IFERROR(INDEX(Funções!$O$5:$O$300,MATCH(F92,Funções!$A$5:$A$300,0)),IFERROR(INDEX(Telas!$C$5:$C$400,MATCH(F92,Telas!$A$5:$A$400,0)),IFERROR(INDEX(Roadmap!$D$6:$D$200,MATCH(F92,Roadmap!$A$6:$A$200,0)),IFERROR(INDEX(Modules!$C$5:$C$100,MATCH(F92,Modules!$A$5:$A$100,0)),"NOT FOUND"))))))))</f>
        <v/>
      </c>
      <c r="H92" s="95">
        <f>IF(F92="","",IF(G92="NOT FOUND","—",IFERROR(INDEX(Listas!$J$5:$J$13,MATCH(LEFT(F92,FIND("-",F92)-1),Listas!$I$5:$I$13,0)),"Module / area")))</f>
        <v/>
      </c>
      <c r="I92" s="95">
        <f>IF(AND(B92="",F92=""),"",IF(OR(C92="NOT FOUND",G92="NOT FOUND"),"✖ ID inexistente",IF(B92=F92,"✖ Autorreferência",IF(E92="","✖ Sem relação","✔ OK"))))</f>
        <v/>
      </c>
      <c r="J92" s="93" t="n"/>
    </row>
    <row r="93" ht="15" customHeight="1" s="50">
      <c r="A93" s="93" t="n"/>
      <c r="B93" s="93" t="n"/>
      <c r="C93" s="95">
        <f>IF(B93="","",IFERROR(INDEX('Constants &amp; Enums'!$B$5:$B$200,MATCH(B93,'Constants &amp; Enums'!$A$5:$A$200,0)),IFERROR(INDEX('Metrics &amp; Formulas'!$B$5:$B$200,MATCH(B93,'Metrics &amp; Formulas'!$A$5:$A$200,0)),IFERROR(INDEX('Projections &amp; Dashboards'!$B$5:$B$200,MATCH(B93,'Projections &amp; Dashboards'!$A$5:$A$200,0)),IFERROR(INDEX(Funções!$O$5:$O$300,MATCH(B93,Funções!$A$5:$A$300,0)),IFERROR(INDEX(Telas!$C$5:$C$400,MATCH(B93,Telas!$A$5:$A$400,0)),IFERROR(INDEX(Roadmap!$D$6:$D$200,MATCH(B93,Roadmap!$A$6:$A$200,0)),IFERROR(INDEX(Modules!$C$5:$C$100,MATCH(B93,Modules!$A$5:$A$100,0)),"NOT FOUND"))))))))</f>
        <v/>
      </c>
      <c r="D93" s="95">
        <f>IF(B93="","",IF(C93="NOT FOUND","—",IFERROR(INDEX(Listas!$J$5:$J$13,MATCH(LEFT(B93,FIND("-",B93)-1),Listas!$I$5:$I$13,0)),"Module / area")))</f>
        <v/>
      </c>
      <c r="E93" s="93" t="n"/>
      <c r="F93" s="93" t="n"/>
      <c r="G93" s="95">
        <f>IF(F93="","",IFERROR(INDEX('Constants &amp; Enums'!$B$5:$B$200,MATCH(F93,'Constants &amp; Enums'!$A$5:$A$200,0)),IFERROR(INDEX('Metrics &amp; Formulas'!$B$5:$B$200,MATCH(F93,'Metrics &amp; Formulas'!$A$5:$A$200,0)),IFERROR(INDEX('Projections &amp; Dashboards'!$B$5:$B$200,MATCH(F93,'Projections &amp; Dashboards'!$A$5:$A$200,0)),IFERROR(INDEX(Funções!$O$5:$O$300,MATCH(F93,Funções!$A$5:$A$300,0)),IFERROR(INDEX(Telas!$C$5:$C$400,MATCH(F93,Telas!$A$5:$A$400,0)),IFERROR(INDEX(Roadmap!$D$6:$D$200,MATCH(F93,Roadmap!$A$6:$A$200,0)),IFERROR(INDEX(Modules!$C$5:$C$100,MATCH(F93,Modules!$A$5:$A$100,0)),"NOT FOUND"))))))))</f>
        <v/>
      </c>
      <c r="H93" s="95">
        <f>IF(F93="","",IF(G93="NOT FOUND","—",IFERROR(INDEX(Listas!$J$5:$J$13,MATCH(LEFT(F93,FIND("-",F93)-1),Listas!$I$5:$I$13,0)),"Module / area")))</f>
        <v/>
      </c>
      <c r="I93" s="95">
        <f>IF(AND(B93="",F93=""),"",IF(OR(C93="NOT FOUND",G93="NOT FOUND"),"✖ ID inexistente",IF(B93=F93,"✖ Autorreferência",IF(E93="","✖ Sem relação","✔ OK"))))</f>
        <v/>
      </c>
      <c r="J93" s="93" t="n"/>
    </row>
    <row r="94" ht="15" customHeight="1" s="50">
      <c r="A94" s="93" t="n"/>
      <c r="B94" s="93" t="n"/>
      <c r="C94" s="95">
        <f>IF(B94="","",IFERROR(INDEX('Constants &amp; Enums'!$B$5:$B$200,MATCH(B94,'Constants &amp; Enums'!$A$5:$A$200,0)),IFERROR(INDEX('Metrics &amp; Formulas'!$B$5:$B$200,MATCH(B94,'Metrics &amp; Formulas'!$A$5:$A$200,0)),IFERROR(INDEX('Projections &amp; Dashboards'!$B$5:$B$200,MATCH(B94,'Projections &amp; Dashboards'!$A$5:$A$200,0)),IFERROR(INDEX(Funções!$O$5:$O$300,MATCH(B94,Funções!$A$5:$A$300,0)),IFERROR(INDEX(Telas!$C$5:$C$400,MATCH(B94,Telas!$A$5:$A$400,0)),IFERROR(INDEX(Roadmap!$D$6:$D$200,MATCH(B94,Roadmap!$A$6:$A$200,0)),IFERROR(INDEX(Modules!$C$5:$C$100,MATCH(B94,Modules!$A$5:$A$100,0)),"NOT FOUND"))))))))</f>
        <v/>
      </c>
      <c r="D94" s="95">
        <f>IF(B94="","",IF(C94="NOT FOUND","—",IFERROR(INDEX(Listas!$J$5:$J$13,MATCH(LEFT(B94,FIND("-",B94)-1),Listas!$I$5:$I$13,0)),"Module / area")))</f>
        <v/>
      </c>
      <c r="E94" s="93" t="n"/>
      <c r="F94" s="93" t="n"/>
      <c r="G94" s="95">
        <f>IF(F94="","",IFERROR(INDEX('Constants &amp; Enums'!$B$5:$B$200,MATCH(F94,'Constants &amp; Enums'!$A$5:$A$200,0)),IFERROR(INDEX('Metrics &amp; Formulas'!$B$5:$B$200,MATCH(F94,'Metrics &amp; Formulas'!$A$5:$A$200,0)),IFERROR(INDEX('Projections &amp; Dashboards'!$B$5:$B$200,MATCH(F94,'Projections &amp; Dashboards'!$A$5:$A$200,0)),IFERROR(INDEX(Funções!$O$5:$O$300,MATCH(F94,Funções!$A$5:$A$300,0)),IFERROR(INDEX(Telas!$C$5:$C$400,MATCH(F94,Telas!$A$5:$A$400,0)),IFERROR(INDEX(Roadmap!$D$6:$D$200,MATCH(F94,Roadmap!$A$6:$A$200,0)),IFERROR(INDEX(Modules!$C$5:$C$100,MATCH(F94,Modules!$A$5:$A$100,0)),"NOT FOUND"))))))))</f>
        <v/>
      </c>
      <c r="H94" s="95">
        <f>IF(F94="","",IF(G94="NOT FOUND","—",IFERROR(INDEX(Listas!$J$5:$J$13,MATCH(LEFT(F94,FIND("-",F94)-1),Listas!$I$5:$I$13,0)),"Module / area")))</f>
        <v/>
      </c>
      <c r="I94" s="95">
        <f>IF(AND(B94="",F94=""),"",IF(OR(C94="NOT FOUND",G94="NOT FOUND"),"✖ ID inexistente",IF(B94=F94,"✖ Autorreferência",IF(E94="","✖ Sem relação","✔ OK"))))</f>
        <v/>
      </c>
      <c r="J94" s="93" t="n"/>
    </row>
    <row r="95" ht="15" customHeight="1" s="50">
      <c r="A95" s="93" t="n"/>
      <c r="B95" s="93" t="n"/>
      <c r="C95" s="95">
        <f>IF(B95="","",IFERROR(INDEX('Constants &amp; Enums'!$B$5:$B$200,MATCH(B95,'Constants &amp; Enums'!$A$5:$A$200,0)),IFERROR(INDEX('Metrics &amp; Formulas'!$B$5:$B$200,MATCH(B95,'Metrics &amp; Formulas'!$A$5:$A$200,0)),IFERROR(INDEX('Projections &amp; Dashboards'!$B$5:$B$200,MATCH(B95,'Projections &amp; Dashboards'!$A$5:$A$200,0)),IFERROR(INDEX(Funções!$O$5:$O$300,MATCH(B95,Funções!$A$5:$A$300,0)),IFERROR(INDEX(Telas!$C$5:$C$400,MATCH(B95,Telas!$A$5:$A$400,0)),IFERROR(INDEX(Roadmap!$D$6:$D$200,MATCH(B95,Roadmap!$A$6:$A$200,0)),IFERROR(INDEX(Modules!$C$5:$C$100,MATCH(B95,Modules!$A$5:$A$100,0)),"NOT FOUND"))))))))</f>
        <v/>
      </c>
      <c r="D95" s="95">
        <f>IF(B95="","",IF(C95="NOT FOUND","—",IFERROR(INDEX(Listas!$J$5:$J$13,MATCH(LEFT(B95,FIND("-",B95)-1),Listas!$I$5:$I$13,0)),"Module / area")))</f>
        <v/>
      </c>
      <c r="E95" s="93" t="n"/>
      <c r="F95" s="93" t="n"/>
      <c r="G95" s="95">
        <f>IF(F95="","",IFERROR(INDEX('Constants &amp; Enums'!$B$5:$B$200,MATCH(F95,'Constants &amp; Enums'!$A$5:$A$200,0)),IFERROR(INDEX('Metrics &amp; Formulas'!$B$5:$B$200,MATCH(F95,'Metrics &amp; Formulas'!$A$5:$A$200,0)),IFERROR(INDEX('Projections &amp; Dashboards'!$B$5:$B$200,MATCH(F95,'Projections &amp; Dashboards'!$A$5:$A$200,0)),IFERROR(INDEX(Funções!$O$5:$O$300,MATCH(F95,Funções!$A$5:$A$300,0)),IFERROR(INDEX(Telas!$C$5:$C$400,MATCH(F95,Telas!$A$5:$A$400,0)),IFERROR(INDEX(Roadmap!$D$6:$D$200,MATCH(F95,Roadmap!$A$6:$A$200,0)),IFERROR(INDEX(Modules!$C$5:$C$100,MATCH(F95,Modules!$A$5:$A$100,0)),"NOT FOUND"))))))))</f>
        <v/>
      </c>
      <c r="H95" s="95">
        <f>IF(F95="","",IF(G95="NOT FOUND","—",IFERROR(INDEX(Listas!$J$5:$J$13,MATCH(LEFT(F95,FIND("-",F95)-1),Listas!$I$5:$I$13,0)),"Module / area")))</f>
        <v/>
      </c>
      <c r="I95" s="95">
        <f>IF(AND(B95="",F95=""),"",IF(OR(C95="NOT FOUND",G95="NOT FOUND"),"✖ ID inexistente",IF(B95=F95,"✖ Autorreferência",IF(E95="","✖ Sem relação","✔ OK"))))</f>
        <v/>
      </c>
      <c r="J95" s="93" t="n"/>
    </row>
    <row r="96" ht="15" customHeight="1" s="50">
      <c r="A96" s="93" t="n"/>
      <c r="B96" s="93" t="n"/>
      <c r="C96" s="95">
        <f>IF(B96="","",IFERROR(INDEX('Constants &amp; Enums'!$B$5:$B$200,MATCH(B96,'Constants &amp; Enums'!$A$5:$A$200,0)),IFERROR(INDEX('Metrics &amp; Formulas'!$B$5:$B$200,MATCH(B96,'Metrics &amp; Formulas'!$A$5:$A$200,0)),IFERROR(INDEX('Projections &amp; Dashboards'!$B$5:$B$200,MATCH(B96,'Projections &amp; Dashboards'!$A$5:$A$200,0)),IFERROR(INDEX(Funções!$O$5:$O$300,MATCH(B96,Funções!$A$5:$A$300,0)),IFERROR(INDEX(Telas!$C$5:$C$400,MATCH(B96,Telas!$A$5:$A$400,0)),IFERROR(INDEX(Roadmap!$D$6:$D$200,MATCH(B96,Roadmap!$A$6:$A$200,0)),IFERROR(INDEX(Modules!$C$5:$C$100,MATCH(B96,Modules!$A$5:$A$100,0)),"NOT FOUND"))))))))</f>
        <v/>
      </c>
      <c r="D96" s="95">
        <f>IF(B96="","",IF(C96="NOT FOUND","—",IFERROR(INDEX(Listas!$J$5:$J$13,MATCH(LEFT(B96,FIND("-",B96)-1),Listas!$I$5:$I$13,0)),"Module / area")))</f>
        <v/>
      </c>
      <c r="E96" s="93" t="n"/>
      <c r="F96" s="93" t="n"/>
      <c r="G96" s="95">
        <f>IF(F96="","",IFERROR(INDEX('Constants &amp; Enums'!$B$5:$B$200,MATCH(F96,'Constants &amp; Enums'!$A$5:$A$200,0)),IFERROR(INDEX('Metrics &amp; Formulas'!$B$5:$B$200,MATCH(F96,'Metrics &amp; Formulas'!$A$5:$A$200,0)),IFERROR(INDEX('Projections &amp; Dashboards'!$B$5:$B$200,MATCH(F96,'Projections &amp; Dashboards'!$A$5:$A$200,0)),IFERROR(INDEX(Funções!$O$5:$O$300,MATCH(F96,Funções!$A$5:$A$300,0)),IFERROR(INDEX(Telas!$C$5:$C$400,MATCH(F96,Telas!$A$5:$A$400,0)),IFERROR(INDEX(Roadmap!$D$6:$D$200,MATCH(F96,Roadmap!$A$6:$A$200,0)),IFERROR(INDEX(Modules!$C$5:$C$100,MATCH(F96,Modules!$A$5:$A$100,0)),"NOT FOUND"))))))))</f>
        <v/>
      </c>
      <c r="H96" s="95">
        <f>IF(F96="","",IF(G96="NOT FOUND","—",IFERROR(INDEX(Listas!$J$5:$J$13,MATCH(LEFT(F96,FIND("-",F96)-1),Listas!$I$5:$I$13,0)),"Module / area")))</f>
        <v/>
      </c>
      <c r="I96" s="95">
        <f>IF(AND(B96="",F96=""),"",IF(OR(C96="NOT FOUND",G96="NOT FOUND"),"✖ ID inexistente",IF(B96=F96,"✖ Autorreferência",IF(E96="","✖ Sem relação","✔ OK"))))</f>
        <v/>
      </c>
      <c r="J96" s="93" t="n"/>
    </row>
    <row r="97" ht="15" customHeight="1" s="50">
      <c r="A97" s="93" t="n"/>
      <c r="B97" s="93" t="n"/>
      <c r="C97" s="95">
        <f>IF(B97="","",IFERROR(INDEX('Constants &amp; Enums'!$B$5:$B$200,MATCH(B97,'Constants &amp; Enums'!$A$5:$A$200,0)),IFERROR(INDEX('Metrics &amp; Formulas'!$B$5:$B$200,MATCH(B97,'Metrics &amp; Formulas'!$A$5:$A$200,0)),IFERROR(INDEX('Projections &amp; Dashboards'!$B$5:$B$200,MATCH(B97,'Projections &amp; Dashboards'!$A$5:$A$200,0)),IFERROR(INDEX(Funções!$O$5:$O$300,MATCH(B97,Funções!$A$5:$A$300,0)),IFERROR(INDEX(Telas!$C$5:$C$400,MATCH(B97,Telas!$A$5:$A$400,0)),IFERROR(INDEX(Roadmap!$D$6:$D$200,MATCH(B97,Roadmap!$A$6:$A$200,0)),IFERROR(INDEX(Modules!$C$5:$C$100,MATCH(B97,Modules!$A$5:$A$100,0)),"NOT FOUND"))))))))</f>
        <v/>
      </c>
      <c r="D97" s="95">
        <f>IF(B97="","",IF(C97="NOT FOUND","—",IFERROR(INDEX(Listas!$J$5:$J$13,MATCH(LEFT(B97,FIND("-",B97)-1),Listas!$I$5:$I$13,0)),"Module / area")))</f>
        <v/>
      </c>
      <c r="E97" s="93" t="n"/>
      <c r="F97" s="93" t="n"/>
      <c r="G97" s="95">
        <f>IF(F97="","",IFERROR(INDEX('Constants &amp; Enums'!$B$5:$B$200,MATCH(F97,'Constants &amp; Enums'!$A$5:$A$200,0)),IFERROR(INDEX('Metrics &amp; Formulas'!$B$5:$B$200,MATCH(F97,'Metrics &amp; Formulas'!$A$5:$A$200,0)),IFERROR(INDEX('Projections &amp; Dashboards'!$B$5:$B$200,MATCH(F97,'Projections &amp; Dashboards'!$A$5:$A$200,0)),IFERROR(INDEX(Funções!$O$5:$O$300,MATCH(F97,Funções!$A$5:$A$300,0)),IFERROR(INDEX(Telas!$C$5:$C$400,MATCH(F97,Telas!$A$5:$A$400,0)),IFERROR(INDEX(Roadmap!$D$6:$D$200,MATCH(F97,Roadmap!$A$6:$A$200,0)),IFERROR(INDEX(Modules!$C$5:$C$100,MATCH(F97,Modules!$A$5:$A$100,0)),"NOT FOUND"))))))))</f>
        <v/>
      </c>
      <c r="H97" s="95">
        <f>IF(F97="","",IF(G97="NOT FOUND","—",IFERROR(INDEX(Listas!$J$5:$J$13,MATCH(LEFT(F97,FIND("-",F97)-1),Listas!$I$5:$I$13,0)),"Module / area")))</f>
        <v/>
      </c>
      <c r="I97" s="95">
        <f>IF(AND(B97="",F97=""),"",IF(OR(C97="NOT FOUND",G97="NOT FOUND"),"✖ ID inexistente",IF(B97=F97,"✖ Autorreferência",IF(E97="","✖ Sem relação","✔ OK"))))</f>
        <v/>
      </c>
      <c r="J97" s="93" t="n"/>
    </row>
    <row r="98" ht="15" customHeight="1" s="50">
      <c r="A98" s="93" t="n"/>
      <c r="B98" s="93" t="n"/>
      <c r="C98" s="95">
        <f>IF(B98="","",IFERROR(INDEX('Constants &amp; Enums'!$B$5:$B$200,MATCH(B98,'Constants &amp; Enums'!$A$5:$A$200,0)),IFERROR(INDEX('Metrics &amp; Formulas'!$B$5:$B$200,MATCH(B98,'Metrics &amp; Formulas'!$A$5:$A$200,0)),IFERROR(INDEX('Projections &amp; Dashboards'!$B$5:$B$200,MATCH(B98,'Projections &amp; Dashboards'!$A$5:$A$200,0)),IFERROR(INDEX(Funções!$O$5:$O$300,MATCH(B98,Funções!$A$5:$A$300,0)),IFERROR(INDEX(Telas!$C$5:$C$400,MATCH(B98,Telas!$A$5:$A$400,0)),IFERROR(INDEX(Roadmap!$D$6:$D$200,MATCH(B98,Roadmap!$A$6:$A$200,0)),IFERROR(INDEX(Modules!$C$5:$C$100,MATCH(B98,Modules!$A$5:$A$100,0)),"NOT FOUND"))))))))</f>
        <v/>
      </c>
      <c r="D98" s="95">
        <f>IF(B98="","",IF(C98="NOT FOUND","—",IFERROR(INDEX(Listas!$J$5:$J$13,MATCH(LEFT(B98,FIND("-",B98)-1),Listas!$I$5:$I$13,0)),"Module / area")))</f>
        <v/>
      </c>
      <c r="E98" s="93" t="n"/>
      <c r="F98" s="93" t="n"/>
      <c r="G98" s="95">
        <f>IF(F98="","",IFERROR(INDEX('Constants &amp; Enums'!$B$5:$B$200,MATCH(F98,'Constants &amp; Enums'!$A$5:$A$200,0)),IFERROR(INDEX('Metrics &amp; Formulas'!$B$5:$B$200,MATCH(F98,'Metrics &amp; Formulas'!$A$5:$A$200,0)),IFERROR(INDEX('Projections &amp; Dashboards'!$B$5:$B$200,MATCH(F98,'Projections &amp; Dashboards'!$A$5:$A$200,0)),IFERROR(INDEX(Funções!$O$5:$O$300,MATCH(F98,Funções!$A$5:$A$300,0)),IFERROR(INDEX(Telas!$C$5:$C$400,MATCH(F98,Telas!$A$5:$A$400,0)),IFERROR(INDEX(Roadmap!$D$6:$D$200,MATCH(F98,Roadmap!$A$6:$A$200,0)),IFERROR(INDEX(Modules!$C$5:$C$100,MATCH(F98,Modules!$A$5:$A$100,0)),"NOT FOUND"))))))))</f>
        <v/>
      </c>
      <c r="H98" s="95">
        <f>IF(F98="","",IF(G98="NOT FOUND","—",IFERROR(INDEX(Listas!$J$5:$J$13,MATCH(LEFT(F98,FIND("-",F98)-1),Listas!$I$5:$I$13,0)),"Module / area")))</f>
        <v/>
      </c>
      <c r="I98" s="95">
        <f>IF(AND(B98="",F98=""),"",IF(OR(C98="NOT FOUND",G98="NOT FOUND"),"✖ ID inexistente",IF(B98=F98,"✖ Autorreferência",IF(E98="","✖ Sem relação","✔ OK"))))</f>
        <v/>
      </c>
      <c r="J98" s="93" t="n"/>
    </row>
    <row r="99" ht="15" customHeight="1" s="50">
      <c r="A99" s="93" t="n"/>
      <c r="B99" s="93" t="n"/>
      <c r="C99" s="95">
        <f>IF(B99="","",IFERROR(INDEX('Constants &amp; Enums'!$B$5:$B$200,MATCH(B99,'Constants &amp; Enums'!$A$5:$A$200,0)),IFERROR(INDEX('Metrics &amp; Formulas'!$B$5:$B$200,MATCH(B99,'Metrics &amp; Formulas'!$A$5:$A$200,0)),IFERROR(INDEX('Projections &amp; Dashboards'!$B$5:$B$200,MATCH(B99,'Projections &amp; Dashboards'!$A$5:$A$200,0)),IFERROR(INDEX(Funções!$O$5:$O$300,MATCH(B99,Funções!$A$5:$A$300,0)),IFERROR(INDEX(Telas!$C$5:$C$400,MATCH(B99,Telas!$A$5:$A$400,0)),IFERROR(INDEX(Roadmap!$D$6:$D$200,MATCH(B99,Roadmap!$A$6:$A$200,0)),IFERROR(INDEX(Modules!$C$5:$C$100,MATCH(B99,Modules!$A$5:$A$100,0)),"NOT FOUND"))))))))</f>
        <v/>
      </c>
      <c r="D99" s="95">
        <f>IF(B99="","",IF(C99="NOT FOUND","—",IFERROR(INDEX(Listas!$J$5:$J$13,MATCH(LEFT(B99,FIND("-",B99)-1),Listas!$I$5:$I$13,0)),"Module / area")))</f>
        <v/>
      </c>
      <c r="E99" s="93" t="n"/>
      <c r="F99" s="93" t="n"/>
      <c r="G99" s="95">
        <f>IF(F99="","",IFERROR(INDEX('Constants &amp; Enums'!$B$5:$B$200,MATCH(F99,'Constants &amp; Enums'!$A$5:$A$200,0)),IFERROR(INDEX('Metrics &amp; Formulas'!$B$5:$B$200,MATCH(F99,'Metrics &amp; Formulas'!$A$5:$A$200,0)),IFERROR(INDEX('Projections &amp; Dashboards'!$B$5:$B$200,MATCH(F99,'Projections &amp; Dashboards'!$A$5:$A$200,0)),IFERROR(INDEX(Funções!$O$5:$O$300,MATCH(F99,Funções!$A$5:$A$300,0)),IFERROR(INDEX(Telas!$C$5:$C$400,MATCH(F99,Telas!$A$5:$A$400,0)),IFERROR(INDEX(Roadmap!$D$6:$D$200,MATCH(F99,Roadmap!$A$6:$A$200,0)),IFERROR(INDEX(Modules!$C$5:$C$100,MATCH(F99,Modules!$A$5:$A$100,0)),"NOT FOUND"))))))))</f>
        <v/>
      </c>
      <c r="H99" s="95">
        <f>IF(F99="","",IF(G99="NOT FOUND","—",IFERROR(INDEX(Listas!$J$5:$J$13,MATCH(LEFT(F99,FIND("-",F99)-1),Listas!$I$5:$I$13,0)),"Module / area")))</f>
        <v/>
      </c>
      <c r="I99" s="95">
        <f>IF(AND(B99="",F99=""),"",IF(OR(C99="NOT FOUND",G99="NOT FOUND"),"✖ ID inexistente",IF(B99=F99,"✖ Autorreferência",IF(E99="","✖ Sem relação","✔ OK"))))</f>
        <v/>
      </c>
      <c r="J99" s="93" t="n"/>
    </row>
    <row r="100" ht="15" customHeight="1" s="50">
      <c r="A100" s="93" t="n"/>
      <c r="B100" s="93" t="n"/>
      <c r="C100" s="95">
        <f>IF(B100="","",IFERROR(INDEX('Constants &amp; Enums'!$B$5:$B$200,MATCH(B100,'Constants &amp; Enums'!$A$5:$A$200,0)),IFERROR(INDEX('Metrics &amp; Formulas'!$B$5:$B$200,MATCH(B100,'Metrics &amp; Formulas'!$A$5:$A$200,0)),IFERROR(INDEX('Projections &amp; Dashboards'!$B$5:$B$200,MATCH(B100,'Projections &amp; Dashboards'!$A$5:$A$200,0)),IFERROR(INDEX(Funções!$O$5:$O$300,MATCH(B100,Funções!$A$5:$A$300,0)),IFERROR(INDEX(Telas!$C$5:$C$400,MATCH(B100,Telas!$A$5:$A$400,0)),IFERROR(INDEX(Roadmap!$D$6:$D$200,MATCH(B100,Roadmap!$A$6:$A$200,0)),IFERROR(INDEX(Modules!$C$5:$C$100,MATCH(B100,Modules!$A$5:$A$100,0)),"NOT FOUND"))))))))</f>
        <v/>
      </c>
      <c r="D100" s="95">
        <f>IF(B100="","",IF(C100="NOT FOUND","—",IFERROR(INDEX(Listas!$J$5:$J$13,MATCH(LEFT(B100,FIND("-",B100)-1),Listas!$I$5:$I$13,0)),"Module / area")))</f>
        <v/>
      </c>
      <c r="E100" s="93" t="n"/>
      <c r="F100" s="93" t="n"/>
      <c r="G100" s="95">
        <f>IF(F100="","",IFERROR(INDEX('Constants &amp; Enums'!$B$5:$B$200,MATCH(F100,'Constants &amp; Enums'!$A$5:$A$200,0)),IFERROR(INDEX('Metrics &amp; Formulas'!$B$5:$B$200,MATCH(F100,'Metrics &amp; Formulas'!$A$5:$A$200,0)),IFERROR(INDEX('Projections &amp; Dashboards'!$B$5:$B$200,MATCH(F100,'Projections &amp; Dashboards'!$A$5:$A$200,0)),IFERROR(INDEX(Funções!$O$5:$O$300,MATCH(F100,Funções!$A$5:$A$300,0)),IFERROR(INDEX(Telas!$C$5:$C$400,MATCH(F100,Telas!$A$5:$A$400,0)),IFERROR(INDEX(Roadmap!$D$6:$D$200,MATCH(F100,Roadmap!$A$6:$A$200,0)),IFERROR(INDEX(Modules!$C$5:$C$100,MATCH(F100,Modules!$A$5:$A$100,0)),"NOT FOUND"))))))))</f>
        <v/>
      </c>
      <c r="H100" s="95">
        <f>IF(F100="","",IF(G100="NOT FOUND","—",IFERROR(INDEX(Listas!$J$5:$J$13,MATCH(LEFT(F100,FIND("-",F100)-1),Listas!$I$5:$I$13,0)),"Module / area")))</f>
        <v/>
      </c>
      <c r="I100" s="95">
        <f>IF(AND(B100="",F100=""),"",IF(OR(C100="NOT FOUND",G100="NOT FOUND"),"✖ ID inexistente",IF(B100=F100,"✖ Autorreferência",IF(E100="","✖ Sem relação","✔ OK"))))</f>
        <v/>
      </c>
      <c r="J100" s="93" t="n"/>
    </row>
    <row r="101" ht="15" customHeight="1" s="50">
      <c r="A101" s="93" t="n"/>
      <c r="B101" s="93" t="n"/>
      <c r="C101" s="95">
        <f>IF(B101="","",IFERROR(INDEX('Constants &amp; Enums'!$B$5:$B$200,MATCH(B101,'Constants &amp; Enums'!$A$5:$A$200,0)),IFERROR(INDEX('Metrics &amp; Formulas'!$B$5:$B$200,MATCH(B101,'Metrics &amp; Formulas'!$A$5:$A$200,0)),IFERROR(INDEX('Projections &amp; Dashboards'!$B$5:$B$200,MATCH(B101,'Projections &amp; Dashboards'!$A$5:$A$200,0)),IFERROR(INDEX(Funções!$O$5:$O$300,MATCH(B101,Funções!$A$5:$A$300,0)),IFERROR(INDEX(Telas!$C$5:$C$400,MATCH(B101,Telas!$A$5:$A$400,0)),IFERROR(INDEX(Roadmap!$D$6:$D$200,MATCH(B101,Roadmap!$A$6:$A$200,0)),IFERROR(INDEX(Modules!$C$5:$C$100,MATCH(B101,Modules!$A$5:$A$100,0)),"NOT FOUND"))))))))</f>
        <v/>
      </c>
      <c r="D101" s="95">
        <f>IF(B101="","",IF(C101="NOT FOUND","—",IFERROR(INDEX(Listas!$J$5:$J$13,MATCH(LEFT(B101,FIND("-",B101)-1),Listas!$I$5:$I$13,0)),"Module / area")))</f>
        <v/>
      </c>
      <c r="E101" s="93" t="n"/>
      <c r="F101" s="93" t="n"/>
      <c r="G101" s="95">
        <f>IF(F101="","",IFERROR(INDEX('Constants &amp; Enums'!$B$5:$B$200,MATCH(F101,'Constants &amp; Enums'!$A$5:$A$200,0)),IFERROR(INDEX('Metrics &amp; Formulas'!$B$5:$B$200,MATCH(F101,'Metrics &amp; Formulas'!$A$5:$A$200,0)),IFERROR(INDEX('Projections &amp; Dashboards'!$B$5:$B$200,MATCH(F101,'Projections &amp; Dashboards'!$A$5:$A$200,0)),IFERROR(INDEX(Funções!$O$5:$O$300,MATCH(F101,Funções!$A$5:$A$300,0)),IFERROR(INDEX(Telas!$C$5:$C$400,MATCH(F101,Telas!$A$5:$A$400,0)),IFERROR(INDEX(Roadmap!$D$6:$D$200,MATCH(F101,Roadmap!$A$6:$A$200,0)),IFERROR(INDEX(Modules!$C$5:$C$100,MATCH(F101,Modules!$A$5:$A$100,0)),"NOT FOUND"))))))))</f>
        <v/>
      </c>
      <c r="H101" s="95">
        <f>IF(F101="","",IF(G101="NOT FOUND","—",IFERROR(INDEX(Listas!$J$5:$J$13,MATCH(LEFT(F101,FIND("-",F101)-1),Listas!$I$5:$I$13,0)),"Module / area")))</f>
        <v/>
      </c>
      <c r="I101" s="95">
        <f>IF(AND(B101="",F101=""),"",IF(OR(C101="NOT FOUND",G101="NOT FOUND"),"✖ ID inexistente",IF(B101=F101,"✖ Autorreferência",IF(E101="","✖ Sem relação","✔ OK"))))</f>
        <v/>
      </c>
      <c r="J101" s="93" t="n"/>
    </row>
    <row r="102" ht="15" customHeight="1" s="50">
      <c r="A102" s="93" t="n"/>
      <c r="B102" s="93" t="n"/>
      <c r="C102" s="95">
        <f>IF(B102="","",IFERROR(INDEX('Constants &amp; Enums'!$B$5:$B$200,MATCH(B102,'Constants &amp; Enums'!$A$5:$A$200,0)),IFERROR(INDEX('Metrics &amp; Formulas'!$B$5:$B$200,MATCH(B102,'Metrics &amp; Formulas'!$A$5:$A$200,0)),IFERROR(INDEX('Projections &amp; Dashboards'!$B$5:$B$200,MATCH(B102,'Projections &amp; Dashboards'!$A$5:$A$200,0)),IFERROR(INDEX(Funções!$O$5:$O$300,MATCH(B102,Funções!$A$5:$A$300,0)),IFERROR(INDEX(Telas!$C$5:$C$400,MATCH(B102,Telas!$A$5:$A$400,0)),IFERROR(INDEX(Roadmap!$D$6:$D$200,MATCH(B102,Roadmap!$A$6:$A$200,0)),IFERROR(INDEX(Modules!$C$5:$C$100,MATCH(B102,Modules!$A$5:$A$100,0)),"NOT FOUND"))))))))</f>
        <v/>
      </c>
      <c r="D102" s="95">
        <f>IF(B102="","",IF(C102="NOT FOUND","—",IFERROR(INDEX(Listas!$J$5:$J$13,MATCH(LEFT(B102,FIND("-",B102)-1),Listas!$I$5:$I$13,0)),"Module / area")))</f>
        <v/>
      </c>
      <c r="E102" s="93" t="n"/>
      <c r="F102" s="93" t="n"/>
      <c r="G102" s="95">
        <f>IF(F102="","",IFERROR(INDEX('Constants &amp; Enums'!$B$5:$B$200,MATCH(F102,'Constants &amp; Enums'!$A$5:$A$200,0)),IFERROR(INDEX('Metrics &amp; Formulas'!$B$5:$B$200,MATCH(F102,'Metrics &amp; Formulas'!$A$5:$A$200,0)),IFERROR(INDEX('Projections &amp; Dashboards'!$B$5:$B$200,MATCH(F102,'Projections &amp; Dashboards'!$A$5:$A$200,0)),IFERROR(INDEX(Funções!$O$5:$O$300,MATCH(F102,Funções!$A$5:$A$300,0)),IFERROR(INDEX(Telas!$C$5:$C$400,MATCH(F102,Telas!$A$5:$A$400,0)),IFERROR(INDEX(Roadmap!$D$6:$D$200,MATCH(F102,Roadmap!$A$6:$A$200,0)),IFERROR(INDEX(Modules!$C$5:$C$100,MATCH(F102,Modules!$A$5:$A$100,0)),"NOT FOUND"))))))))</f>
        <v/>
      </c>
      <c r="H102" s="95">
        <f>IF(F102="","",IF(G102="NOT FOUND","—",IFERROR(INDEX(Listas!$J$5:$J$13,MATCH(LEFT(F102,FIND("-",F102)-1),Listas!$I$5:$I$13,0)),"Module / area")))</f>
        <v/>
      </c>
      <c r="I102" s="95">
        <f>IF(AND(B102="",F102=""),"",IF(OR(C102="NOT FOUND",G102="NOT FOUND"),"✖ ID inexistente",IF(B102=F102,"✖ Autorreferência",IF(E102="","✖ Sem relação","✔ OK"))))</f>
        <v/>
      </c>
      <c r="J102" s="93" t="n"/>
    </row>
    <row r="103" ht="15" customHeight="1" s="50">
      <c r="A103" s="93" t="n"/>
      <c r="B103" s="93" t="n"/>
      <c r="C103" s="95">
        <f>IF(B103="","",IFERROR(INDEX('Constants &amp; Enums'!$B$5:$B$200,MATCH(B103,'Constants &amp; Enums'!$A$5:$A$200,0)),IFERROR(INDEX('Metrics &amp; Formulas'!$B$5:$B$200,MATCH(B103,'Metrics &amp; Formulas'!$A$5:$A$200,0)),IFERROR(INDEX('Projections &amp; Dashboards'!$B$5:$B$200,MATCH(B103,'Projections &amp; Dashboards'!$A$5:$A$200,0)),IFERROR(INDEX(Funções!$O$5:$O$300,MATCH(B103,Funções!$A$5:$A$300,0)),IFERROR(INDEX(Telas!$C$5:$C$400,MATCH(B103,Telas!$A$5:$A$400,0)),IFERROR(INDEX(Roadmap!$D$6:$D$200,MATCH(B103,Roadmap!$A$6:$A$200,0)),IFERROR(INDEX(Modules!$C$5:$C$100,MATCH(B103,Modules!$A$5:$A$100,0)),"NOT FOUND"))))))))</f>
        <v/>
      </c>
      <c r="D103" s="95">
        <f>IF(B103="","",IF(C103="NOT FOUND","—",IFERROR(INDEX(Listas!$J$5:$J$13,MATCH(LEFT(B103,FIND("-",B103)-1),Listas!$I$5:$I$13,0)),"Module / area")))</f>
        <v/>
      </c>
      <c r="E103" s="93" t="n"/>
      <c r="F103" s="93" t="n"/>
      <c r="G103" s="95">
        <f>IF(F103="","",IFERROR(INDEX('Constants &amp; Enums'!$B$5:$B$200,MATCH(F103,'Constants &amp; Enums'!$A$5:$A$200,0)),IFERROR(INDEX('Metrics &amp; Formulas'!$B$5:$B$200,MATCH(F103,'Metrics &amp; Formulas'!$A$5:$A$200,0)),IFERROR(INDEX('Projections &amp; Dashboards'!$B$5:$B$200,MATCH(F103,'Projections &amp; Dashboards'!$A$5:$A$200,0)),IFERROR(INDEX(Funções!$O$5:$O$300,MATCH(F103,Funções!$A$5:$A$300,0)),IFERROR(INDEX(Telas!$C$5:$C$400,MATCH(F103,Telas!$A$5:$A$400,0)),IFERROR(INDEX(Roadmap!$D$6:$D$200,MATCH(F103,Roadmap!$A$6:$A$200,0)),IFERROR(INDEX(Modules!$C$5:$C$100,MATCH(F103,Modules!$A$5:$A$100,0)),"NOT FOUND"))))))))</f>
        <v/>
      </c>
      <c r="H103" s="95">
        <f>IF(F103="","",IF(G103="NOT FOUND","—",IFERROR(INDEX(Listas!$J$5:$J$13,MATCH(LEFT(F103,FIND("-",F103)-1),Listas!$I$5:$I$13,0)),"Module / area")))</f>
        <v/>
      </c>
      <c r="I103" s="95">
        <f>IF(AND(B103="",F103=""),"",IF(OR(C103="NOT FOUND",G103="NOT FOUND"),"✖ ID inexistente",IF(B103=F103,"✖ Autorreferência",IF(E103="","✖ Sem relação","✔ OK"))))</f>
        <v/>
      </c>
      <c r="J103" s="93" t="n"/>
    </row>
    <row r="104" ht="15" customHeight="1" s="50">
      <c r="A104" s="93" t="n"/>
      <c r="B104" s="93" t="n"/>
      <c r="C104" s="95">
        <f>IF(B104="","",IFERROR(INDEX('Constants &amp; Enums'!$B$5:$B$200,MATCH(B104,'Constants &amp; Enums'!$A$5:$A$200,0)),IFERROR(INDEX('Metrics &amp; Formulas'!$B$5:$B$200,MATCH(B104,'Metrics &amp; Formulas'!$A$5:$A$200,0)),IFERROR(INDEX('Projections &amp; Dashboards'!$B$5:$B$200,MATCH(B104,'Projections &amp; Dashboards'!$A$5:$A$200,0)),IFERROR(INDEX(Funções!$O$5:$O$300,MATCH(B104,Funções!$A$5:$A$300,0)),IFERROR(INDEX(Telas!$C$5:$C$400,MATCH(B104,Telas!$A$5:$A$400,0)),IFERROR(INDEX(Roadmap!$D$6:$D$200,MATCH(B104,Roadmap!$A$6:$A$200,0)),IFERROR(INDEX(Modules!$C$5:$C$100,MATCH(B104,Modules!$A$5:$A$100,0)),"NOT FOUND"))))))))</f>
        <v/>
      </c>
      <c r="D104" s="95">
        <f>IF(B104="","",IF(C104="NOT FOUND","—",IFERROR(INDEX(Listas!$J$5:$J$13,MATCH(LEFT(B104,FIND("-",B104)-1),Listas!$I$5:$I$13,0)),"Module / area")))</f>
        <v/>
      </c>
      <c r="E104" s="93" t="n"/>
      <c r="F104" s="93" t="n"/>
      <c r="G104" s="95">
        <f>IF(F104="","",IFERROR(INDEX('Constants &amp; Enums'!$B$5:$B$200,MATCH(F104,'Constants &amp; Enums'!$A$5:$A$200,0)),IFERROR(INDEX('Metrics &amp; Formulas'!$B$5:$B$200,MATCH(F104,'Metrics &amp; Formulas'!$A$5:$A$200,0)),IFERROR(INDEX('Projections &amp; Dashboards'!$B$5:$B$200,MATCH(F104,'Projections &amp; Dashboards'!$A$5:$A$200,0)),IFERROR(INDEX(Funções!$O$5:$O$300,MATCH(F104,Funções!$A$5:$A$300,0)),IFERROR(INDEX(Telas!$C$5:$C$400,MATCH(F104,Telas!$A$5:$A$400,0)),IFERROR(INDEX(Roadmap!$D$6:$D$200,MATCH(F104,Roadmap!$A$6:$A$200,0)),IFERROR(INDEX(Modules!$C$5:$C$100,MATCH(F104,Modules!$A$5:$A$100,0)),"NOT FOUND"))))))))</f>
        <v/>
      </c>
      <c r="H104" s="95">
        <f>IF(F104="","",IF(G104="NOT FOUND","—",IFERROR(INDEX(Listas!$J$5:$J$13,MATCH(LEFT(F104,FIND("-",F104)-1),Listas!$I$5:$I$13,0)),"Module / area")))</f>
        <v/>
      </c>
      <c r="I104" s="95">
        <f>IF(AND(B104="",F104=""),"",IF(OR(C104="NOT FOUND",G104="NOT FOUND"),"✖ ID inexistente",IF(B104=F104,"✖ Autorreferência",IF(E104="","✖ Sem relação","✔ OK"))))</f>
        <v/>
      </c>
      <c r="J104" s="93" t="n"/>
    </row>
    <row r="105" ht="15" customHeight="1" s="50">
      <c r="A105" s="93" t="n"/>
      <c r="B105" s="93" t="n"/>
      <c r="C105" s="95">
        <f>IF(B105="","",IFERROR(INDEX('Constants &amp; Enums'!$B$5:$B$200,MATCH(B105,'Constants &amp; Enums'!$A$5:$A$200,0)),IFERROR(INDEX('Metrics &amp; Formulas'!$B$5:$B$200,MATCH(B105,'Metrics &amp; Formulas'!$A$5:$A$200,0)),IFERROR(INDEX('Projections &amp; Dashboards'!$B$5:$B$200,MATCH(B105,'Projections &amp; Dashboards'!$A$5:$A$200,0)),IFERROR(INDEX(Funções!$O$5:$O$300,MATCH(B105,Funções!$A$5:$A$300,0)),IFERROR(INDEX(Telas!$C$5:$C$400,MATCH(B105,Telas!$A$5:$A$400,0)),IFERROR(INDEX(Roadmap!$D$6:$D$200,MATCH(B105,Roadmap!$A$6:$A$200,0)),IFERROR(INDEX(Modules!$C$5:$C$100,MATCH(B105,Modules!$A$5:$A$100,0)),"NOT FOUND"))))))))</f>
        <v/>
      </c>
      <c r="D105" s="95">
        <f>IF(B105="","",IF(C105="NOT FOUND","—",IFERROR(INDEX(Listas!$J$5:$J$13,MATCH(LEFT(B105,FIND("-",B105)-1),Listas!$I$5:$I$13,0)),"Module / area")))</f>
        <v/>
      </c>
      <c r="E105" s="93" t="n"/>
      <c r="F105" s="93" t="n"/>
      <c r="G105" s="95">
        <f>IF(F105="","",IFERROR(INDEX('Constants &amp; Enums'!$B$5:$B$200,MATCH(F105,'Constants &amp; Enums'!$A$5:$A$200,0)),IFERROR(INDEX('Metrics &amp; Formulas'!$B$5:$B$200,MATCH(F105,'Metrics &amp; Formulas'!$A$5:$A$200,0)),IFERROR(INDEX('Projections &amp; Dashboards'!$B$5:$B$200,MATCH(F105,'Projections &amp; Dashboards'!$A$5:$A$200,0)),IFERROR(INDEX(Funções!$O$5:$O$300,MATCH(F105,Funções!$A$5:$A$300,0)),IFERROR(INDEX(Telas!$C$5:$C$400,MATCH(F105,Telas!$A$5:$A$400,0)),IFERROR(INDEX(Roadmap!$D$6:$D$200,MATCH(F105,Roadmap!$A$6:$A$200,0)),IFERROR(INDEX(Modules!$C$5:$C$100,MATCH(F105,Modules!$A$5:$A$100,0)),"NOT FOUND"))))))))</f>
        <v/>
      </c>
      <c r="H105" s="95">
        <f>IF(F105="","",IF(G105="NOT FOUND","—",IFERROR(INDEX(Listas!$J$5:$J$13,MATCH(LEFT(F105,FIND("-",F105)-1),Listas!$I$5:$I$13,0)),"Module / area")))</f>
        <v/>
      </c>
      <c r="I105" s="95">
        <f>IF(AND(B105="",F105=""),"",IF(OR(C105="NOT FOUND",G105="NOT FOUND"),"✖ ID inexistente",IF(B105=F105,"✖ Autorreferência",IF(E105="","✖ Sem relação","✔ OK"))))</f>
        <v/>
      </c>
      <c r="J105" s="93" t="n"/>
    </row>
    <row r="106" ht="15" customHeight="1" s="50">
      <c r="A106" s="93" t="n"/>
      <c r="B106" s="93" t="n"/>
      <c r="C106" s="95">
        <f>IF(B106="","",IFERROR(INDEX('Constants &amp; Enums'!$B$5:$B$200,MATCH(B106,'Constants &amp; Enums'!$A$5:$A$200,0)),IFERROR(INDEX('Metrics &amp; Formulas'!$B$5:$B$200,MATCH(B106,'Metrics &amp; Formulas'!$A$5:$A$200,0)),IFERROR(INDEX('Projections &amp; Dashboards'!$B$5:$B$200,MATCH(B106,'Projections &amp; Dashboards'!$A$5:$A$200,0)),IFERROR(INDEX(Funções!$O$5:$O$300,MATCH(B106,Funções!$A$5:$A$300,0)),IFERROR(INDEX(Telas!$C$5:$C$400,MATCH(B106,Telas!$A$5:$A$400,0)),IFERROR(INDEX(Roadmap!$D$6:$D$200,MATCH(B106,Roadmap!$A$6:$A$200,0)),IFERROR(INDEX(Modules!$C$5:$C$100,MATCH(B106,Modules!$A$5:$A$100,0)),"NOT FOUND"))))))))</f>
        <v/>
      </c>
      <c r="D106" s="95">
        <f>IF(B106="","",IF(C106="NOT FOUND","—",IFERROR(INDEX(Listas!$J$5:$J$13,MATCH(LEFT(B106,FIND("-",B106)-1),Listas!$I$5:$I$13,0)),"Module / area")))</f>
        <v/>
      </c>
      <c r="E106" s="93" t="n"/>
      <c r="F106" s="93" t="n"/>
      <c r="G106" s="95">
        <f>IF(F106="","",IFERROR(INDEX('Constants &amp; Enums'!$B$5:$B$200,MATCH(F106,'Constants &amp; Enums'!$A$5:$A$200,0)),IFERROR(INDEX('Metrics &amp; Formulas'!$B$5:$B$200,MATCH(F106,'Metrics &amp; Formulas'!$A$5:$A$200,0)),IFERROR(INDEX('Projections &amp; Dashboards'!$B$5:$B$200,MATCH(F106,'Projections &amp; Dashboards'!$A$5:$A$200,0)),IFERROR(INDEX(Funções!$O$5:$O$300,MATCH(F106,Funções!$A$5:$A$300,0)),IFERROR(INDEX(Telas!$C$5:$C$400,MATCH(F106,Telas!$A$5:$A$400,0)),IFERROR(INDEX(Roadmap!$D$6:$D$200,MATCH(F106,Roadmap!$A$6:$A$200,0)),IFERROR(INDEX(Modules!$C$5:$C$100,MATCH(F106,Modules!$A$5:$A$100,0)),"NOT FOUND"))))))))</f>
        <v/>
      </c>
      <c r="H106" s="95">
        <f>IF(F106="","",IF(G106="NOT FOUND","—",IFERROR(INDEX(Listas!$J$5:$J$13,MATCH(LEFT(F106,FIND("-",F106)-1),Listas!$I$5:$I$13,0)),"Module / area")))</f>
        <v/>
      </c>
      <c r="I106" s="95">
        <f>IF(AND(B106="",F106=""),"",IF(OR(C106="NOT FOUND",G106="NOT FOUND"),"✖ ID inexistente",IF(B106=F106,"✖ Autorreferência",IF(E106="","✖ Sem relação","✔ OK"))))</f>
        <v/>
      </c>
      <c r="J106" s="93" t="n"/>
    </row>
    <row r="107" ht="15" customHeight="1" s="50">
      <c r="A107" s="93" t="n"/>
      <c r="B107" s="93" t="n"/>
      <c r="C107" s="95">
        <f>IF(B107="","",IFERROR(INDEX('Constants &amp; Enums'!$B$5:$B$200,MATCH(B107,'Constants &amp; Enums'!$A$5:$A$200,0)),IFERROR(INDEX('Metrics &amp; Formulas'!$B$5:$B$200,MATCH(B107,'Metrics &amp; Formulas'!$A$5:$A$200,0)),IFERROR(INDEX('Projections &amp; Dashboards'!$B$5:$B$200,MATCH(B107,'Projections &amp; Dashboards'!$A$5:$A$200,0)),IFERROR(INDEX(Funções!$O$5:$O$300,MATCH(B107,Funções!$A$5:$A$300,0)),IFERROR(INDEX(Telas!$C$5:$C$400,MATCH(B107,Telas!$A$5:$A$400,0)),IFERROR(INDEX(Roadmap!$D$6:$D$200,MATCH(B107,Roadmap!$A$6:$A$200,0)),IFERROR(INDEX(Modules!$C$5:$C$100,MATCH(B107,Modules!$A$5:$A$100,0)),"NOT FOUND"))))))))</f>
        <v/>
      </c>
      <c r="D107" s="95">
        <f>IF(B107="","",IF(C107="NOT FOUND","—",IFERROR(INDEX(Listas!$J$5:$J$13,MATCH(LEFT(B107,FIND("-",B107)-1),Listas!$I$5:$I$13,0)),"Module / area")))</f>
        <v/>
      </c>
      <c r="E107" s="93" t="n"/>
      <c r="F107" s="93" t="n"/>
      <c r="G107" s="95">
        <f>IF(F107="","",IFERROR(INDEX('Constants &amp; Enums'!$B$5:$B$200,MATCH(F107,'Constants &amp; Enums'!$A$5:$A$200,0)),IFERROR(INDEX('Metrics &amp; Formulas'!$B$5:$B$200,MATCH(F107,'Metrics &amp; Formulas'!$A$5:$A$200,0)),IFERROR(INDEX('Projections &amp; Dashboards'!$B$5:$B$200,MATCH(F107,'Projections &amp; Dashboards'!$A$5:$A$200,0)),IFERROR(INDEX(Funções!$O$5:$O$300,MATCH(F107,Funções!$A$5:$A$300,0)),IFERROR(INDEX(Telas!$C$5:$C$400,MATCH(F107,Telas!$A$5:$A$400,0)),IFERROR(INDEX(Roadmap!$D$6:$D$200,MATCH(F107,Roadmap!$A$6:$A$200,0)),IFERROR(INDEX(Modules!$C$5:$C$100,MATCH(F107,Modules!$A$5:$A$100,0)),"NOT FOUND"))))))))</f>
        <v/>
      </c>
      <c r="H107" s="95">
        <f>IF(F107="","",IF(G107="NOT FOUND","—",IFERROR(INDEX(Listas!$J$5:$J$13,MATCH(LEFT(F107,FIND("-",F107)-1),Listas!$I$5:$I$13,0)),"Module / area")))</f>
        <v/>
      </c>
      <c r="I107" s="95">
        <f>IF(AND(B107="",F107=""),"",IF(OR(C107="NOT FOUND",G107="NOT FOUND"),"✖ ID inexistente",IF(B107=F107,"✖ Autorreferência",IF(E107="","✖ Sem relação","✔ OK"))))</f>
        <v/>
      </c>
      <c r="J107" s="93" t="n"/>
    </row>
    <row r="108" ht="15" customHeight="1" s="50">
      <c r="A108" s="93" t="n"/>
      <c r="B108" s="93" t="n"/>
      <c r="C108" s="95">
        <f>IF(B108="","",IFERROR(INDEX('Constants &amp; Enums'!$B$5:$B$200,MATCH(B108,'Constants &amp; Enums'!$A$5:$A$200,0)),IFERROR(INDEX('Metrics &amp; Formulas'!$B$5:$B$200,MATCH(B108,'Metrics &amp; Formulas'!$A$5:$A$200,0)),IFERROR(INDEX('Projections &amp; Dashboards'!$B$5:$B$200,MATCH(B108,'Projections &amp; Dashboards'!$A$5:$A$200,0)),IFERROR(INDEX(Funções!$O$5:$O$300,MATCH(B108,Funções!$A$5:$A$300,0)),IFERROR(INDEX(Telas!$C$5:$C$400,MATCH(B108,Telas!$A$5:$A$400,0)),IFERROR(INDEX(Roadmap!$D$6:$D$200,MATCH(B108,Roadmap!$A$6:$A$200,0)),IFERROR(INDEX(Modules!$C$5:$C$100,MATCH(B108,Modules!$A$5:$A$100,0)),"NOT FOUND"))))))))</f>
        <v/>
      </c>
      <c r="D108" s="95">
        <f>IF(B108="","",IF(C108="NOT FOUND","—",IFERROR(INDEX(Listas!$J$5:$J$13,MATCH(LEFT(B108,FIND("-",B108)-1),Listas!$I$5:$I$13,0)),"Module / area")))</f>
        <v/>
      </c>
      <c r="E108" s="93" t="n"/>
      <c r="F108" s="93" t="n"/>
      <c r="G108" s="95">
        <f>IF(F108="","",IFERROR(INDEX('Constants &amp; Enums'!$B$5:$B$200,MATCH(F108,'Constants &amp; Enums'!$A$5:$A$200,0)),IFERROR(INDEX('Metrics &amp; Formulas'!$B$5:$B$200,MATCH(F108,'Metrics &amp; Formulas'!$A$5:$A$200,0)),IFERROR(INDEX('Projections &amp; Dashboards'!$B$5:$B$200,MATCH(F108,'Projections &amp; Dashboards'!$A$5:$A$200,0)),IFERROR(INDEX(Funções!$O$5:$O$300,MATCH(F108,Funções!$A$5:$A$300,0)),IFERROR(INDEX(Telas!$C$5:$C$400,MATCH(F108,Telas!$A$5:$A$400,0)),IFERROR(INDEX(Roadmap!$D$6:$D$200,MATCH(F108,Roadmap!$A$6:$A$200,0)),IFERROR(INDEX(Modules!$C$5:$C$100,MATCH(F108,Modules!$A$5:$A$100,0)),"NOT FOUND"))))))))</f>
        <v/>
      </c>
      <c r="H108" s="95">
        <f>IF(F108="","",IF(G108="NOT FOUND","—",IFERROR(INDEX(Listas!$J$5:$J$13,MATCH(LEFT(F108,FIND("-",F108)-1),Listas!$I$5:$I$13,0)),"Module / area")))</f>
        <v/>
      </c>
      <c r="I108" s="95">
        <f>IF(AND(B108="",F108=""),"",IF(OR(C108="NOT FOUND",G108="NOT FOUND"),"✖ ID inexistente",IF(B108=F108,"✖ Autorreferência",IF(E108="","✖ Sem relação","✔ OK"))))</f>
        <v/>
      </c>
      <c r="J108" s="93" t="n"/>
    </row>
    <row r="109" ht="15" customHeight="1" s="50">
      <c r="A109" s="93" t="n"/>
      <c r="B109" s="93" t="n"/>
      <c r="C109" s="95">
        <f>IF(B109="","",IFERROR(INDEX('Constants &amp; Enums'!$B$5:$B$200,MATCH(B109,'Constants &amp; Enums'!$A$5:$A$200,0)),IFERROR(INDEX('Metrics &amp; Formulas'!$B$5:$B$200,MATCH(B109,'Metrics &amp; Formulas'!$A$5:$A$200,0)),IFERROR(INDEX('Projections &amp; Dashboards'!$B$5:$B$200,MATCH(B109,'Projections &amp; Dashboards'!$A$5:$A$200,0)),IFERROR(INDEX(Funções!$O$5:$O$300,MATCH(B109,Funções!$A$5:$A$300,0)),IFERROR(INDEX(Telas!$C$5:$C$400,MATCH(B109,Telas!$A$5:$A$400,0)),IFERROR(INDEX(Roadmap!$D$6:$D$200,MATCH(B109,Roadmap!$A$6:$A$200,0)),IFERROR(INDEX(Modules!$C$5:$C$100,MATCH(B109,Modules!$A$5:$A$100,0)),"NOT FOUND"))))))))</f>
        <v/>
      </c>
      <c r="D109" s="95">
        <f>IF(B109="","",IF(C109="NOT FOUND","—",IFERROR(INDEX(Listas!$J$5:$J$13,MATCH(LEFT(B109,FIND("-",B109)-1),Listas!$I$5:$I$13,0)),"Module / area")))</f>
        <v/>
      </c>
      <c r="E109" s="93" t="n"/>
      <c r="F109" s="93" t="n"/>
      <c r="G109" s="95">
        <f>IF(F109="","",IFERROR(INDEX('Constants &amp; Enums'!$B$5:$B$200,MATCH(F109,'Constants &amp; Enums'!$A$5:$A$200,0)),IFERROR(INDEX('Metrics &amp; Formulas'!$B$5:$B$200,MATCH(F109,'Metrics &amp; Formulas'!$A$5:$A$200,0)),IFERROR(INDEX('Projections &amp; Dashboards'!$B$5:$B$200,MATCH(F109,'Projections &amp; Dashboards'!$A$5:$A$200,0)),IFERROR(INDEX(Funções!$O$5:$O$300,MATCH(F109,Funções!$A$5:$A$300,0)),IFERROR(INDEX(Telas!$C$5:$C$400,MATCH(F109,Telas!$A$5:$A$400,0)),IFERROR(INDEX(Roadmap!$D$6:$D$200,MATCH(F109,Roadmap!$A$6:$A$200,0)),IFERROR(INDEX(Modules!$C$5:$C$100,MATCH(F109,Modules!$A$5:$A$100,0)),"NOT FOUND"))))))))</f>
        <v/>
      </c>
      <c r="H109" s="95">
        <f>IF(F109="","",IF(G109="NOT FOUND","—",IFERROR(INDEX(Listas!$J$5:$J$13,MATCH(LEFT(F109,FIND("-",F109)-1),Listas!$I$5:$I$13,0)),"Module / area")))</f>
        <v/>
      </c>
      <c r="I109" s="95">
        <f>IF(AND(B109="",F109=""),"",IF(OR(C109="NOT FOUND",G109="NOT FOUND"),"✖ ID inexistente",IF(B109=F109,"✖ Autorreferência",IF(E109="","✖ Sem relação","✔ OK"))))</f>
        <v/>
      </c>
      <c r="J109" s="93" t="n"/>
    </row>
    <row r="110" ht="15" customHeight="1" s="50">
      <c r="A110" s="93" t="n"/>
      <c r="B110" s="93" t="n"/>
      <c r="C110" s="95">
        <f>IF(B110="","",IFERROR(INDEX('Constants &amp; Enums'!$B$5:$B$200,MATCH(B110,'Constants &amp; Enums'!$A$5:$A$200,0)),IFERROR(INDEX('Metrics &amp; Formulas'!$B$5:$B$200,MATCH(B110,'Metrics &amp; Formulas'!$A$5:$A$200,0)),IFERROR(INDEX('Projections &amp; Dashboards'!$B$5:$B$200,MATCH(B110,'Projections &amp; Dashboards'!$A$5:$A$200,0)),IFERROR(INDEX(Funções!$O$5:$O$300,MATCH(B110,Funções!$A$5:$A$300,0)),IFERROR(INDEX(Telas!$C$5:$C$400,MATCH(B110,Telas!$A$5:$A$400,0)),IFERROR(INDEX(Roadmap!$D$6:$D$200,MATCH(B110,Roadmap!$A$6:$A$200,0)),IFERROR(INDEX(Modules!$C$5:$C$100,MATCH(B110,Modules!$A$5:$A$100,0)),"NOT FOUND"))))))))</f>
        <v/>
      </c>
      <c r="D110" s="95">
        <f>IF(B110="","",IF(C110="NOT FOUND","—",IFERROR(INDEX(Listas!$J$5:$J$13,MATCH(LEFT(B110,FIND("-",B110)-1),Listas!$I$5:$I$13,0)),"Module / area")))</f>
        <v/>
      </c>
      <c r="E110" s="93" t="n"/>
      <c r="F110" s="93" t="n"/>
      <c r="G110" s="95">
        <f>IF(F110="","",IFERROR(INDEX('Constants &amp; Enums'!$B$5:$B$200,MATCH(F110,'Constants &amp; Enums'!$A$5:$A$200,0)),IFERROR(INDEX('Metrics &amp; Formulas'!$B$5:$B$200,MATCH(F110,'Metrics &amp; Formulas'!$A$5:$A$200,0)),IFERROR(INDEX('Projections &amp; Dashboards'!$B$5:$B$200,MATCH(F110,'Projections &amp; Dashboards'!$A$5:$A$200,0)),IFERROR(INDEX(Funções!$O$5:$O$300,MATCH(F110,Funções!$A$5:$A$300,0)),IFERROR(INDEX(Telas!$C$5:$C$400,MATCH(F110,Telas!$A$5:$A$400,0)),IFERROR(INDEX(Roadmap!$D$6:$D$200,MATCH(F110,Roadmap!$A$6:$A$200,0)),IFERROR(INDEX(Modules!$C$5:$C$100,MATCH(F110,Modules!$A$5:$A$100,0)),"NOT FOUND"))))))))</f>
        <v/>
      </c>
      <c r="H110" s="95">
        <f>IF(F110="","",IF(G110="NOT FOUND","—",IFERROR(INDEX(Listas!$J$5:$J$13,MATCH(LEFT(F110,FIND("-",F110)-1),Listas!$I$5:$I$13,0)),"Module / area")))</f>
        <v/>
      </c>
      <c r="I110" s="95">
        <f>IF(AND(B110="",F110=""),"",IF(OR(C110="NOT FOUND",G110="NOT FOUND"),"✖ ID inexistente",IF(B110=F110,"✖ Autorreferência",IF(E110="","✖ Sem relação","✔ OK"))))</f>
        <v/>
      </c>
      <c r="J110" s="93" t="n"/>
    </row>
    <row r="111" ht="15" customHeight="1" s="50">
      <c r="A111" s="93" t="n"/>
      <c r="B111" s="93" t="n"/>
      <c r="C111" s="95">
        <f>IF(B111="","",IFERROR(INDEX('Constants &amp; Enums'!$B$5:$B$200,MATCH(B111,'Constants &amp; Enums'!$A$5:$A$200,0)),IFERROR(INDEX('Metrics &amp; Formulas'!$B$5:$B$200,MATCH(B111,'Metrics &amp; Formulas'!$A$5:$A$200,0)),IFERROR(INDEX('Projections &amp; Dashboards'!$B$5:$B$200,MATCH(B111,'Projections &amp; Dashboards'!$A$5:$A$200,0)),IFERROR(INDEX(Funções!$O$5:$O$300,MATCH(B111,Funções!$A$5:$A$300,0)),IFERROR(INDEX(Telas!$C$5:$C$400,MATCH(B111,Telas!$A$5:$A$400,0)),IFERROR(INDEX(Roadmap!$D$6:$D$200,MATCH(B111,Roadmap!$A$6:$A$200,0)),IFERROR(INDEX(Modules!$C$5:$C$100,MATCH(B111,Modules!$A$5:$A$100,0)),"NOT FOUND"))))))))</f>
        <v/>
      </c>
      <c r="D111" s="95">
        <f>IF(B111="","",IF(C111="NOT FOUND","—",IFERROR(INDEX(Listas!$J$5:$J$13,MATCH(LEFT(B111,FIND("-",B111)-1),Listas!$I$5:$I$13,0)),"Module / area")))</f>
        <v/>
      </c>
      <c r="E111" s="93" t="n"/>
      <c r="F111" s="93" t="n"/>
      <c r="G111" s="95">
        <f>IF(F111="","",IFERROR(INDEX('Constants &amp; Enums'!$B$5:$B$200,MATCH(F111,'Constants &amp; Enums'!$A$5:$A$200,0)),IFERROR(INDEX('Metrics &amp; Formulas'!$B$5:$B$200,MATCH(F111,'Metrics &amp; Formulas'!$A$5:$A$200,0)),IFERROR(INDEX('Projections &amp; Dashboards'!$B$5:$B$200,MATCH(F111,'Projections &amp; Dashboards'!$A$5:$A$200,0)),IFERROR(INDEX(Funções!$O$5:$O$300,MATCH(F111,Funções!$A$5:$A$300,0)),IFERROR(INDEX(Telas!$C$5:$C$400,MATCH(F111,Telas!$A$5:$A$400,0)),IFERROR(INDEX(Roadmap!$D$6:$D$200,MATCH(F111,Roadmap!$A$6:$A$200,0)),IFERROR(INDEX(Modules!$C$5:$C$100,MATCH(F111,Modules!$A$5:$A$100,0)),"NOT FOUND"))))))))</f>
        <v/>
      </c>
      <c r="H111" s="95">
        <f>IF(F111="","",IF(G111="NOT FOUND","—",IFERROR(INDEX(Listas!$J$5:$J$13,MATCH(LEFT(F111,FIND("-",F111)-1),Listas!$I$5:$I$13,0)),"Module / area")))</f>
        <v/>
      </c>
      <c r="I111" s="95">
        <f>IF(AND(B111="",F111=""),"",IF(OR(C111="NOT FOUND",G111="NOT FOUND"),"✖ ID inexistente",IF(B111=F111,"✖ Autorreferência",IF(E111="","✖ Sem relação","✔ OK"))))</f>
        <v/>
      </c>
      <c r="J111" s="93" t="n"/>
    </row>
    <row r="112" ht="15" customHeight="1" s="50">
      <c r="A112" s="93" t="n"/>
      <c r="B112" s="93" t="n"/>
      <c r="C112" s="95">
        <f>IF(B112="","",IFERROR(INDEX('Constants &amp; Enums'!$B$5:$B$200,MATCH(B112,'Constants &amp; Enums'!$A$5:$A$200,0)),IFERROR(INDEX('Metrics &amp; Formulas'!$B$5:$B$200,MATCH(B112,'Metrics &amp; Formulas'!$A$5:$A$200,0)),IFERROR(INDEX('Projections &amp; Dashboards'!$B$5:$B$200,MATCH(B112,'Projections &amp; Dashboards'!$A$5:$A$200,0)),IFERROR(INDEX(Funções!$O$5:$O$300,MATCH(B112,Funções!$A$5:$A$300,0)),IFERROR(INDEX(Telas!$C$5:$C$400,MATCH(B112,Telas!$A$5:$A$400,0)),IFERROR(INDEX(Roadmap!$D$6:$D$200,MATCH(B112,Roadmap!$A$6:$A$200,0)),IFERROR(INDEX(Modules!$C$5:$C$100,MATCH(B112,Modules!$A$5:$A$100,0)),"NOT FOUND"))))))))</f>
        <v/>
      </c>
      <c r="D112" s="95">
        <f>IF(B112="","",IF(C112="NOT FOUND","—",IFERROR(INDEX(Listas!$J$5:$J$13,MATCH(LEFT(B112,FIND("-",B112)-1),Listas!$I$5:$I$13,0)),"Module / area")))</f>
        <v/>
      </c>
      <c r="E112" s="93" t="n"/>
      <c r="F112" s="93" t="n"/>
      <c r="G112" s="95">
        <f>IF(F112="","",IFERROR(INDEX('Constants &amp; Enums'!$B$5:$B$200,MATCH(F112,'Constants &amp; Enums'!$A$5:$A$200,0)),IFERROR(INDEX('Metrics &amp; Formulas'!$B$5:$B$200,MATCH(F112,'Metrics &amp; Formulas'!$A$5:$A$200,0)),IFERROR(INDEX('Projections &amp; Dashboards'!$B$5:$B$200,MATCH(F112,'Projections &amp; Dashboards'!$A$5:$A$200,0)),IFERROR(INDEX(Funções!$O$5:$O$300,MATCH(F112,Funções!$A$5:$A$300,0)),IFERROR(INDEX(Telas!$C$5:$C$400,MATCH(F112,Telas!$A$5:$A$400,0)),IFERROR(INDEX(Roadmap!$D$6:$D$200,MATCH(F112,Roadmap!$A$6:$A$200,0)),IFERROR(INDEX(Modules!$C$5:$C$100,MATCH(F112,Modules!$A$5:$A$100,0)),"NOT FOUND"))))))))</f>
        <v/>
      </c>
      <c r="H112" s="95">
        <f>IF(F112="","",IF(G112="NOT FOUND","—",IFERROR(INDEX(Listas!$J$5:$J$13,MATCH(LEFT(F112,FIND("-",F112)-1),Listas!$I$5:$I$13,0)),"Module / area")))</f>
        <v/>
      </c>
      <c r="I112" s="95">
        <f>IF(AND(B112="",F112=""),"",IF(OR(C112="NOT FOUND",G112="NOT FOUND"),"✖ ID inexistente",IF(B112=F112,"✖ Autorreferência",IF(E112="","✖ Sem relação","✔ OK"))))</f>
        <v/>
      </c>
      <c r="J112" s="93" t="n"/>
    </row>
    <row r="113" ht="15" customHeight="1" s="50">
      <c r="A113" s="93" t="n"/>
      <c r="B113" s="93" t="n"/>
      <c r="C113" s="95">
        <f>IF(B113="","",IFERROR(INDEX('Constants &amp; Enums'!$B$5:$B$200,MATCH(B113,'Constants &amp; Enums'!$A$5:$A$200,0)),IFERROR(INDEX('Metrics &amp; Formulas'!$B$5:$B$200,MATCH(B113,'Metrics &amp; Formulas'!$A$5:$A$200,0)),IFERROR(INDEX('Projections &amp; Dashboards'!$B$5:$B$200,MATCH(B113,'Projections &amp; Dashboards'!$A$5:$A$200,0)),IFERROR(INDEX(Funções!$O$5:$O$300,MATCH(B113,Funções!$A$5:$A$300,0)),IFERROR(INDEX(Telas!$C$5:$C$400,MATCH(B113,Telas!$A$5:$A$400,0)),IFERROR(INDEX(Roadmap!$D$6:$D$200,MATCH(B113,Roadmap!$A$6:$A$200,0)),IFERROR(INDEX(Modules!$C$5:$C$100,MATCH(B113,Modules!$A$5:$A$100,0)),"NOT FOUND"))))))))</f>
        <v/>
      </c>
      <c r="D113" s="95">
        <f>IF(B113="","",IF(C113="NOT FOUND","—",IFERROR(INDEX(Listas!$J$5:$J$13,MATCH(LEFT(B113,FIND("-",B113)-1),Listas!$I$5:$I$13,0)),"Module / area")))</f>
        <v/>
      </c>
      <c r="E113" s="93" t="n"/>
      <c r="F113" s="93" t="n"/>
      <c r="G113" s="95">
        <f>IF(F113="","",IFERROR(INDEX('Constants &amp; Enums'!$B$5:$B$200,MATCH(F113,'Constants &amp; Enums'!$A$5:$A$200,0)),IFERROR(INDEX('Metrics &amp; Formulas'!$B$5:$B$200,MATCH(F113,'Metrics &amp; Formulas'!$A$5:$A$200,0)),IFERROR(INDEX('Projections &amp; Dashboards'!$B$5:$B$200,MATCH(F113,'Projections &amp; Dashboards'!$A$5:$A$200,0)),IFERROR(INDEX(Funções!$O$5:$O$300,MATCH(F113,Funções!$A$5:$A$300,0)),IFERROR(INDEX(Telas!$C$5:$C$400,MATCH(F113,Telas!$A$5:$A$400,0)),IFERROR(INDEX(Roadmap!$D$6:$D$200,MATCH(F113,Roadmap!$A$6:$A$200,0)),IFERROR(INDEX(Modules!$C$5:$C$100,MATCH(F113,Modules!$A$5:$A$100,0)),"NOT FOUND"))))))))</f>
        <v/>
      </c>
      <c r="H113" s="95">
        <f>IF(F113="","",IF(G113="NOT FOUND","—",IFERROR(INDEX(Listas!$J$5:$J$13,MATCH(LEFT(F113,FIND("-",F113)-1),Listas!$I$5:$I$13,0)),"Module / area")))</f>
        <v/>
      </c>
      <c r="I113" s="95">
        <f>IF(AND(B113="",F113=""),"",IF(OR(C113="NOT FOUND",G113="NOT FOUND"),"✖ ID inexistente",IF(B113=F113,"✖ Autorreferência",IF(E113="","✖ Sem relação","✔ OK"))))</f>
        <v/>
      </c>
      <c r="J113" s="93" t="n"/>
    </row>
    <row r="114" ht="15" customHeight="1" s="50">
      <c r="A114" s="93" t="n"/>
      <c r="B114" s="93" t="n"/>
      <c r="C114" s="95">
        <f>IF(B114="","",IFERROR(INDEX('Constants &amp; Enums'!$B$5:$B$200,MATCH(B114,'Constants &amp; Enums'!$A$5:$A$200,0)),IFERROR(INDEX('Metrics &amp; Formulas'!$B$5:$B$200,MATCH(B114,'Metrics &amp; Formulas'!$A$5:$A$200,0)),IFERROR(INDEX('Projections &amp; Dashboards'!$B$5:$B$200,MATCH(B114,'Projections &amp; Dashboards'!$A$5:$A$200,0)),IFERROR(INDEX(Funções!$O$5:$O$300,MATCH(B114,Funções!$A$5:$A$300,0)),IFERROR(INDEX(Telas!$C$5:$C$400,MATCH(B114,Telas!$A$5:$A$400,0)),IFERROR(INDEX(Roadmap!$D$6:$D$200,MATCH(B114,Roadmap!$A$6:$A$200,0)),IFERROR(INDEX(Modules!$C$5:$C$100,MATCH(B114,Modules!$A$5:$A$100,0)),"NOT FOUND"))))))))</f>
        <v/>
      </c>
      <c r="D114" s="95">
        <f>IF(B114="","",IF(C114="NOT FOUND","—",IFERROR(INDEX(Listas!$J$5:$J$13,MATCH(LEFT(B114,FIND("-",B114)-1),Listas!$I$5:$I$13,0)),"Module / area")))</f>
        <v/>
      </c>
      <c r="E114" s="93" t="n"/>
      <c r="F114" s="93" t="n"/>
      <c r="G114" s="95">
        <f>IF(F114="","",IFERROR(INDEX('Constants &amp; Enums'!$B$5:$B$200,MATCH(F114,'Constants &amp; Enums'!$A$5:$A$200,0)),IFERROR(INDEX('Metrics &amp; Formulas'!$B$5:$B$200,MATCH(F114,'Metrics &amp; Formulas'!$A$5:$A$200,0)),IFERROR(INDEX('Projections &amp; Dashboards'!$B$5:$B$200,MATCH(F114,'Projections &amp; Dashboards'!$A$5:$A$200,0)),IFERROR(INDEX(Funções!$O$5:$O$300,MATCH(F114,Funções!$A$5:$A$300,0)),IFERROR(INDEX(Telas!$C$5:$C$400,MATCH(F114,Telas!$A$5:$A$400,0)),IFERROR(INDEX(Roadmap!$D$6:$D$200,MATCH(F114,Roadmap!$A$6:$A$200,0)),IFERROR(INDEX(Modules!$C$5:$C$100,MATCH(F114,Modules!$A$5:$A$100,0)),"NOT FOUND"))))))))</f>
        <v/>
      </c>
      <c r="H114" s="95">
        <f>IF(F114="","",IF(G114="NOT FOUND","—",IFERROR(INDEX(Listas!$J$5:$J$13,MATCH(LEFT(F114,FIND("-",F114)-1),Listas!$I$5:$I$13,0)),"Module / area")))</f>
        <v/>
      </c>
      <c r="I114" s="95">
        <f>IF(AND(B114="",F114=""),"",IF(OR(C114="NOT FOUND",G114="NOT FOUND"),"✖ ID inexistente",IF(B114=F114,"✖ Autorreferência",IF(E114="","✖ Sem relação","✔ OK"))))</f>
        <v/>
      </c>
      <c r="J114" s="93" t="n"/>
    </row>
    <row r="115" ht="15" customHeight="1" s="50">
      <c r="A115" s="93" t="n"/>
      <c r="B115" s="93" t="n"/>
      <c r="C115" s="95">
        <f>IF(B115="","",IFERROR(INDEX('Constants &amp; Enums'!$B$5:$B$200,MATCH(B115,'Constants &amp; Enums'!$A$5:$A$200,0)),IFERROR(INDEX('Metrics &amp; Formulas'!$B$5:$B$200,MATCH(B115,'Metrics &amp; Formulas'!$A$5:$A$200,0)),IFERROR(INDEX('Projections &amp; Dashboards'!$B$5:$B$200,MATCH(B115,'Projections &amp; Dashboards'!$A$5:$A$200,0)),IFERROR(INDEX(Funções!$O$5:$O$300,MATCH(B115,Funções!$A$5:$A$300,0)),IFERROR(INDEX(Telas!$C$5:$C$400,MATCH(B115,Telas!$A$5:$A$400,0)),IFERROR(INDEX(Roadmap!$D$6:$D$200,MATCH(B115,Roadmap!$A$6:$A$200,0)),IFERROR(INDEX(Modules!$C$5:$C$100,MATCH(B115,Modules!$A$5:$A$100,0)),"NOT FOUND"))))))))</f>
        <v/>
      </c>
      <c r="D115" s="95">
        <f>IF(B115="","",IF(C115="NOT FOUND","—",IFERROR(INDEX(Listas!$J$5:$J$13,MATCH(LEFT(B115,FIND("-",B115)-1),Listas!$I$5:$I$13,0)),"Module / area")))</f>
        <v/>
      </c>
      <c r="E115" s="93" t="n"/>
      <c r="F115" s="93" t="n"/>
      <c r="G115" s="95">
        <f>IF(F115="","",IFERROR(INDEX('Constants &amp; Enums'!$B$5:$B$200,MATCH(F115,'Constants &amp; Enums'!$A$5:$A$200,0)),IFERROR(INDEX('Metrics &amp; Formulas'!$B$5:$B$200,MATCH(F115,'Metrics &amp; Formulas'!$A$5:$A$200,0)),IFERROR(INDEX('Projections &amp; Dashboards'!$B$5:$B$200,MATCH(F115,'Projections &amp; Dashboards'!$A$5:$A$200,0)),IFERROR(INDEX(Funções!$O$5:$O$300,MATCH(F115,Funções!$A$5:$A$300,0)),IFERROR(INDEX(Telas!$C$5:$C$400,MATCH(F115,Telas!$A$5:$A$400,0)),IFERROR(INDEX(Roadmap!$D$6:$D$200,MATCH(F115,Roadmap!$A$6:$A$200,0)),IFERROR(INDEX(Modules!$C$5:$C$100,MATCH(F115,Modules!$A$5:$A$100,0)),"NOT FOUND"))))))))</f>
        <v/>
      </c>
      <c r="H115" s="95">
        <f>IF(F115="","",IF(G115="NOT FOUND","—",IFERROR(INDEX(Listas!$J$5:$J$13,MATCH(LEFT(F115,FIND("-",F115)-1),Listas!$I$5:$I$13,0)),"Module / area")))</f>
        <v/>
      </c>
      <c r="I115" s="95">
        <f>IF(AND(B115="",F115=""),"",IF(OR(C115="NOT FOUND",G115="NOT FOUND"),"✖ ID inexistente",IF(B115=F115,"✖ Autorreferência",IF(E115="","✖ Sem relação","✔ OK"))))</f>
        <v/>
      </c>
      <c r="J115" s="93" t="n"/>
    </row>
    <row r="116" ht="15" customHeight="1" s="50">
      <c r="A116" s="93" t="n"/>
      <c r="B116" s="93" t="n"/>
      <c r="C116" s="95">
        <f>IF(B116="","",IFERROR(INDEX('Constants &amp; Enums'!$B$5:$B$200,MATCH(B116,'Constants &amp; Enums'!$A$5:$A$200,0)),IFERROR(INDEX('Metrics &amp; Formulas'!$B$5:$B$200,MATCH(B116,'Metrics &amp; Formulas'!$A$5:$A$200,0)),IFERROR(INDEX('Projections &amp; Dashboards'!$B$5:$B$200,MATCH(B116,'Projections &amp; Dashboards'!$A$5:$A$200,0)),IFERROR(INDEX(Funções!$O$5:$O$300,MATCH(B116,Funções!$A$5:$A$300,0)),IFERROR(INDEX(Telas!$C$5:$C$400,MATCH(B116,Telas!$A$5:$A$400,0)),IFERROR(INDEX(Roadmap!$D$6:$D$200,MATCH(B116,Roadmap!$A$6:$A$200,0)),IFERROR(INDEX(Modules!$C$5:$C$100,MATCH(B116,Modules!$A$5:$A$100,0)),"NOT FOUND"))))))))</f>
        <v/>
      </c>
      <c r="D116" s="95">
        <f>IF(B116="","",IF(C116="NOT FOUND","—",IFERROR(INDEX(Listas!$J$5:$J$13,MATCH(LEFT(B116,FIND("-",B116)-1),Listas!$I$5:$I$13,0)),"Module / area")))</f>
        <v/>
      </c>
      <c r="E116" s="93" t="n"/>
      <c r="F116" s="93" t="n"/>
      <c r="G116" s="95">
        <f>IF(F116="","",IFERROR(INDEX('Constants &amp; Enums'!$B$5:$B$200,MATCH(F116,'Constants &amp; Enums'!$A$5:$A$200,0)),IFERROR(INDEX('Metrics &amp; Formulas'!$B$5:$B$200,MATCH(F116,'Metrics &amp; Formulas'!$A$5:$A$200,0)),IFERROR(INDEX('Projections &amp; Dashboards'!$B$5:$B$200,MATCH(F116,'Projections &amp; Dashboards'!$A$5:$A$200,0)),IFERROR(INDEX(Funções!$O$5:$O$300,MATCH(F116,Funções!$A$5:$A$300,0)),IFERROR(INDEX(Telas!$C$5:$C$400,MATCH(F116,Telas!$A$5:$A$400,0)),IFERROR(INDEX(Roadmap!$D$6:$D$200,MATCH(F116,Roadmap!$A$6:$A$200,0)),IFERROR(INDEX(Modules!$C$5:$C$100,MATCH(F116,Modules!$A$5:$A$100,0)),"NOT FOUND"))))))))</f>
        <v/>
      </c>
      <c r="H116" s="95">
        <f>IF(F116="","",IF(G116="NOT FOUND","—",IFERROR(INDEX(Listas!$J$5:$J$13,MATCH(LEFT(F116,FIND("-",F116)-1),Listas!$I$5:$I$13,0)),"Module / area")))</f>
        <v/>
      </c>
      <c r="I116" s="95">
        <f>IF(AND(B116="",F116=""),"",IF(OR(C116="NOT FOUND",G116="NOT FOUND"),"✖ ID inexistente",IF(B116=F116,"✖ Autorreferência",IF(E116="","✖ Sem relação","✔ OK"))))</f>
        <v/>
      </c>
      <c r="J116" s="93" t="n"/>
    </row>
    <row r="117" ht="15" customHeight="1" s="50">
      <c r="A117" s="93" t="n"/>
      <c r="B117" s="93" t="n"/>
      <c r="C117" s="95">
        <f>IF(B117="","",IFERROR(INDEX('Constants &amp; Enums'!$B$5:$B$200,MATCH(B117,'Constants &amp; Enums'!$A$5:$A$200,0)),IFERROR(INDEX('Metrics &amp; Formulas'!$B$5:$B$200,MATCH(B117,'Metrics &amp; Formulas'!$A$5:$A$200,0)),IFERROR(INDEX('Projections &amp; Dashboards'!$B$5:$B$200,MATCH(B117,'Projections &amp; Dashboards'!$A$5:$A$200,0)),IFERROR(INDEX(Funções!$O$5:$O$300,MATCH(B117,Funções!$A$5:$A$300,0)),IFERROR(INDEX(Telas!$C$5:$C$400,MATCH(B117,Telas!$A$5:$A$400,0)),IFERROR(INDEX(Roadmap!$D$6:$D$200,MATCH(B117,Roadmap!$A$6:$A$200,0)),IFERROR(INDEX(Modules!$C$5:$C$100,MATCH(B117,Modules!$A$5:$A$100,0)),"NOT FOUND"))))))))</f>
        <v/>
      </c>
      <c r="D117" s="95">
        <f>IF(B117="","",IF(C117="NOT FOUND","—",IFERROR(INDEX(Listas!$J$5:$J$13,MATCH(LEFT(B117,FIND("-",B117)-1),Listas!$I$5:$I$13,0)),"Module / area")))</f>
        <v/>
      </c>
      <c r="E117" s="93" t="n"/>
      <c r="F117" s="93" t="n"/>
      <c r="G117" s="95">
        <f>IF(F117="","",IFERROR(INDEX('Constants &amp; Enums'!$B$5:$B$200,MATCH(F117,'Constants &amp; Enums'!$A$5:$A$200,0)),IFERROR(INDEX('Metrics &amp; Formulas'!$B$5:$B$200,MATCH(F117,'Metrics &amp; Formulas'!$A$5:$A$200,0)),IFERROR(INDEX('Projections &amp; Dashboards'!$B$5:$B$200,MATCH(F117,'Projections &amp; Dashboards'!$A$5:$A$200,0)),IFERROR(INDEX(Funções!$O$5:$O$300,MATCH(F117,Funções!$A$5:$A$300,0)),IFERROR(INDEX(Telas!$C$5:$C$400,MATCH(F117,Telas!$A$5:$A$400,0)),IFERROR(INDEX(Roadmap!$D$6:$D$200,MATCH(F117,Roadmap!$A$6:$A$200,0)),IFERROR(INDEX(Modules!$C$5:$C$100,MATCH(F117,Modules!$A$5:$A$100,0)),"NOT FOUND"))))))))</f>
        <v/>
      </c>
      <c r="H117" s="95">
        <f>IF(F117="","",IF(G117="NOT FOUND","—",IFERROR(INDEX(Listas!$J$5:$J$13,MATCH(LEFT(F117,FIND("-",F117)-1),Listas!$I$5:$I$13,0)),"Module / area")))</f>
        <v/>
      </c>
      <c r="I117" s="95">
        <f>IF(AND(B117="",F117=""),"",IF(OR(C117="NOT FOUND",G117="NOT FOUND"),"✖ ID inexistente",IF(B117=F117,"✖ Autorreferência",IF(E117="","✖ Sem relação","✔ OK"))))</f>
        <v/>
      </c>
      <c r="J117" s="93" t="n"/>
    </row>
    <row r="118" ht="15" customHeight="1" s="50">
      <c r="A118" s="93" t="n"/>
      <c r="B118" s="93" t="n"/>
      <c r="C118" s="95">
        <f>IF(B118="","",IFERROR(INDEX('Constants &amp; Enums'!$B$5:$B$200,MATCH(B118,'Constants &amp; Enums'!$A$5:$A$200,0)),IFERROR(INDEX('Metrics &amp; Formulas'!$B$5:$B$200,MATCH(B118,'Metrics &amp; Formulas'!$A$5:$A$200,0)),IFERROR(INDEX('Projections &amp; Dashboards'!$B$5:$B$200,MATCH(B118,'Projections &amp; Dashboards'!$A$5:$A$200,0)),IFERROR(INDEX(Funções!$O$5:$O$300,MATCH(B118,Funções!$A$5:$A$300,0)),IFERROR(INDEX(Telas!$C$5:$C$400,MATCH(B118,Telas!$A$5:$A$400,0)),IFERROR(INDEX(Roadmap!$D$6:$D$200,MATCH(B118,Roadmap!$A$6:$A$200,0)),IFERROR(INDEX(Modules!$C$5:$C$100,MATCH(B118,Modules!$A$5:$A$100,0)),"NOT FOUND"))))))))</f>
        <v/>
      </c>
      <c r="D118" s="95">
        <f>IF(B118="","",IF(C118="NOT FOUND","—",IFERROR(INDEX(Listas!$J$5:$J$13,MATCH(LEFT(B118,FIND("-",B118)-1),Listas!$I$5:$I$13,0)),"Module / area")))</f>
        <v/>
      </c>
      <c r="E118" s="93" t="n"/>
      <c r="F118" s="93" t="n"/>
      <c r="G118" s="95">
        <f>IF(F118="","",IFERROR(INDEX('Constants &amp; Enums'!$B$5:$B$200,MATCH(F118,'Constants &amp; Enums'!$A$5:$A$200,0)),IFERROR(INDEX('Metrics &amp; Formulas'!$B$5:$B$200,MATCH(F118,'Metrics &amp; Formulas'!$A$5:$A$200,0)),IFERROR(INDEX('Projections &amp; Dashboards'!$B$5:$B$200,MATCH(F118,'Projections &amp; Dashboards'!$A$5:$A$200,0)),IFERROR(INDEX(Funções!$O$5:$O$300,MATCH(F118,Funções!$A$5:$A$300,0)),IFERROR(INDEX(Telas!$C$5:$C$400,MATCH(F118,Telas!$A$5:$A$400,0)),IFERROR(INDEX(Roadmap!$D$6:$D$200,MATCH(F118,Roadmap!$A$6:$A$200,0)),IFERROR(INDEX(Modules!$C$5:$C$100,MATCH(F118,Modules!$A$5:$A$100,0)),"NOT FOUND"))))))))</f>
        <v/>
      </c>
      <c r="H118" s="95">
        <f>IF(F118="","",IF(G118="NOT FOUND","—",IFERROR(INDEX(Listas!$J$5:$J$13,MATCH(LEFT(F118,FIND("-",F118)-1),Listas!$I$5:$I$13,0)),"Module / area")))</f>
        <v/>
      </c>
      <c r="I118" s="95">
        <f>IF(AND(B118="",F118=""),"",IF(OR(C118="NOT FOUND",G118="NOT FOUND"),"✖ ID inexistente",IF(B118=F118,"✖ Autorreferência",IF(E118="","✖ Sem relação","✔ OK"))))</f>
        <v/>
      </c>
      <c r="J118" s="93" t="n"/>
    </row>
    <row r="119" ht="15" customHeight="1" s="50">
      <c r="A119" s="93" t="n"/>
      <c r="B119" s="93" t="n"/>
      <c r="C119" s="95">
        <f>IF(B119="","",IFERROR(INDEX('Constants &amp; Enums'!$B$5:$B$200,MATCH(B119,'Constants &amp; Enums'!$A$5:$A$200,0)),IFERROR(INDEX('Metrics &amp; Formulas'!$B$5:$B$200,MATCH(B119,'Metrics &amp; Formulas'!$A$5:$A$200,0)),IFERROR(INDEX('Projections &amp; Dashboards'!$B$5:$B$200,MATCH(B119,'Projections &amp; Dashboards'!$A$5:$A$200,0)),IFERROR(INDEX(Funções!$O$5:$O$300,MATCH(B119,Funções!$A$5:$A$300,0)),IFERROR(INDEX(Telas!$C$5:$C$400,MATCH(B119,Telas!$A$5:$A$400,0)),IFERROR(INDEX(Roadmap!$D$6:$D$200,MATCH(B119,Roadmap!$A$6:$A$200,0)),IFERROR(INDEX(Modules!$C$5:$C$100,MATCH(B119,Modules!$A$5:$A$100,0)),"NOT FOUND"))))))))</f>
        <v/>
      </c>
      <c r="D119" s="95">
        <f>IF(B119="","",IF(C119="NOT FOUND","—",IFERROR(INDEX(Listas!$J$5:$J$13,MATCH(LEFT(B119,FIND("-",B119)-1),Listas!$I$5:$I$13,0)),"Module / area")))</f>
        <v/>
      </c>
      <c r="E119" s="93" t="n"/>
      <c r="F119" s="93" t="n"/>
      <c r="G119" s="95">
        <f>IF(F119="","",IFERROR(INDEX('Constants &amp; Enums'!$B$5:$B$200,MATCH(F119,'Constants &amp; Enums'!$A$5:$A$200,0)),IFERROR(INDEX('Metrics &amp; Formulas'!$B$5:$B$200,MATCH(F119,'Metrics &amp; Formulas'!$A$5:$A$200,0)),IFERROR(INDEX('Projections &amp; Dashboards'!$B$5:$B$200,MATCH(F119,'Projections &amp; Dashboards'!$A$5:$A$200,0)),IFERROR(INDEX(Funções!$O$5:$O$300,MATCH(F119,Funções!$A$5:$A$300,0)),IFERROR(INDEX(Telas!$C$5:$C$400,MATCH(F119,Telas!$A$5:$A$400,0)),IFERROR(INDEX(Roadmap!$D$6:$D$200,MATCH(F119,Roadmap!$A$6:$A$200,0)),IFERROR(INDEX(Modules!$C$5:$C$100,MATCH(F119,Modules!$A$5:$A$100,0)),"NOT FOUND"))))))))</f>
        <v/>
      </c>
      <c r="H119" s="95">
        <f>IF(F119="","",IF(G119="NOT FOUND","—",IFERROR(INDEX(Listas!$J$5:$J$13,MATCH(LEFT(F119,FIND("-",F119)-1),Listas!$I$5:$I$13,0)),"Module / area")))</f>
        <v/>
      </c>
      <c r="I119" s="95">
        <f>IF(AND(B119="",F119=""),"",IF(OR(C119="NOT FOUND",G119="NOT FOUND"),"✖ ID inexistente",IF(B119=F119,"✖ Autorreferência",IF(E119="","✖ Sem relação","✔ OK"))))</f>
        <v/>
      </c>
      <c r="J119" s="93" t="n"/>
    </row>
    <row r="120" ht="15" customHeight="1" s="50">
      <c r="A120" s="93" t="n"/>
      <c r="B120" s="93" t="n"/>
      <c r="C120" s="95">
        <f>IF(B120="","",IFERROR(INDEX('Constants &amp; Enums'!$B$5:$B$200,MATCH(B120,'Constants &amp; Enums'!$A$5:$A$200,0)),IFERROR(INDEX('Metrics &amp; Formulas'!$B$5:$B$200,MATCH(B120,'Metrics &amp; Formulas'!$A$5:$A$200,0)),IFERROR(INDEX('Projections &amp; Dashboards'!$B$5:$B$200,MATCH(B120,'Projections &amp; Dashboards'!$A$5:$A$200,0)),IFERROR(INDEX(Funções!$O$5:$O$300,MATCH(B120,Funções!$A$5:$A$300,0)),IFERROR(INDEX(Telas!$C$5:$C$400,MATCH(B120,Telas!$A$5:$A$400,0)),IFERROR(INDEX(Roadmap!$D$6:$D$200,MATCH(B120,Roadmap!$A$6:$A$200,0)),IFERROR(INDEX(Modules!$C$5:$C$100,MATCH(B120,Modules!$A$5:$A$100,0)),"NOT FOUND"))))))))</f>
        <v/>
      </c>
      <c r="D120" s="95">
        <f>IF(B120="","",IF(C120="NOT FOUND","—",IFERROR(INDEX(Listas!$J$5:$J$13,MATCH(LEFT(B120,FIND("-",B120)-1),Listas!$I$5:$I$13,0)),"Module / area")))</f>
        <v/>
      </c>
      <c r="E120" s="93" t="n"/>
      <c r="F120" s="93" t="n"/>
      <c r="G120" s="95">
        <f>IF(F120="","",IFERROR(INDEX('Constants &amp; Enums'!$B$5:$B$200,MATCH(F120,'Constants &amp; Enums'!$A$5:$A$200,0)),IFERROR(INDEX('Metrics &amp; Formulas'!$B$5:$B$200,MATCH(F120,'Metrics &amp; Formulas'!$A$5:$A$200,0)),IFERROR(INDEX('Projections &amp; Dashboards'!$B$5:$B$200,MATCH(F120,'Projections &amp; Dashboards'!$A$5:$A$200,0)),IFERROR(INDEX(Funções!$O$5:$O$300,MATCH(F120,Funções!$A$5:$A$300,0)),IFERROR(INDEX(Telas!$C$5:$C$400,MATCH(F120,Telas!$A$5:$A$400,0)),IFERROR(INDEX(Roadmap!$D$6:$D$200,MATCH(F120,Roadmap!$A$6:$A$200,0)),IFERROR(INDEX(Modules!$C$5:$C$100,MATCH(F120,Modules!$A$5:$A$100,0)),"NOT FOUND"))))))))</f>
        <v/>
      </c>
      <c r="H120" s="95">
        <f>IF(F120="","",IF(G120="NOT FOUND","—",IFERROR(INDEX(Listas!$J$5:$J$13,MATCH(LEFT(F120,FIND("-",F120)-1),Listas!$I$5:$I$13,0)),"Module / area")))</f>
        <v/>
      </c>
      <c r="I120" s="95">
        <f>IF(AND(B120="",F120=""),"",IF(OR(C120="NOT FOUND",G120="NOT FOUND"),"✖ ID inexistente",IF(B120=F120,"✖ Autorreferência",IF(E120="","✖ Sem relação","✔ OK"))))</f>
        <v/>
      </c>
      <c r="J120" s="93" t="n"/>
    </row>
    <row r="121" ht="15" customHeight="1" s="50">
      <c r="A121" s="93" t="n"/>
      <c r="B121" s="93" t="n"/>
      <c r="C121" s="95">
        <f>IF(B121="","",IFERROR(INDEX('Constants &amp; Enums'!$B$5:$B$200,MATCH(B121,'Constants &amp; Enums'!$A$5:$A$200,0)),IFERROR(INDEX('Metrics &amp; Formulas'!$B$5:$B$200,MATCH(B121,'Metrics &amp; Formulas'!$A$5:$A$200,0)),IFERROR(INDEX('Projections &amp; Dashboards'!$B$5:$B$200,MATCH(B121,'Projections &amp; Dashboards'!$A$5:$A$200,0)),IFERROR(INDEX(Funções!$O$5:$O$300,MATCH(B121,Funções!$A$5:$A$300,0)),IFERROR(INDEX(Telas!$C$5:$C$400,MATCH(B121,Telas!$A$5:$A$400,0)),IFERROR(INDEX(Roadmap!$D$6:$D$200,MATCH(B121,Roadmap!$A$6:$A$200,0)),IFERROR(INDEX(Modules!$C$5:$C$100,MATCH(B121,Modules!$A$5:$A$100,0)),"NOT FOUND"))))))))</f>
        <v/>
      </c>
      <c r="D121" s="95">
        <f>IF(B121="","",IF(C121="NOT FOUND","—",IFERROR(INDEX(Listas!$J$5:$J$13,MATCH(LEFT(B121,FIND("-",B121)-1),Listas!$I$5:$I$13,0)),"Module / area")))</f>
        <v/>
      </c>
      <c r="E121" s="93" t="n"/>
      <c r="F121" s="93" t="n"/>
      <c r="G121" s="95">
        <f>IF(F121="","",IFERROR(INDEX('Constants &amp; Enums'!$B$5:$B$200,MATCH(F121,'Constants &amp; Enums'!$A$5:$A$200,0)),IFERROR(INDEX('Metrics &amp; Formulas'!$B$5:$B$200,MATCH(F121,'Metrics &amp; Formulas'!$A$5:$A$200,0)),IFERROR(INDEX('Projections &amp; Dashboards'!$B$5:$B$200,MATCH(F121,'Projections &amp; Dashboards'!$A$5:$A$200,0)),IFERROR(INDEX(Funções!$O$5:$O$300,MATCH(F121,Funções!$A$5:$A$300,0)),IFERROR(INDEX(Telas!$C$5:$C$400,MATCH(F121,Telas!$A$5:$A$400,0)),IFERROR(INDEX(Roadmap!$D$6:$D$200,MATCH(F121,Roadmap!$A$6:$A$200,0)),IFERROR(INDEX(Modules!$C$5:$C$100,MATCH(F121,Modules!$A$5:$A$100,0)),"NOT FOUND"))))))))</f>
        <v/>
      </c>
      <c r="H121" s="95">
        <f>IF(F121="","",IF(G121="NOT FOUND","—",IFERROR(INDEX(Listas!$J$5:$J$13,MATCH(LEFT(F121,FIND("-",F121)-1),Listas!$I$5:$I$13,0)),"Module / area")))</f>
        <v/>
      </c>
      <c r="I121" s="95">
        <f>IF(AND(B121="",F121=""),"",IF(OR(C121="NOT FOUND",G121="NOT FOUND"),"✖ ID inexistente",IF(B121=F121,"✖ Autorreferência",IF(E121="","✖ Sem relação","✔ OK"))))</f>
        <v/>
      </c>
      <c r="J121" s="93" t="n"/>
    </row>
    <row r="122" ht="15" customHeight="1" s="50">
      <c r="A122" s="93" t="n"/>
      <c r="B122" s="93" t="n"/>
      <c r="C122" s="95">
        <f>IF(B122="","",IFERROR(INDEX('Constants &amp; Enums'!$B$5:$B$200,MATCH(B122,'Constants &amp; Enums'!$A$5:$A$200,0)),IFERROR(INDEX('Metrics &amp; Formulas'!$B$5:$B$200,MATCH(B122,'Metrics &amp; Formulas'!$A$5:$A$200,0)),IFERROR(INDEX('Projections &amp; Dashboards'!$B$5:$B$200,MATCH(B122,'Projections &amp; Dashboards'!$A$5:$A$200,0)),IFERROR(INDEX(Funções!$O$5:$O$300,MATCH(B122,Funções!$A$5:$A$300,0)),IFERROR(INDEX(Telas!$C$5:$C$400,MATCH(B122,Telas!$A$5:$A$400,0)),IFERROR(INDEX(Roadmap!$D$6:$D$200,MATCH(B122,Roadmap!$A$6:$A$200,0)),IFERROR(INDEX(Modules!$C$5:$C$100,MATCH(B122,Modules!$A$5:$A$100,0)),"NOT FOUND"))))))))</f>
        <v/>
      </c>
      <c r="D122" s="95">
        <f>IF(B122="","",IF(C122="NOT FOUND","—",IFERROR(INDEX(Listas!$J$5:$J$13,MATCH(LEFT(B122,FIND("-",B122)-1),Listas!$I$5:$I$13,0)),"Module / area")))</f>
        <v/>
      </c>
      <c r="E122" s="93" t="n"/>
      <c r="F122" s="93" t="n"/>
      <c r="G122" s="95">
        <f>IF(F122="","",IFERROR(INDEX('Constants &amp; Enums'!$B$5:$B$200,MATCH(F122,'Constants &amp; Enums'!$A$5:$A$200,0)),IFERROR(INDEX('Metrics &amp; Formulas'!$B$5:$B$200,MATCH(F122,'Metrics &amp; Formulas'!$A$5:$A$200,0)),IFERROR(INDEX('Projections &amp; Dashboards'!$B$5:$B$200,MATCH(F122,'Projections &amp; Dashboards'!$A$5:$A$200,0)),IFERROR(INDEX(Funções!$O$5:$O$300,MATCH(F122,Funções!$A$5:$A$300,0)),IFERROR(INDEX(Telas!$C$5:$C$400,MATCH(F122,Telas!$A$5:$A$400,0)),IFERROR(INDEX(Roadmap!$D$6:$D$200,MATCH(F122,Roadmap!$A$6:$A$200,0)),IFERROR(INDEX(Modules!$C$5:$C$100,MATCH(F122,Modules!$A$5:$A$100,0)),"NOT FOUND"))))))))</f>
        <v/>
      </c>
      <c r="H122" s="95">
        <f>IF(F122="","",IF(G122="NOT FOUND","—",IFERROR(INDEX(Listas!$J$5:$J$13,MATCH(LEFT(F122,FIND("-",F122)-1),Listas!$I$5:$I$13,0)),"Module / area")))</f>
        <v/>
      </c>
      <c r="I122" s="95">
        <f>IF(AND(B122="",F122=""),"",IF(OR(C122="NOT FOUND",G122="NOT FOUND"),"✖ ID inexistente",IF(B122=F122,"✖ Autorreferência",IF(E122="","✖ Sem relação","✔ OK"))))</f>
        <v/>
      </c>
      <c r="J122" s="93" t="n"/>
    </row>
    <row r="123" ht="15" customHeight="1" s="50">
      <c r="A123" s="93" t="n"/>
      <c r="B123" s="93" t="n"/>
      <c r="C123" s="95">
        <f>IF(B123="","",IFERROR(INDEX('Constants &amp; Enums'!$B$5:$B$200,MATCH(B123,'Constants &amp; Enums'!$A$5:$A$200,0)),IFERROR(INDEX('Metrics &amp; Formulas'!$B$5:$B$200,MATCH(B123,'Metrics &amp; Formulas'!$A$5:$A$200,0)),IFERROR(INDEX('Projections &amp; Dashboards'!$B$5:$B$200,MATCH(B123,'Projections &amp; Dashboards'!$A$5:$A$200,0)),IFERROR(INDEX(Funções!$O$5:$O$300,MATCH(B123,Funções!$A$5:$A$300,0)),IFERROR(INDEX(Telas!$C$5:$C$400,MATCH(B123,Telas!$A$5:$A$400,0)),IFERROR(INDEX(Roadmap!$D$6:$D$200,MATCH(B123,Roadmap!$A$6:$A$200,0)),IFERROR(INDEX(Modules!$C$5:$C$100,MATCH(B123,Modules!$A$5:$A$100,0)),"NOT FOUND"))))))))</f>
        <v/>
      </c>
      <c r="D123" s="95">
        <f>IF(B123="","",IF(C123="NOT FOUND","—",IFERROR(INDEX(Listas!$J$5:$J$13,MATCH(LEFT(B123,FIND("-",B123)-1),Listas!$I$5:$I$13,0)),"Module / area")))</f>
        <v/>
      </c>
      <c r="E123" s="93" t="n"/>
      <c r="F123" s="93" t="n"/>
      <c r="G123" s="95">
        <f>IF(F123="","",IFERROR(INDEX('Constants &amp; Enums'!$B$5:$B$200,MATCH(F123,'Constants &amp; Enums'!$A$5:$A$200,0)),IFERROR(INDEX('Metrics &amp; Formulas'!$B$5:$B$200,MATCH(F123,'Metrics &amp; Formulas'!$A$5:$A$200,0)),IFERROR(INDEX('Projections &amp; Dashboards'!$B$5:$B$200,MATCH(F123,'Projections &amp; Dashboards'!$A$5:$A$200,0)),IFERROR(INDEX(Funções!$O$5:$O$300,MATCH(F123,Funções!$A$5:$A$300,0)),IFERROR(INDEX(Telas!$C$5:$C$400,MATCH(F123,Telas!$A$5:$A$400,0)),IFERROR(INDEX(Roadmap!$D$6:$D$200,MATCH(F123,Roadmap!$A$6:$A$200,0)),IFERROR(INDEX(Modules!$C$5:$C$100,MATCH(F123,Modules!$A$5:$A$100,0)),"NOT FOUND"))))))))</f>
        <v/>
      </c>
      <c r="H123" s="95">
        <f>IF(F123="","",IF(G123="NOT FOUND","—",IFERROR(INDEX(Listas!$J$5:$J$13,MATCH(LEFT(F123,FIND("-",F123)-1),Listas!$I$5:$I$13,0)),"Module / area")))</f>
        <v/>
      </c>
      <c r="I123" s="95">
        <f>IF(AND(B123="",F123=""),"",IF(OR(C123="NOT FOUND",G123="NOT FOUND"),"✖ ID inexistente",IF(B123=F123,"✖ Autorreferência",IF(E123="","✖ Sem relação","✔ OK"))))</f>
        <v/>
      </c>
      <c r="J123" s="93" t="n"/>
    </row>
    <row r="124" ht="15" customHeight="1" s="50">
      <c r="A124" s="93" t="n"/>
      <c r="B124" s="93" t="n"/>
      <c r="C124" s="95">
        <f>IF(B124="","",IFERROR(INDEX('Constants &amp; Enums'!$B$5:$B$200,MATCH(B124,'Constants &amp; Enums'!$A$5:$A$200,0)),IFERROR(INDEX('Metrics &amp; Formulas'!$B$5:$B$200,MATCH(B124,'Metrics &amp; Formulas'!$A$5:$A$200,0)),IFERROR(INDEX('Projections &amp; Dashboards'!$B$5:$B$200,MATCH(B124,'Projections &amp; Dashboards'!$A$5:$A$200,0)),IFERROR(INDEX(Funções!$O$5:$O$300,MATCH(B124,Funções!$A$5:$A$300,0)),IFERROR(INDEX(Telas!$C$5:$C$400,MATCH(B124,Telas!$A$5:$A$400,0)),IFERROR(INDEX(Roadmap!$D$6:$D$200,MATCH(B124,Roadmap!$A$6:$A$200,0)),IFERROR(INDEX(Modules!$C$5:$C$100,MATCH(B124,Modules!$A$5:$A$100,0)),"NOT FOUND"))))))))</f>
        <v/>
      </c>
      <c r="D124" s="95">
        <f>IF(B124="","",IF(C124="NOT FOUND","—",IFERROR(INDEX(Listas!$J$5:$J$13,MATCH(LEFT(B124,FIND("-",B124)-1),Listas!$I$5:$I$13,0)),"Module / area")))</f>
        <v/>
      </c>
      <c r="E124" s="93" t="n"/>
      <c r="F124" s="93" t="n"/>
      <c r="G124" s="95">
        <f>IF(F124="","",IFERROR(INDEX('Constants &amp; Enums'!$B$5:$B$200,MATCH(F124,'Constants &amp; Enums'!$A$5:$A$200,0)),IFERROR(INDEX('Metrics &amp; Formulas'!$B$5:$B$200,MATCH(F124,'Metrics &amp; Formulas'!$A$5:$A$200,0)),IFERROR(INDEX('Projections &amp; Dashboards'!$B$5:$B$200,MATCH(F124,'Projections &amp; Dashboards'!$A$5:$A$200,0)),IFERROR(INDEX(Funções!$O$5:$O$300,MATCH(F124,Funções!$A$5:$A$300,0)),IFERROR(INDEX(Telas!$C$5:$C$400,MATCH(F124,Telas!$A$5:$A$400,0)),IFERROR(INDEX(Roadmap!$D$6:$D$200,MATCH(F124,Roadmap!$A$6:$A$200,0)),IFERROR(INDEX(Modules!$C$5:$C$100,MATCH(F124,Modules!$A$5:$A$100,0)),"NOT FOUND"))))))))</f>
        <v/>
      </c>
      <c r="H124" s="95">
        <f>IF(F124="","",IF(G124="NOT FOUND","—",IFERROR(INDEX(Listas!$J$5:$J$13,MATCH(LEFT(F124,FIND("-",F124)-1),Listas!$I$5:$I$13,0)),"Module / area")))</f>
        <v/>
      </c>
      <c r="I124" s="95">
        <f>IF(AND(B124="",F124=""),"",IF(OR(C124="NOT FOUND",G124="NOT FOUND"),"✖ ID inexistente",IF(B124=F124,"✖ Autorreferência",IF(E124="","✖ Sem relação","✔ OK"))))</f>
        <v/>
      </c>
      <c r="J124" s="93" t="n"/>
    </row>
    <row r="125" ht="15" customHeight="1" s="50">
      <c r="A125" s="93" t="n"/>
      <c r="B125" s="93" t="n"/>
      <c r="C125" s="95">
        <f>IF(B125="","",IFERROR(INDEX('Constants &amp; Enums'!$B$5:$B$200,MATCH(B125,'Constants &amp; Enums'!$A$5:$A$200,0)),IFERROR(INDEX('Metrics &amp; Formulas'!$B$5:$B$200,MATCH(B125,'Metrics &amp; Formulas'!$A$5:$A$200,0)),IFERROR(INDEX('Projections &amp; Dashboards'!$B$5:$B$200,MATCH(B125,'Projections &amp; Dashboards'!$A$5:$A$200,0)),IFERROR(INDEX(Funções!$O$5:$O$300,MATCH(B125,Funções!$A$5:$A$300,0)),IFERROR(INDEX(Telas!$C$5:$C$400,MATCH(B125,Telas!$A$5:$A$400,0)),IFERROR(INDEX(Roadmap!$D$6:$D$200,MATCH(B125,Roadmap!$A$6:$A$200,0)),IFERROR(INDEX(Modules!$C$5:$C$100,MATCH(B125,Modules!$A$5:$A$100,0)),"NOT FOUND"))))))))</f>
        <v/>
      </c>
      <c r="D125" s="95">
        <f>IF(B125="","",IF(C125="NOT FOUND","—",IFERROR(INDEX(Listas!$J$5:$J$13,MATCH(LEFT(B125,FIND("-",B125)-1),Listas!$I$5:$I$13,0)),"Module / area")))</f>
        <v/>
      </c>
      <c r="E125" s="93" t="n"/>
      <c r="F125" s="93" t="n"/>
      <c r="G125" s="95">
        <f>IF(F125="","",IFERROR(INDEX('Constants &amp; Enums'!$B$5:$B$200,MATCH(F125,'Constants &amp; Enums'!$A$5:$A$200,0)),IFERROR(INDEX('Metrics &amp; Formulas'!$B$5:$B$200,MATCH(F125,'Metrics &amp; Formulas'!$A$5:$A$200,0)),IFERROR(INDEX('Projections &amp; Dashboards'!$B$5:$B$200,MATCH(F125,'Projections &amp; Dashboards'!$A$5:$A$200,0)),IFERROR(INDEX(Funções!$O$5:$O$300,MATCH(F125,Funções!$A$5:$A$300,0)),IFERROR(INDEX(Telas!$C$5:$C$400,MATCH(F125,Telas!$A$5:$A$400,0)),IFERROR(INDEX(Roadmap!$D$6:$D$200,MATCH(F125,Roadmap!$A$6:$A$200,0)),IFERROR(INDEX(Modules!$C$5:$C$100,MATCH(F125,Modules!$A$5:$A$100,0)),"NOT FOUND"))))))))</f>
        <v/>
      </c>
      <c r="H125" s="95">
        <f>IF(F125="","",IF(G125="NOT FOUND","—",IFERROR(INDEX(Listas!$J$5:$J$13,MATCH(LEFT(F125,FIND("-",F125)-1),Listas!$I$5:$I$13,0)),"Module / area")))</f>
        <v/>
      </c>
      <c r="I125" s="95">
        <f>IF(AND(B125="",F125=""),"",IF(OR(C125="NOT FOUND",G125="NOT FOUND"),"✖ ID inexistente",IF(B125=F125,"✖ Autorreferência",IF(E125="","✖ Sem relação","✔ OK"))))</f>
        <v/>
      </c>
      <c r="J125" s="93" t="n"/>
    </row>
    <row r="126" ht="15" customHeight="1" s="50">
      <c r="A126" s="93" t="n"/>
      <c r="B126" s="93" t="n"/>
      <c r="C126" s="95">
        <f>IF(B126="","",IFERROR(INDEX('Constants &amp; Enums'!$B$5:$B$200,MATCH(B126,'Constants &amp; Enums'!$A$5:$A$200,0)),IFERROR(INDEX('Metrics &amp; Formulas'!$B$5:$B$200,MATCH(B126,'Metrics &amp; Formulas'!$A$5:$A$200,0)),IFERROR(INDEX('Projections &amp; Dashboards'!$B$5:$B$200,MATCH(B126,'Projections &amp; Dashboards'!$A$5:$A$200,0)),IFERROR(INDEX(Funções!$O$5:$O$300,MATCH(B126,Funções!$A$5:$A$300,0)),IFERROR(INDEX(Telas!$C$5:$C$400,MATCH(B126,Telas!$A$5:$A$400,0)),IFERROR(INDEX(Roadmap!$D$6:$D$200,MATCH(B126,Roadmap!$A$6:$A$200,0)),IFERROR(INDEX(Modules!$C$5:$C$100,MATCH(B126,Modules!$A$5:$A$100,0)),"NOT FOUND"))))))))</f>
        <v/>
      </c>
      <c r="D126" s="95">
        <f>IF(B126="","",IF(C126="NOT FOUND","—",IFERROR(INDEX(Listas!$J$5:$J$13,MATCH(LEFT(B126,FIND("-",B126)-1),Listas!$I$5:$I$13,0)),"Module / area")))</f>
        <v/>
      </c>
      <c r="E126" s="93" t="n"/>
      <c r="F126" s="93" t="n"/>
      <c r="G126" s="95">
        <f>IF(F126="","",IFERROR(INDEX('Constants &amp; Enums'!$B$5:$B$200,MATCH(F126,'Constants &amp; Enums'!$A$5:$A$200,0)),IFERROR(INDEX('Metrics &amp; Formulas'!$B$5:$B$200,MATCH(F126,'Metrics &amp; Formulas'!$A$5:$A$200,0)),IFERROR(INDEX('Projections &amp; Dashboards'!$B$5:$B$200,MATCH(F126,'Projections &amp; Dashboards'!$A$5:$A$200,0)),IFERROR(INDEX(Funções!$O$5:$O$300,MATCH(F126,Funções!$A$5:$A$300,0)),IFERROR(INDEX(Telas!$C$5:$C$400,MATCH(F126,Telas!$A$5:$A$400,0)),IFERROR(INDEX(Roadmap!$D$6:$D$200,MATCH(F126,Roadmap!$A$6:$A$200,0)),IFERROR(INDEX(Modules!$C$5:$C$100,MATCH(F126,Modules!$A$5:$A$100,0)),"NOT FOUND"))))))))</f>
        <v/>
      </c>
      <c r="H126" s="95">
        <f>IF(F126="","",IF(G126="NOT FOUND","—",IFERROR(INDEX(Listas!$J$5:$J$13,MATCH(LEFT(F126,FIND("-",F126)-1),Listas!$I$5:$I$13,0)),"Module / area")))</f>
        <v/>
      </c>
      <c r="I126" s="95">
        <f>IF(AND(B126="",F126=""),"",IF(OR(C126="NOT FOUND",G126="NOT FOUND"),"✖ ID inexistente",IF(B126=F126,"✖ Autorreferência",IF(E126="","✖ Sem relação","✔ OK"))))</f>
        <v/>
      </c>
      <c r="J126" s="93" t="n"/>
    </row>
    <row r="127" ht="15" customHeight="1" s="50">
      <c r="A127" s="93" t="n"/>
      <c r="B127" s="93" t="n"/>
      <c r="C127" s="95">
        <f>IF(B127="","",IFERROR(INDEX('Constants &amp; Enums'!$B$5:$B$200,MATCH(B127,'Constants &amp; Enums'!$A$5:$A$200,0)),IFERROR(INDEX('Metrics &amp; Formulas'!$B$5:$B$200,MATCH(B127,'Metrics &amp; Formulas'!$A$5:$A$200,0)),IFERROR(INDEX('Projections &amp; Dashboards'!$B$5:$B$200,MATCH(B127,'Projections &amp; Dashboards'!$A$5:$A$200,0)),IFERROR(INDEX(Funções!$O$5:$O$300,MATCH(B127,Funções!$A$5:$A$300,0)),IFERROR(INDEX(Telas!$C$5:$C$400,MATCH(B127,Telas!$A$5:$A$400,0)),IFERROR(INDEX(Roadmap!$D$6:$D$200,MATCH(B127,Roadmap!$A$6:$A$200,0)),IFERROR(INDEX(Modules!$C$5:$C$100,MATCH(B127,Modules!$A$5:$A$100,0)),"NOT FOUND"))))))))</f>
        <v/>
      </c>
      <c r="D127" s="95">
        <f>IF(B127="","",IF(C127="NOT FOUND","—",IFERROR(INDEX(Listas!$J$5:$J$13,MATCH(LEFT(B127,FIND("-",B127)-1),Listas!$I$5:$I$13,0)),"Module / area")))</f>
        <v/>
      </c>
      <c r="E127" s="93" t="n"/>
      <c r="F127" s="93" t="n"/>
      <c r="G127" s="95">
        <f>IF(F127="","",IFERROR(INDEX('Constants &amp; Enums'!$B$5:$B$200,MATCH(F127,'Constants &amp; Enums'!$A$5:$A$200,0)),IFERROR(INDEX('Metrics &amp; Formulas'!$B$5:$B$200,MATCH(F127,'Metrics &amp; Formulas'!$A$5:$A$200,0)),IFERROR(INDEX('Projections &amp; Dashboards'!$B$5:$B$200,MATCH(F127,'Projections &amp; Dashboards'!$A$5:$A$200,0)),IFERROR(INDEX(Funções!$O$5:$O$300,MATCH(F127,Funções!$A$5:$A$300,0)),IFERROR(INDEX(Telas!$C$5:$C$400,MATCH(F127,Telas!$A$5:$A$400,0)),IFERROR(INDEX(Roadmap!$D$6:$D$200,MATCH(F127,Roadmap!$A$6:$A$200,0)),IFERROR(INDEX(Modules!$C$5:$C$100,MATCH(F127,Modules!$A$5:$A$100,0)),"NOT FOUND"))))))))</f>
        <v/>
      </c>
      <c r="H127" s="95">
        <f>IF(F127="","",IF(G127="NOT FOUND","—",IFERROR(INDEX(Listas!$J$5:$J$13,MATCH(LEFT(F127,FIND("-",F127)-1),Listas!$I$5:$I$13,0)),"Module / area")))</f>
        <v/>
      </c>
      <c r="I127" s="95">
        <f>IF(AND(B127="",F127=""),"",IF(OR(C127="NOT FOUND",G127="NOT FOUND"),"✖ ID inexistente",IF(B127=F127,"✖ Autorreferência",IF(E127="","✖ Sem relação","✔ OK"))))</f>
        <v/>
      </c>
      <c r="J127" s="93" t="n"/>
    </row>
    <row r="128" ht="15" customHeight="1" s="50">
      <c r="A128" s="93" t="n"/>
      <c r="B128" s="93" t="n"/>
      <c r="C128" s="95">
        <f>IF(B128="","",IFERROR(INDEX('Constants &amp; Enums'!$B$5:$B$200,MATCH(B128,'Constants &amp; Enums'!$A$5:$A$200,0)),IFERROR(INDEX('Metrics &amp; Formulas'!$B$5:$B$200,MATCH(B128,'Metrics &amp; Formulas'!$A$5:$A$200,0)),IFERROR(INDEX('Projections &amp; Dashboards'!$B$5:$B$200,MATCH(B128,'Projections &amp; Dashboards'!$A$5:$A$200,0)),IFERROR(INDEX(Funções!$O$5:$O$300,MATCH(B128,Funções!$A$5:$A$300,0)),IFERROR(INDEX(Telas!$C$5:$C$400,MATCH(B128,Telas!$A$5:$A$400,0)),IFERROR(INDEX(Roadmap!$D$6:$D$200,MATCH(B128,Roadmap!$A$6:$A$200,0)),IFERROR(INDEX(Modules!$C$5:$C$100,MATCH(B128,Modules!$A$5:$A$100,0)),"NOT FOUND"))))))))</f>
        <v/>
      </c>
      <c r="D128" s="95">
        <f>IF(B128="","",IF(C128="NOT FOUND","—",IFERROR(INDEX(Listas!$J$5:$J$13,MATCH(LEFT(B128,FIND("-",B128)-1),Listas!$I$5:$I$13,0)),"Module / area")))</f>
        <v/>
      </c>
      <c r="E128" s="93" t="n"/>
      <c r="F128" s="93" t="n"/>
      <c r="G128" s="95">
        <f>IF(F128="","",IFERROR(INDEX('Constants &amp; Enums'!$B$5:$B$200,MATCH(F128,'Constants &amp; Enums'!$A$5:$A$200,0)),IFERROR(INDEX('Metrics &amp; Formulas'!$B$5:$B$200,MATCH(F128,'Metrics &amp; Formulas'!$A$5:$A$200,0)),IFERROR(INDEX('Projections &amp; Dashboards'!$B$5:$B$200,MATCH(F128,'Projections &amp; Dashboards'!$A$5:$A$200,0)),IFERROR(INDEX(Funções!$O$5:$O$300,MATCH(F128,Funções!$A$5:$A$300,0)),IFERROR(INDEX(Telas!$C$5:$C$400,MATCH(F128,Telas!$A$5:$A$400,0)),IFERROR(INDEX(Roadmap!$D$6:$D$200,MATCH(F128,Roadmap!$A$6:$A$200,0)),IFERROR(INDEX(Modules!$C$5:$C$100,MATCH(F128,Modules!$A$5:$A$100,0)),"NOT FOUND"))))))))</f>
        <v/>
      </c>
      <c r="H128" s="95">
        <f>IF(F128="","",IF(G128="NOT FOUND","—",IFERROR(INDEX(Listas!$J$5:$J$13,MATCH(LEFT(F128,FIND("-",F128)-1),Listas!$I$5:$I$13,0)),"Module / area")))</f>
        <v/>
      </c>
      <c r="I128" s="95">
        <f>IF(AND(B128="",F128=""),"",IF(OR(C128="NOT FOUND",G128="NOT FOUND"),"✖ ID inexistente",IF(B128=F128,"✖ Autorreferência",IF(E128="","✖ Sem relação","✔ OK"))))</f>
        <v/>
      </c>
      <c r="J128" s="93" t="n"/>
    </row>
    <row r="129" ht="15" customHeight="1" s="50">
      <c r="A129" s="93" t="n"/>
      <c r="B129" s="93" t="n"/>
      <c r="C129" s="95">
        <f>IF(B129="","",IFERROR(INDEX('Constants &amp; Enums'!$B$5:$B$200,MATCH(B129,'Constants &amp; Enums'!$A$5:$A$200,0)),IFERROR(INDEX('Metrics &amp; Formulas'!$B$5:$B$200,MATCH(B129,'Metrics &amp; Formulas'!$A$5:$A$200,0)),IFERROR(INDEX('Projections &amp; Dashboards'!$B$5:$B$200,MATCH(B129,'Projections &amp; Dashboards'!$A$5:$A$200,0)),IFERROR(INDEX(Funções!$O$5:$O$300,MATCH(B129,Funções!$A$5:$A$300,0)),IFERROR(INDEX(Telas!$C$5:$C$400,MATCH(B129,Telas!$A$5:$A$400,0)),IFERROR(INDEX(Roadmap!$D$6:$D$200,MATCH(B129,Roadmap!$A$6:$A$200,0)),IFERROR(INDEX(Modules!$C$5:$C$100,MATCH(B129,Modules!$A$5:$A$100,0)),"NOT FOUND"))))))))</f>
        <v/>
      </c>
      <c r="D129" s="95">
        <f>IF(B129="","",IF(C129="NOT FOUND","—",IFERROR(INDEX(Listas!$J$5:$J$13,MATCH(LEFT(B129,FIND("-",B129)-1),Listas!$I$5:$I$13,0)),"Module / area")))</f>
        <v/>
      </c>
      <c r="E129" s="93" t="n"/>
      <c r="F129" s="93" t="n"/>
      <c r="G129" s="95">
        <f>IF(F129="","",IFERROR(INDEX('Constants &amp; Enums'!$B$5:$B$200,MATCH(F129,'Constants &amp; Enums'!$A$5:$A$200,0)),IFERROR(INDEX('Metrics &amp; Formulas'!$B$5:$B$200,MATCH(F129,'Metrics &amp; Formulas'!$A$5:$A$200,0)),IFERROR(INDEX('Projections &amp; Dashboards'!$B$5:$B$200,MATCH(F129,'Projections &amp; Dashboards'!$A$5:$A$200,0)),IFERROR(INDEX(Funções!$O$5:$O$300,MATCH(F129,Funções!$A$5:$A$300,0)),IFERROR(INDEX(Telas!$C$5:$C$400,MATCH(F129,Telas!$A$5:$A$400,0)),IFERROR(INDEX(Roadmap!$D$6:$D$200,MATCH(F129,Roadmap!$A$6:$A$200,0)),IFERROR(INDEX(Modules!$C$5:$C$100,MATCH(F129,Modules!$A$5:$A$100,0)),"NOT FOUND"))))))))</f>
        <v/>
      </c>
      <c r="H129" s="95">
        <f>IF(F129="","",IF(G129="NOT FOUND","—",IFERROR(INDEX(Listas!$J$5:$J$13,MATCH(LEFT(F129,FIND("-",F129)-1),Listas!$I$5:$I$13,0)),"Module / area")))</f>
        <v/>
      </c>
      <c r="I129" s="95">
        <f>IF(AND(B129="",F129=""),"",IF(OR(C129="NOT FOUND",G129="NOT FOUND"),"✖ ID inexistente",IF(B129=F129,"✖ Autorreferência",IF(E129="","✖ Sem relação","✔ OK"))))</f>
        <v/>
      </c>
      <c r="J129" s="93" t="n"/>
    </row>
    <row r="130" ht="15" customHeight="1" s="50">
      <c r="A130" s="93" t="n"/>
      <c r="B130" s="93" t="n"/>
      <c r="C130" s="95">
        <f>IF(B130="","",IFERROR(INDEX('Constants &amp; Enums'!$B$5:$B$200,MATCH(B130,'Constants &amp; Enums'!$A$5:$A$200,0)),IFERROR(INDEX('Metrics &amp; Formulas'!$B$5:$B$200,MATCH(B130,'Metrics &amp; Formulas'!$A$5:$A$200,0)),IFERROR(INDEX('Projections &amp; Dashboards'!$B$5:$B$200,MATCH(B130,'Projections &amp; Dashboards'!$A$5:$A$200,0)),IFERROR(INDEX(Funções!$O$5:$O$300,MATCH(B130,Funções!$A$5:$A$300,0)),IFERROR(INDEX(Telas!$C$5:$C$400,MATCH(B130,Telas!$A$5:$A$400,0)),IFERROR(INDEX(Roadmap!$D$6:$D$200,MATCH(B130,Roadmap!$A$6:$A$200,0)),IFERROR(INDEX(Modules!$C$5:$C$100,MATCH(B130,Modules!$A$5:$A$100,0)),"NOT FOUND"))))))))</f>
        <v/>
      </c>
      <c r="D130" s="95">
        <f>IF(B130="","",IF(C130="NOT FOUND","—",IFERROR(INDEX(Listas!$J$5:$J$13,MATCH(LEFT(B130,FIND("-",B130)-1),Listas!$I$5:$I$13,0)),"Module / area")))</f>
        <v/>
      </c>
      <c r="E130" s="93" t="n"/>
      <c r="F130" s="93" t="n"/>
      <c r="G130" s="95">
        <f>IF(F130="","",IFERROR(INDEX('Constants &amp; Enums'!$B$5:$B$200,MATCH(F130,'Constants &amp; Enums'!$A$5:$A$200,0)),IFERROR(INDEX('Metrics &amp; Formulas'!$B$5:$B$200,MATCH(F130,'Metrics &amp; Formulas'!$A$5:$A$200,0)),IFERROR(INDEX('Projections &amp; Dashboards'!$B$5:$B$200,MATCH(F130,'Projections &amp; Dashboards'!$A$5:$A$200,0)),IFERROR(INDEX(Funções!$O$5:$O$300,MATCH(F130,Funções!$A$5:$A$300,0)),IFERROR(INDEX(Telas!$C$5:$C$400,MATCH(F130,Telas!$A$5:$A$400,0)),IFERROR(INDEX(Roadmap!$D$6:$D$200,MATCH(F130,Roadmap!$A$6:$A$200,0)),IFERROR(INDEX(Modules!$C$5:$C$100,MATCH(F130,Modules!$A$5:$A$100,0)),"NOT FOUND"))))))))</f>
        <v/>
      </c>
      <c r="H130" s="95">
        <f>IF(F130="","",IF(G130="NOT FOUND","—",IFERROR(INDEX(Listas!$J$5:$J$13,MATCH(LEFT(F130,FIND("-",F130)-1),Listas!$I$5:$I$13,0)),"Module / area")))</f>
        <v/>
      </c>
      <c r="I130" s="95">
        <f>IF(AND(B130="",F130=""),"",IF(OR(C130="NOT FOUND",G130="NOT FOUND"),"✖ ID inexistente",IF(B130=F130,"✖ Autorreferência",IF(E130="","✖ Sem relação","✔ OK"))))</f>
        <v/>
      </c>
      <c r="J130" s="93" t="n"/>
    </row>
    <row r="131" ht="15" customHeight="1" s="50">
      <c r="A131" s="93" t="n"/>
      <c r="B131" s="93" t="n"/>
      <c r="C131" s="95">
        <f>IF(B131="","",IFERROR(INDEX('Constants &amp; Enums'!$B$5:$B$200,MATCH(B131,'Constants &amp; Enums'!$A$5:$A$200,0)),IFERROR(INDEX('Metrics &amp; Formulas'!$B$5:$B$200,MATCH(B131,'Metrics &amp; Formulas'!$A$5:$A$200,0)),IFERROR(INDEX('Projections &amp; Dashboards'!$B$5:$B$200,MATCH(B131,'Projections &amp; Dashboards'!$A$5:$A$200,0)),IFERROR(INDEX(Funções!$O$5:$O$300,MATCH(B131,Funções!$A$5:$A$300,0)),IFERROR(INDEX(Telas!$C$5:$C$400,MATCH(B131,Telas!$A$5:$A$400,0)),IFERROR(INDEX(Roadmap!$D$6:$D$200,MATCH(B131,Roadmap!$A$6:$A$200,0)),IFERROR(INDEX(Modules!$C$5:$C$100,MATCH(B131,Modules!$A$5:$A$100,0)),"NOT FOUND"))))))))</f>
        <v/>
      </c>
      <c r="D131" s="95">
        <f>IF(B131="","",IF(C131="NOT FOUND","—",IFERROR(INDEX(Listas!$J$5:$J$13,MATCH(LEFT(B131,FIND("-",B131)-1),Listas!$I$5:$I$13,0)),"Module / area")))</f>
        <v/>
      </c>
      <c r="E131" s="93" t="n"/>
      <c r="F131" s="93" t="n"/>
      <c r="G131" s="95">
        <f>IF(F131="","",IFERROR(INDEX('Constants &amp; Enums'!$B$5:$B$200,MATCH(F131,'Constants &amp; Enums'!$A$5:$A$200,0)),IFERROR(INDEX('Metrics &amp; Formulas'!$B$5:$B$200,MATCH(F131,'Metrics &amp; Formulas'!$A$5:$A$200,0)),IFERROR(INDEX('Projections &amp; Dashboards'!$B$5:$B$200,MATCH(F131,'Projections &amp; Dashboards'!$A$5:$A$200,0)),IFERROR(INDEX(Funções!$O$5:$O$300,MATCH(F131,Funções!$A$5:$A$300,0)),IFERROR(INDEX(Telas!$C$5:$C$400,MATCH(F131,Telas!$A$5:$A$400,0)),IFERROR(INDEX(Roadmap!$D$6:$D$200,MATCH(F131,Roadmap!$A$6:$A$200,0)),IFERROR(INDEX(Modules!$C$5:$C$100,MATCH(F131,Modules!$A$5:$A$100,0)),"NOT FOUND"))))))))</f>
        <v/>
      </c>
      <c r="H131" s="95">
        <f>IF(F131="","",IF(G131="NOT FOUND","—",IFERROR(INDEX(Listas!$J$5:$J$13,MATCH(LEFT(F131,FIND("-",F131)-1),Listas!$I$5:$I$13,0)),"Module / area")))</f>
        <v/>
      </c>
      <c r="I131" s="95">
        <f>IF(AND(B131="",F131=""),"",IF(OR(C131="NOT FOUND",G131="NOT FOUND"),"✖ ID inexistente",IF(B131=F131,"✖ Autorreferência",IF(E131="","✖ Sem relação","✔ OK"))))</f>
        <v/>
      </c>
      <c r="J131" s="93" t="n"/>
    </row>
    <row r="132" ht="15" customHeight="1" s="50">
      <c r="A132" s="93" t="n"/>
      <c r="B132" s="93" t="n"/>
      <c r="C132" s="95">
        <f>IF(B132="","",IFERROR(INDEX('Constants &amp; Enums'!$B$5:$B$200,MATCH(B132,'Constants &amp; Enums'!$A$5:$A$200,0)),IFERROR(INDEX('Metrics &amp; Formulas'!$B$5:$B$200,MATCH(B132,'Metrics &amp; Formulas'!$A$5:$A$200,0)),IFERROR(INDEX('Projections &amp; Dashboards'!$B$5:$B$200,MATCH(B132,'Projections &amp; Dashboards'!$A$5:$A$200,0)),IFERROR(INDEX(Funções!$O$5:$O$300,MATCH(B132,Funções!$A$5:$A$300,0)),IFERROR(INDEX(Telas!$C$5:$C$400,MATCH(B132,Telas!$A$5:$A$400,0)),IFERROR(INDEX(Roadmap!$D$6:$D$200,MATCH(B132,Roadmap!$A$6:$A$200,0)),IFERROR(INDEX(Modules!$C$5:$C$100,MATCH(B132,Modules!$A$5:$A$100,0)),"NOT FOUND"))))))))</f>
        <v/>
      </c>
      <c r="D132" s="95">
        <f>IF(B132="","",IF(C132="NOT FOUND","—",IFERROR(INDEX(Listas!$J$5:$J$13,MATCH(LEFT(B132,FIND("-",B132)-1),Listas!$I$5:$I$13,0)),"Module / area")))</f>
        <v/>
      </c>
      <c r="E132" s="93" t="n"/>
      <c r="F132" s="93" t="n"/>
      <c r="G132" s="95">
        <f>IF(F132="","",IFERROR(INDEX('Constants &amp; Enums'!$B$5:$B$200,MATCH(F132,'Constants &amp; Enums'!$A$5:$A$200,0)),IFERROR(INDEX('Metrics &amp; Formulas'!$B$5:$B$200,MATCH(F132,'Metrics &amp; Formulas'!$A$5:$A$200,0)),IFERROR(INDEX('Projections &amp; Dashboards'!$B$5:$B$200,MATCH(F132,'Projections &amp; Dashboards'!$A$5:$A$200,0)),IFERROR(INDEX(Funções!$O$5:$O$300,MATCH(F132,Funções!$A$5:$A$300,0)),IFERROR(INDEX(Telas!$C$5:$C$400,MATCH(F132,Telas!$A$5:$A$400,0)),IFERROR(INDEX(Roadmap!$D$6:$D$200,MATCH(F132,Roadmap!$A$6:$A$200,0)),IFERROR(INDEX(Modules!$C$5:$C$100,MATCH(F132,Modules!$A$5:$A$100,0)),"NOT FOUND"))))))))</f>
        <v/>
      </c>
      <c r="H132" s="95">
        <f>IF(F132="","",IF(G132="NOT FOUND","—",IFERROR(INDEX(Listas!$J$5:$J$13,MATCH(LEFT(F132,FIND("-",F132)-1),Listas!$I$5:$I$13,0)),"Module / area")))</f>
        <v/>
      </c>
      <c r="I132" s="95">
        <f>IF(AND(B132="",F132=""),"",IF(OR(C132="NOT FOUND",G132="NOT FOUND"),"✖ ID inexistente",IF(B132=F132,"✖ Autorreferência",IF(E132="","✖ Sem relação","✔ OK"))))</f>
        <v/>
      </c>
      <c r="J132" s="93" t="n"/>
    </row>
    <row r="133" ht="15" customHeight="1" s="50">
      <c r="A133" s="93" t="n"/>
      <c r="B133" s="93" t="n"/>
      <c r="C133" s="95">
        <f>IF(B133="","",IFERROR(INDEX('Constants &amp; Enums'!$B$5:$B$200,MATCH(B133,'Constants &amp; Enums'!$A$5:$A$200,0)),IFERROR(INDEX('Metrics &amp; Formulas'!$B$5:$B$200,MATCH(B133,'Metrics &amp; Formulas'!$A$5:$A$200,0)),IFERROR(INDEX('Projections &amp; Dashboards'!$B$5:$B$200,MATCH(B133,'Projections &amp; Dashboards'!$A$5:$A$200,0)),IFERROR(INDEX(Funções!$O$5:$O$300,MATCH(B133,Funções!$A$5:$A$300,0)),IFERROR(INDEX(Telas!$C$5:$C$400,MATCH(B133,Telas!$A$5:$A$400,0)),IFERROR(INDEX(Roadmap!$D$6:$D$200,MATCH(B133,Roadmap!$A$6:$A$200,0)),IFERROR(INDEX(Modules!$C$5:$C$100,MATCH(B133,Modules!$A$5:$A$100,0)),"NOT FOUND"))))))))</f>
        <v/>
      </c>
      <c r="D133" s="95">
        <f>IF(B133="","",IF(C133="NOT FOUND","—",IFERROR(INDEX(Listas!$J$5:$J$13,MATCH(LEFT(B133,FIND("-",B133)-1),Listas!$I$5:$I$13,0)),"Module / area")))</f>
        <v/>
      </c>
      <c r="E133" s="93" t="n"/>
      <c r="F133" s="93" t="n"/>
      <c r="G133" s="95">
        <f>IF(F133="","",IFERROR(INDEX('Constants &amp; Enums'!$B$5:$B$200,MATCH(F133,'Constants &amp; Enums'!$A$5:$A$200,0)),IFERROR(INDEX('Metrics &amp; Formulas'!$B$5:$B$200,MATCH(F133,'Metrics &amp; Formulas'!$A$5:$A$200,0)),IFERROR(INDEX('Projections &amp; Dashboards'!$B$5:$B$200,MATCH(F133,'Projections &amp; Dashboards'!$A$5:$A$200,0)),IFERROR(INDEX(Funções!$O$5:$O$300,MATCH(F133,Funções!$A$5:$A$300,0)),IFERROR(INDEX(Telas!$C$5:$C$400,MATCH(F133,Telas!$A$5:$A$400,0)),IFERROR(INDEX(Roadmap!$D$6:$D$200,MATCH(F133,Roadmap!$A$6:$A$200,0)),IFERROR(INDEX(Modules!$C$5:$C$100,MATCH(F133,Modules!$A$5:$A$100,0)),"NOT FOUND"))))))))</f>
        <v/>
      </c>
      <c r="H133" s="95">
        <f>IF(F133="","",IF(G133="NOT FOUND","—",IFERROR(INDEX(Listas!$J$5:$J$13,MATCH(LEFT(F133,FIND("-",F133)-1),Listas!$I$5:$I$13,0)),"Module / area")))</f>
        <v/>
      </c>
      <c r="I133" s="95">
        <f>IF(AND(B133="",F133=""),"",IF(OR(C133="NOT FOUND",G133="NOT FOUND"),"✖ ID inexistente",IF(B133=F133,"✖ Autorreferência",IF(E133="","✖ Sem relação","✔ OK"))))</f>
        <v/>
      </c>
      <c r="J133" s="93" t="n"/>
    </row>
    <row r="134" ht="15" customHeight="1" s="50">
      <c r="A134" s="93" t="n"/>
      <c r="B134" s="93" t="n"/>
      <c r="C134" s="95">
        <f>IF(B134="","",IFERROR(INDEX('Constants &amp; Enums'!$B$5:$B$200,MATCH(B134,'Constants &amp; Enums'!$A$5:$A$200,0)),IFERROR(INDEX('Metrics &amp; Formulas'!$B$5:$B$200,MATCH(B134,'Metrics &amp; Formulas'!$A$5:$A$200,0)),IFERROR(INDEX('Projections &amp; Dashboards'!$B$5:$B$200,MATCH(B134,'Projections &amp; Dashboards'!$A$5:$A$200,0)),IFERROR(INDEX(Funções!$O$5:$O$300,MATCH(B134,Funções!$A$5:$A$300,0)),IFERROR(INDEX(Telas!$C$5:$C$400,MATCH(B134,Telas!$A$5:$A$400,0)),IFERROR(INDEX(Roadmap!$D$6:$D$200,MATCH(B134,Roadmap!$A$6:$A$200,0)),IFERROR(INDEX(Modules!$C$5:$C$100,MATCH(B134,Modules!$A$5:$A$100,0)),"NOT FOUND"))))))))</f>
        <v/>
      </c>
      <c r="D134" s="95">
        <f>IF(B134="","",IF(C134="NOT FOUND","—",IFERROR(INDEX(Listas!$J$5:$J$13,MATCH(LEFT(B134,FIND("-",B134)-1),Listas!$I$5:$I$13,0)),"Module / area")))</f>
        <v/>
      </c>
      <c r="E134" s="93" t="n"/>
      <c r="F134" s="93" t="n"/>
      <c r="G134" s="95">
        <f>IF(F134="","",IFERROR(INDEX('Constants &amp; Enums'!$B$5:$B$200,MATCH(F134,'Constants &amp; Enums'!$A$5:$A$200,0)),IFERROR(INDEX('Metrics &amp; Formulas'!$B$5:$B$200,MATCH(F134,'Metrics &amp; Formulas'!$A$5:$A$200,0)),IFERROR(INDEX('Projections &amp; Dashboards'!$B$5:$B$200,MATCH(F134,'Projections &amp; Dashboards'!$A$5:$A$200,0)),IFERROR(INDEX(Funções!$O$5:$O$300,MATCH(F134,Funções!$A$5:$A$300,0)),IFERROR(INDEX(Telas!$C$5:$C$400,MATCH(F134,Telas!$A$5:$A$400,0)),IFERROR(INDEX(Roadmap!$D$6:$D$200,MATCH(F134,Roadmap!$A$6:$A$200,0)),IFERROR(INDEX(Modules!$C$5:$C$100,MATCH(F134,Modules!$A$5:$A$100,0)),"NOT FOUND"))))))))</f>
        <v/>
      </c>
      <c r="H134" s="95">
        <f>IF(F134="","",IF(G134="NOT FOUND","—",IFERROR(INDEX(Listas!$J$5:$J$13,MATCH(LEFT(F134,FIND("-",F134)-1),Listas!$I$5:$I$13,0)),"Module / area")))</f>
        <v/>
      </c>
      <c r="I134" s="95">
        <f>IF(AND(B134="",F134=""),"",IF(OR(C134="NOT FOUND",G134="NOT FOUND"),"✖ ID inexistente",IF(B134=F134,"✖ Autorreferência",IF(E134="","✖ Sem relação","✔ OK"))))</f>
        <v/>
      </c>
      <c r="J134" s="93" t="n"/>
    </row>
    <row r="135" ht="15" customHeight="1" s="50">
      <c r="A135" s="93" t="n"/>
      <c r="B135" s="93" t="n"/>
      <c r="C135" s="95">
        <f>IF(B135="","",IFERROR(INDEX('Constants &amp; Enums'!$B$5:$B$200,MATCH(B135,'Constants &amp; Enums'!$A$5:$A$200,0)),IFERROR(INDEX('Metrics &amp; Formulas'!$B$5:$B$200,MATCH(B135,'Metrics &amp; Formulas'!$A$5:$A$200,0)),IFERROR(INDEX('Projections &amp; Dashboards'!$B$5:$B$200,MATCH(B135,'Projections &amp; Dashboards'!$A$5:$A$200,0)),IFERROR(INDEX(Funções!$O$5:$O$300,MATCH(B135,Funções!$A$5:$A$300,0)),IFERROR(INDEX(Telas!$C$5:$C$400,MATCH(B135,Telas!$A$5:$A$400,0)),IFERROR(INDEX(Roadmap!$D$6:$D$200,MATCH(B135,Roadmap!$A$6:$A$200,0)),IFERROR(INDEX(Modules!$C$5:$C$100,MATCH(B135,Modules!$A$5:$A$100,0)),"NOT FOUND"))))))))</f>
        <v/>
      </c>
      <c r="D135" s="95">
        <f>IF(B135="","",IF(C135="NOT FOUND","—",IFERROR(INDEX(Listas!$J$5:$J$13,MATCH(LEFT(B135,FIND("-",B135)-1),Listas!$I$5:$I$13,0)),"Module / area")))</f>
        <v/>
      </c>
      <c r="E135" s="93" t="n"/>
      <c r="F135" s="93" t="n"/>
      <c r="G135" s="95">
        <f>IF(F135="","",IFERROR(INDEX('Constants &amp; Enums'!$B$5:$B$200,MATCH(F135,'Constants &amp; Enums'!$A$5:$A$200,0)),IFERROR(INDEX('Metrics &amp; Formulas'!$B$5:$B$200,MATCH(F135,'Metrics &amp; Formulas'!$A$5:$A$200,0)),IFERROR(INDEX('Projections &amp; Dashboards'!$B$5:$B$200,MATCH(F135,'Projections &amp; Dashboards'!$A$5:$A$200,0)),IFERROR(INDEX(Funções!$O$5:$O$300,MATCH(F135,Funções!$A$5:$A$300,0)),IFERROR(INDEX(Telas!$C$5:$C$400,MATCH(F135,Telas!$A$5:$A$400,0)),IFERROR(INDEX(Roadmap!$D$6:$D$200,MATCH(F135,Roadmap!$A$6:$A$200,0)),IFERROR(INDEX(Modules!$C$5:$C$100,MATCH(F135,Modules!$A$5:$A$100,0)),"NOT FOUND"))))))))</f>
        <v/>
      </c>
      <c r="H135" s="95">
        <f>IF(F135="","",IF(G135="NOT FOUND","—",IFERROR(INDEX(Listas!$J$5:$J$13,MATCH(LEFT(F135,FIND("-",F135)-1),Listas!$I$5:$I$13,0)),"Module / area")))</f>
        <v/>
      </c>
      <c r="I135" s="95">
        <f>IF(AND(B135="",F135=""),"",IF(OR(C135="NOT FOUND",G135="NOT FOUND"),"✖ ID inexistente",IF(B135=F135,"✖ Autorreferência",IF(E135="","✖ Sem relação","✔ OK"))))</f>
        <v/>
      </c>
      <c r="J135" s="93" t="n"/>
    </row>
    <row r="136" ht="15" customHeight="1" s="50">
      <c r="A136" s="93" t="n"/>
      <c r="B136" s="93" t="n"/>
      <c r="C136" s="95">
        <f>IF(B136="","",IFERROR(INDEX('Constants &amp; Enums'!$B$5:$B$200,MATCH(B136,'Constants &amp; Enums'!$A$5:$A$200,0)),IFERROR(INDEX('Metrics &amp; Formulas'!$B$5:$B$200,MATCH(B136,'Metrics &amp; Formulas'!$A$5:$A$200,0)),IFERROR(INDEX('Projections &amp; Dashboards'!$B$5:$B$200,MATCH(B136,'Projections &amp; Dashboards'!$A$5:$A$200,0)),IFERROR(INDEX(Funções!$O$5:$O$300,MATCH(B136,Funções!$A$5:$A$300,0)),IFERROR(INDEX(Telas!$C$5:$C$400,MATCH(B136,Telas!$A$5:$A$400,0)),IFERROR(INDEX(Roadmap!$D$6:$D$200,MATCH(B136,Roadmap!$A$6:$A$200,0)),IFERROR(INDEX(Modules!$C$5:$C$100,MATCH(B136,Modules!$A$5:$A$100,0)),"NOT FOUND"))))))))</f>
        <v/>
      </c>
      <c r="D136" s="95">
        <f>IF(B136="","",IF(C136="NOT FOUND","—",IFERROR(INDEX(Listas!$J$5:$J$13,MATCH(LEFT(B136,FIND("-",B136)-1),Listas!$I$5:$I$13,0)),"Module / area")))</f>
        <v/>
      </c>
      <c r="E136" s="93" t="n"/>
      <c r="F136" s="93" t="n"/>
      <c r="G136" s="95">
        <f>IF(F136="","",IFERROR(INDEX('Constants &amp; Enums'!$B$5:$B$200,MATCH(F136,'Constants &amp; Enums'!$A$5:$A$200,0)),IFERROR(INDEX('Metrics &amp; Formulas'!$B$5:$B$200,MATCH(F136,'Metrics &amp; Formulas'!$A$5:$A$200,0)),IFERROR(INDEX('Projections &amp; Dashboards'!$B$5:$B$200,MATCH(F136,'Projections &amp; Dashboards'!$A$5:$A$200,0)),IFERROR(INDEX(Funções!$O$5:$O$300,MATCH(F136,Funções!$A$5:$A$300,0)),IFERROR(INDEX(Telas!$C$5:$C$400,MATCH(F136,Telas!$A$5:$A$400,0)),IFERROR(INDEX(Roadmap!$D$6:$D$200,MATCH(F136,Roadmap!$A$6:$A$200,0)),IFERROR(INDEX(Modules!$C$5:$C$100,MATCH(F136,Modules!$A$5:$A$100,0)),"NOT FOUND"))))))))</f>
        <v/>
      </c>
      <c r="H136" s="95">
        <f>IF(F136="","",IF(G136="NOT FOUND","—",IFERROR(INDEX(Listas!$J$5:$J$13,MATCH(LEFT(F136,FIND("-",F136)-1),Listas!$I$5:$I$13,0)),"Module / area")))</f>
        <v/>
      </c>
      <c r="I136" s="95">
        <f>IF(AND(B136="",F136=""),"",IF(OR(C136="NOT FOUND",G136="NOT FOUND"),"✖ ID inexistente",IF(B136=F136,"✖ Autorreferência",IF(E136="","✖ Sem relação","✔ OK"))))</f>
        <v/>
      </c>
      <c r="J136" s="93" t="n"/>
    </row>
    <row r="137" ht="15" customHeight="1" s="50">
      <c r="A137" s="93" t="n"/>
      <c r="B137" s="93" t="n"/>
      <c r="C137" s="95">
        <f>IF(B137="","",IFERROR(INDEX('Constants &amp; Enums'!$B$5:$B$200,MATCH(B137,'Constants &amp; Enums'!$A$5:$A$200,0)),IFERROR(INDEX('Metrics &amp; Formulas'!$B$5:$B$200,MATCH(B137,'Metrics &amp; Formulas'!$A$5:$A$200,0)),IFERROR(INDEX('Projections &amp; Dashboards'!$B$5:$B$200,MATCH(B137,'Projections &amp; Dashboards'!$A$5:$A$200,0)),IFERROR(INDEX(Funções!$O$5:$O$300,MATCH(B137,Funções!$A$5:$A$300,0)),IFERROR(INDEX(Telas!$C$5:$C$400,MATCH(B137,Telas!$A$5:$A$400,0)),IFERROR(INDEX(Roadmap!$D$6:$D$200,MATCH(B137,Roadmap!$A$6:$A$200,0)),IFERROR(INDEX(Modules!$C$5:$C$100,MATCH(B137,Modules!$A$5:$A$100,0)),"NOT FOUND"))))))))</f>
        <v/>
      </c>
      <c r="D137" s="95">
        <f>IF(B137="","",IF(C137="NOT FOUND","—",IFERROR(INDEX(Listas!$J$5:$J$13,MATCH(LEFT(B137,FIND("-",B137)-1),Listas!$I$5:$I$13,0)),"Module / area")))</f>
        <v/>
      </c>
      <c r="E137" s="93" t="n"/>
      <c r="F137" s="93" t="n"/>
      <c r="G137" s="95">
        <f>IF(F137="","",IFERROR(INDEX('Constants &amp; Enums'!$B$5:$B$200,MATCH(F137,'Constants &amp; Enums'!$A$5:$A$200,0)),IFERROR(INDEX('Metrics &amp; Formulas'!$B$5:$B$200,MATCH(F137,'Metrics &amp; Formulas'!$A$5:$A$200,0)),IFERROR(INDEX('Projections &amp; Dashboards'!$B$5:$B$200,MATCH(F137,'Projections &amp; Dashboards'!$A$5:$A$200,0)),IFERROR(INDEX(Funções!$O$5:$O$300,MATCH(F137,Funções!$A$5:$A$300,0)),IFERROR(INDEX(Telas!$C$5:$C$400,MATCH(F137,Telas!$A$5:$A$400,0)),IFERROR(INDEX(Roadmap!$D$6:$D$200,MATCH(F137,Roadmap!$A$6:$A$200,0)),IFERROR(INDEX(Modules!$C$5:$C$100,MATCH(F137,Modules!$A$5:$A$100,0)),"NOT FOUND"))))))))</f>
        <v/>
      </c>
      <c r="H137" s="95">
        <f>IF(F137="","",IF(G137="NOT FOUND","—",IFERROR(INDEX(Listas!$J$5:$J$13,MATCH(LEFT(F137,FIND("-",F137)-1),Listas!$I$5:$I$13,0)),"Module / area")))</f>
        <v/>
      </c>
      <c r="I137" s="95">
        <f>IF(AND(B137="",F137=""),"",IF(OR(C137="NOT FOUND",G137="NOT FOUND"),"✖ ID inexistente",IF(B137=F137,"✖ Autorreferência",IF(E137="","✖ Sem relação","✔ OK"))))</f>
        <v/>
      </c>
      <c r="J137" s="93" t="n"/>
    </row>
    <row r="138" ht="15" customHeight="1" s="50">
      <c r="A138" s="93" t="n"/>
      <c r="B138" s="93" t="n"/>
      <c r="C138" s="95">
        <f>IF(B138="","",IFERROR(INDEX('Constants &amp; Enums'!$B$5:$B$200,MATCH(B138,'Constants &amp; Enums'!$A$5:$A$200,0)),IFERROR(INDEX('Metrics &amp; Formulas'!$B$5:$B$200,MATCH(B138,'Metrics &amp; Formulas'!$A$5:$A$200,0)),IFERROR(INDEX('Projections &amp; Dashboards'!$B$5:$B$200,MATCH(B138,'Projections &amp; Dashboards'!$A$5:$A$200,0)),IFERROR(INDEX(Funções!$O$5:$O$300,MATCH(B138,Funções!$A$5:$A$300,0)),IFERROR(INDEX(Telas!$C$5:$C$400,MATCH(B138,Telas!$A$5:$A$400,0)),IFERROR(INDEX(Roadmap!$D$6:$D$200,MATCH(B138,Roadmap!$A$6:$A$200,0)),IFERROR(INDEX(Modules!$C$5:$C$100,MATCH(B138,Modules!$A$5:$A$100,0)),"NOT FOUND"))))))))</f>
        <v/>
      </c>
      <c r="D138" s="95">
        <f>IF(B138="","",IF(C138="NOT FOUND","—",IFERROR(INDEX(Listas!$J$5:$J$13,MATCH(LEFT(B138,FIND("-",B138)-1),Listas!$I$5:$I$13,0)),"Module / area")))</f>
        <v/>
      </c>
      <c r="E138" s="93" t="n"/>
      <c r="F138" s="93" t="n"/>
      <c r="G138" s="95">
        <f>IF(F138="","",IFERROR(INDEX('Constants &amp; Enums'!$B$5:$B$200,MATCH(F138,'Constants &amp; Enums'!$A$5:$A$200,0)),IFERROR(INDEX('Metrics &amp; Formulas'!$B$5:$B$200,MATCH(F138,'Metrics &amp; Formulas'!$A$5:$A$200,0)),IFERROR(INDEX('Projections &amp; Dashboards'!$B$5:$B$200,MATCH(F138,'Projections &amp; Dashboards'!$A$5:$A$200,0)),IFERROR(INDEX(Funções!$O$5:$O$300,MATCH(F138,Funções!$A$5:$A$300,0)),IFERROR(INDEX(Telas!$C$5:$C$400,MATCH(F138,Telas!$A$5:$A$400,0)),IFERROR(INDEX(Roadmap!$D$6:$D$200,MATCH(F138,Roadmap!$A$6:$A$200,0)),IFERROR(INDEX(Modules!$C$5:$C$100,MATCH(F138,Modules!$A$5:$A$100,0)),"NOT FOUND"))))))))</f>
        <v/>
      </c>
      <c r="H138" s="95">
        <f>IF(F138="","",IF(G138="NOT FOUND","—",IFERROR(INDEX(Listas!$J$5:$J$13,MATCH(LEFT(F138,FIND("-",F138)-1),Listas!$I$5:$I$13,0)),"Module / area")))</f>
        <v/>
      </c>
      <c r="I138" s="95">
        <f>IF(AND(B138="",F138=""),"",IF(OR(C138="NOT FOUND",G138="NOT FOUND"),"✖ ID inexistente",IF(B138=F138,"✖ Autorreferência",IF(E138="","✖ Sem relação","✔ OK"))))</f>
        <v/>
      </c>
      <c r="J138" s="93" t="n"/>
    </row>
    <row r="139" ht="15" customHeight="1" s="50">
      <c r="A139" s="93" t="n"/>
      <c r="B139" s="93" t="n"/>
      <c r="C139" s="95">
        <f>IF(B139="","",IFERROR(INDEX('Constants &amp; Enums'!$B$5:$B$200,MATCH(B139,'Constants &amp; Enums'!$A$5:$A$200,0)),IFERROR(INDEX('Metrics &amp; Formulas'!$B$5:$B$200,MATCH(B139,'Metrics &amp; Formulas'!$A$5:$A$200,0)),IFERROR(INDEX('Projections &amp; Dashboards'!$B$5:$B$200,MATCH(B139,'Projections &amp; Dashboards'!$A$5:$A$200,0)),IFERROR(INDEX(Funções!$O$5:$O$300,MATCH(B139,Funções!$A$5:$A$300,0)),IFERROR(INDEX(Telas!$C$5:$C$400,MATCH(B139,Telas!$A$5:$A$400,0)),IFERROR(INDEX(Roadmap!$D$6:$D$200,MATCH(B139,Roadmap!$A$6:$A$200,0)),IFERROR(INDEX(Modules!$C$5:$C$100,MATCH(B139,Modules!$A$5:$A$100,0)),"NOT FOUND"))))))))</f>
        <v/>
      </c>
      <c r="D139" s="95">
        <f>IF(B139="","",IF(C139="NOT FOUND","—",IFERROR(INDEX(Listas!$J$5:$J$13,MATCH(LEFT(B139,FIND("-",B139)-1),Listas!$I$5:$I$13,0)),"Module / area")))</f>
        <v/>
      </c>
      <c r="E139" s="93" t="n"/>
      <c r="F139" s="93" t="n"/>
      <c r="G139" s="95">
        <f>IF(F139="","",IFERROR(INDEX('Constants &amp; Enums'!$B$5:$B$200,MATCH(F139,'Constants &amp; Enums'!$A$5:$A$200,0)),IFERROR(INDEX('Metrics &amp; Formulas'!$B$5:$B$200,MATCH(F139,'Metrics &amp; Formulas'!$A$5:$A$200,0)),IFERROR(INDEX('Projections &amp; Dashboards'!$B$5:$B$200,MATCH(F139,'Projections &amp; Dashboards'!$A$5:$A$200,0)),IFERROR(INDEX(Funções!$O$5:$O$300,MATCH(F139,Funções!$A$5:$A$300,0)),IFERROR(INDEX(Telas!$C$5:$C$400,MATCH(F139,Telas!$A$5:$A$400,0)),IFERROR(INDEX(Roadmap!$D$6:$D$200,MATCH(F139,Roadmap!$A$6:$A$200,0)),IFERROR(INDEX(Modules!$C$5:$C$100,MATCH(F139,Modules!$A$5:$A$100,0)),"NOT FOUND"))))))))</f>
        <v/>
      </c>
      <c r="H139" s="95">
        <f>IF(F139="","",IF(G139="NOT FOUND","—",IFERROR(INDEX(Listas!$J$5:$J$13,MATCH(LEFT(F139,FIND("-",F139)-1),Listas!$I$5:$I$13,0)),"Module / area")))</f>
        <v/>
      </c>
      <c r="I139" s="95">
        <f>IF(AND(B139="",F139=""),"",IF(OR(C139="NOT FOUND",G139="NOT FOUND"),"✖ ID inexistente",IF(B139=F139,"✖ Autorreferência",IF(E139="","✖ Sem relação","✔ OK"))))</f>
        <v/>
      </c>
      <c r="J139" s="93" t="n"/>
    </row>
    <row r="140" ht="15" customHeight="1" s="50">
      <c r="A140" s="93" t="n"/>
      <c r="B140" s="93" t="n"/>
      <c r="C140" s="95">
        <f>IF(B140="","",IFERROR(INDEX('Constants &amp; Enums'!$B$5:$B$200,MATCH(B140,'Constants &amp; Enums'!$A$5:$A$200,0)),IFERROR(INDEX('Metrics &amp; Formulas'!$B$5:$B$200,MATCH(B140,'Metrics &amp; Formulas'!$A$5:$A$200,0)),IFERROR(INDEX('Projections &amp; Dashboards'!$B$5:$B$200,MATCH(B140,'Projections &amp; Dashboards'!$A$5:$A$200,0)),IFERROR(INDEX(Funções!$O$5:$O$300,MATCH(B140,Funções!$A$5:$A$300,0)),IFERROR(INDEX(Telas!$C$5:$C$400,MATCH(B140,Telas!$A$5:$A$400,0)),IFERROR(INDEX(Roadmap!$D$6:$D$200,MATCH(B140,Roadmap!$A$6:$A$200,0)),IFERROR(INDEX(Modules!$C$5:$C$100,MATCH(B140,Modules!$A$5:$A$100,0)),"NOT FOUND"))))))))</f>
        <v/>
      </c>
      <c r="D140" s="95">
        <f>IF(B140="","",IF(C140="NOT FOUND","—",IFERROR(INDEX(Listas!$J$5:$J$13,MATCH(LEFT(B140,FIND("-",B140)-1),Listas!$I$5:$I$13,0)),"Module / area")))</f>
        <v/>
      </c>
      <c r="E140" s="93" t="n"/>
      <c r="F140" s="93" t="n"/>
      <c r="G140" s="95">
        <f>IF(F140="","",IFERROR(INDEX('Constants &amp; Enums'!$B$5:$B$200,MATCH(F140,'Constants &amp; Enums'!$A$5:$A$200,0)),IFERROR(INDEX('Metrics &amp; Formulas'!$B$5:$B$200,MATCH(F140,'Metrics &amp; Formulas'!$A$5:$A$200,0)),IFERROR(INDEX('Projections &amp; Dashboards'!$B$5:$B$200,MATCH(F140,'Projections &amp; Dashboards'!$A$5:$A$200,0)),IFERROR(INDEX(Funções!$O$5:$O$300,MATCH(F140,Funções!$A$5:$A$300,0)),IFERROR(INDEX(Telas!$C$5:$C$400,MATCH(F140,Telas!$A$5:$A$400,0)),IFERROR(INDEX(Roadmap!$D$6:$D$200,MATCH(F140,Roadmap!$A$6:$A$200,0)),IFERROR(INDEX(Modules!$C$5:$C$100,MATCH(F140,Modules!$A$5:$A$100,0)),"NOT FOUND"))))))))</f>
        <v/>
      </c>
      <c r="H140" s="95">
        <f>IF(F140="","",IF(G140="NOT FOUND","—",IFERROR(INDEX(Listas!$J$5:$J$13,MATCH(LEFT(F140,FIND("-",F140)-1),Listas!$I$5:$I$13,0)),"Module / area")))</f>
        <v/>
      </c>
      <c r="I140" s="95">
        <f>IF(AND(B140="",F140=""),"",IF(OR(C140="NOT FOUND",G140="NOT FOUND"),"✖ ID inexistente",IF(B140=F140,"✖ Autorreferência",IF(E140="","✖ Sem relação","✔ OK"))))</f>
        <v/>
      </c>
      <c r="J140" s="93" t="n"/>
    </row>
    <row r="141" ht="15" customHeight="1" s="50">
      <c r="A141" s="93" t="n"/>
      <c r="B141" s="93" t="n"/>
      <c r="C141" s="95">
        <f>IF(B141="","",IFERROR(INDEX('Constants &amp; Enums'!$B$5:$B$200,MATCH(B141,'Constants &amp; Enums'!$A$5:$A$200,0)),IFERROR(INDEX('Metrics &amp; Formulas'!$B$5:$B$200,MATCH(B141,'Metrics &amp; Formulas'!$A$5:$A$200,0)),IFERROR(INDEX('Projections &amp; Dashboards'!$B$5:$B$200,MATCH(B141,'Projections &amp; Dashboards'!$A$5:$A$200,0)),IFERROR(INDEX(Funções!$O$5:$O$300,MATCH(B141,Funções!$A$5:$A$300,0)),IFERROR(INDEX(Telas!$C$5:$C$400,MATCH(B141,Telas!$A$5:$A$400,0)),IFERROR(INDEX(Roadmap!$D$6:$D$200,MATCH(B141,Roadmap!$A$6:$A$200,0)),IFERROR(INDEX(Modules!$C$5:$C$100,MATCH(B141,Modules!$A$5:$A$100,0)),"NOT FOUND"))))))))</f>
        <v/>
      </c>
      <c r="D141" s="95">
        <f>IF(B141="","",IF(C141="NOT FOUND","—",IFERROR(INDEX(Listas!$J$5:$J$13,MATCH(LEFT(B141,FIND("-",B141)-1),Listas!$I$5:$I$13,0)),"Module / area")))</f>
        <v/>
      </c>
      <c r="E141" s="93" t="n"/>
      <c r="F141" s="93" t="n"/>
      <c r="G141" s="95">
        <f>IF(F141="","",IFERROR(INDEX('Constants &amp; Enums'!$B$5:$B$200,MATCH(F141,'Constants &amp; Enums'!$A$5:$A$200,0)),IFERROR(INDEX('Metrics &amp; Formulas'!$B$5:$B$200,MATCH(F141,'Metrics &amp; Formulas'!$A$5:$A$200,0)),IFERROR(INDEX('Projections &amp; Dashboards'!$B$5:$B$200,MATCH(F141,'Projections &amp; Dashboards'!$A$5:$A$200,0)),IFERROR(INDEX(Funções!$O$5:$O$300,MATCH(F141,Funções!$A$5:$A$300,0)),IFERROR(INDEX(Telas!$C$5:$C$400,MATCH(F141,Telas!$A$5:$A$400,0)),IFERROR(INDEX(Roadmap!$D$6:$D$200,MATCH(F141,Roadmap!$A$6:$A$200,0)),IFERROR(INDEX(Modules!$C$5:$C$100,MATCH(F141,Modules!$A$5:$A$100,0)),"NOT FOUND"))))))))</f>
        <v/>
      </c>
      <c r="H141" s="95">
        <f>IF(F141="","",IF(G141="NOT FOUND","—",IFERROR(INDEX(Listas!$J$5:$J$13,MATCH(LEFT(F141,FIND("-",F141)-1),Listas!$I$5:$I$13,0)),"Module / area")))</f>
        <v/>
      </c>
      <c r="I141" s="95">
        <f>IF(AND(B141="",F141=""),"",IF(OR(C141="NOT FOUND",G141="NOT FOUND"),"✖ ID inexistente",IF(B141=F141,"✖ Autorreferência",IF(E141="","✖ Sem relação","✔ OK"))))</f>
        <v/>
      </c>
      <c r="J141" s="93" t="n"/>
    </row>
    <row r="142" ht="15" customHeight="1" s="50">
      <c r="A142" s="93" t="n"/>
      <c r="B142" s="93" t="n"/>
      <c r="C142" s="95">
        <f>IF(B142="","",IFERROR(INDEX('Constants &amp; Enums'!$B$5:$B$200,MATCH(B142,'Constants &amp; Enums'!$A$5:$A$200,0)),IFERROR(INDEX('Metrics &amp; Formulas'!$B$5:$B$200,MATCH(B142,'Metrics &amp; Formulas'!$A$5:$A$200,0)),IFERROR(INDEX('Projections &amp; Dashboards'!$B$5:$B$200,MATCH(B142,'Projections &amp; Dashboards'!$A$5:$A$200,0)),IFERROR(INDEX(Funções!$O$5:$O$300,MATCH(B142,Funções!$A$5:$A$300,0)),IFERROR(INDEX(Telas!$C$5:$C$400,MATCH(B142,Telas!$A$5:$A$400,0)),IFERROR(INDEX(Roadmap!$D$6:$D$200,MATCH(B142,Roadmap!$A$6:$A$200,0)),IFERROR(INDEX(Modules!$C$5:$C$100,MATCH(B142,Modules!$A$5:$A$100,0)),"NOT FOUND"))))))))</f>
        <v/>
      </c>
      <c r="D142" s="95">
        <f>IF(B142="","",IF(C142="NOT FOUND","—",IFERROR(INDEX(Listas!$J$5:$J$13,MATCH(LEFT(B142,FIND("-",B142)-1),Listas!$I$5:$I$13,0)),"Module / area")))</f>
        <v/>
      </c>
      <c r="E142" s="93" t="n"/>
      <c r="F142" s="93" t="n"/>
      <c r="G142" s="95">
        <f>IF(F142="","",IFERROR(INDEX('Constants &amp; Enums'!$B$5:$B$200,MATCH(F142,'Constants &amp; Enums'!$A$5:$A$200,0)),IFERROR(INDEX('Metrics &amp; Formulas'!$B$5:$B$200,MATCH(F142,'Metrics &amp; Formulas'!$A$5:$A$200,0)),IFERROR(INDEX('Projections &amp; Dashboards'!$B$5:$B$200,MATCH(F142,'Projections &amp; Dashboards'!$A$5:$A$200,0)),IFERROR(INDEX(Funções!$O$5:$O$300,MATCH(F142,Funções!$A$5:$A$300,0)),IFERROR(INDEX(Telas!$C$5:$C$400,MATCH(F142,Telas!$A$5:$A$400,0)),IFERROR(INDEX(Roadmap!$D$6:$D$200,MATCH(F142,Roadmap!$A$6:$A$200,0)),IFERROR(INDEX(Modules!$C$5:$C$100,MATCH(F142,Modules!$A$5:$A$100,0)),"NOT FOUND"))))))))</f>
        <v/>
      </c>
      <c r="H142" s="95">
        <f>IF(F142="","",IF(G142="NOT FOUND","—",IFERROR(INDEX(Listas!$J$5:$J$13,MATCH(LEFT(F142,FIND("-",F142)-1),Listas!$I$5:$I$13,0)),"Module / area")))</f>
        <v/>
      </c>
      <c r="I142" s="95">
        <f>IF(AND(B142="",F142=""),"",IF(OR(C142="NOT FOUND",G142="NOT FOUND"),"✖ ID inexistente",IF(B142=F142,"✖ Autorreferência",IF(E142="","✖ Sem relação","✔ OK"))))</f>
        <v/>
      </c>
      <c r="J142" s="93" t="n"/>
    </row>
    <row r="143" ht="15" customHeight="1" s="50">
      <c r="A143" s="93" t="n"/>
      <c r="B143" s="93" t="n"/>
      <c r="C143" s="95">
        <f>IF(B143="","",IFERROR(INDEX('Constants &amp; Enums'!$B$5:$B$200,MATCH(B143,'Constants &amp; Enums'!$A$5:$A$200,0)),IFERROR(INDEX('Metrics &amp; Formulas'!$B$5:$B$200,MATCH(B143,'Metrics &amp; Formulas'!$A$5:$A$200,0)),IFERROR(INDEX('Projections &amp; Dashboards'!$B$5:$B$200,MATCH(B143,'Projections &amp; Dashboards'!$A$5:$A$200,0)),IFERROR(INDEX(Funções!$O$5:$O$300,MATCH(B143,Funções!$A$5:$A$300,0)),IFERROR(INDEX(Telas!$C$5:$C$400,MATCH(B143,Telas!$A$5:$A$400,0)),IFERROR(INDEX(Roadmap!$D$6:$D$200,MATCH(B143,Roadmap!$A$6:$A$200,0)),IFERROR(INDEX(Modules!$C$5:$C$100,MATCH(B143,Modules!$A$5:$A$100,0)),"NOT FOUND"))))))))</f>
        <v/>
      </c>
      <c r="D143" s="95">
        <f>IF(B143="","",IF(C143="NOT FOUND","—",IFERROR(INDEX(Listas!$J$5:$J$13,MATCH(LEFT(B143,FIND("-",B143)-1),Listas!$I$5:$I$13,0)),"Module / area")))</f>
        <v/>
      </c>
      <c r="E143" s="93" t="n"/>
      <c r="F143" s="93" t="n"/>
      <c r="G143" s="95">
        <f>IF(F143="","",IFERROR(INDEX('Constants &amp; Enums'!$B$5:$B$200,MATCH(F143,'Constants &amp; Enums'!$A$5:$A$200,0)),IFERROR(INDEX('Metrics &amp; Formulas'!$B$5:$B$200,MATCH(F143,'Metrics &amp; Formulas'!$A$5:$A$200,0)),IFERROR(INDEX('Projections &amp; Dashboards'!$B$5:$B$200,MATCH(F143,'Projections &amp; Dashboards'!$A$5:$A$200,0)),IFERROR(INDEX(Funções!$O$5:$O$300,MATCH(F143,Funções!$A$5:$A$300,0)),IFERROR(INDEX(Telas!$C$5:$C$400,MATCH(F143,Telas!$A$5:$A$400,0)),IFERROR(INDEX(Roadmap!$D$6:$D$200,MATCH(F143,Roadmap!$A$6:$A$200,0)),IFERROR(INDEX(Modules!$C$5:$C$100,MATCH(F143,Modules!$A$5:$A$100,0)),"NOT FOUND"))))))))</f>
        <v/>
      </c>
      <c r="H143" s="95">
        <f>IF(F143="","",IF(G143="NOT FOUND","—",IFERROR(INDEX(Listas!$J$5:$J$13,MATCH(LEFT(F143,FIND("-",F143)-1),Listas!$I$5:$I$13,0)),"Module / area")))</f>
        <v/>
      </c>
      <c r="I143" s="95">
        <f>IF(AND(B143="",F143=""),"",IF(OR(C143="NOT FOUND",G143="NOT FOUND"),"✖ ID inexistente",IF(B143=F143,"✖ Autorreferência",IF(E143="","✖ Sem relação","✔ OK"))))</f>
        <v/>
      </c>
      <c r="J143" s="93" t="n"/>
    </row>
    <row r="144" ht="15" customHeight="1" s="50">
      <c r="A144" s="93" t="n"/>
      <c r="B144" s="93" t="n"/>
      <c r="C144" s="95">
        <f>IF(B144="","",IFERROR(INDEX('Constants &amp; Enums'!$B$5:$B$200,MATCH(B144,'Constants &amp; Enums'!$A$5:$A$200,0)),IFERROR(INDEX('Metrics &amp; Formulas'!$B$5:$B$200,MATCH(B144,'Metrics &amp; Formulas'!$A$5:$A$200,0)),IFERROR(INDEX('Projections &amp; Dashboards'!$B$5:$B$200,MATCH(B144,'Projections &amp; Dashboards'!$A$5:$A$200,0)),IFERROR(INDEX(Funções!$O$5:$O$300,MATCH(B144,Funções!$A$5:$A$300,0)),IFERROR(INDEX(Telas!$C$5:$C$400,MATCH(B144,Telas!$A$5:$A$400,0)),IFERROR(INDEX(Roadmap!$D$6:$D$200,MATCH(B144,Roadmap!$A$6:$A$200,0)),IFERROR(INDEX(Modules!$C$5:$C$100,MATCH(B144,Modules!$A$5:$A$100,0)),"NOT FOUND"))))))))</f>
        <v/>
      </c>
      <c r="D144" s="95">
        <f>IF(B144="","",IF(C144="NOT FOUND","—",IFERROR(INDEX(Listas!$J$5:$J$13,MATCH(LEFT(B144,FIND("-",B144)-1),Listas!$I$5:$I$13,0)),"Module / area")))</f>
        <v/>
      </c>
      <c r="E144" s="93" t="n"/>
      <c r="F144" s="93" t="n"/>
      <c r="G144" s="95">
        <f>IF(F144="","",IFERROR(INDEX('Constants &amp; Enums'!$B$5:$B$200,MATCH(F144,'Constants &amp; Enums'!$A$5:$A$200,0)),IFERROR(INDEX('Metrics &amp; Formulas'!$B$5:$B$200,MATCH(F144,'Metrics &amp; Formulas'!$A$5:$A$200,0)),IFERROR(INDEX('Projections &amp; Dashboards'!$B$5:$B$200,MATCH(F144,'Projections &amp; Dashboards'!$A$5:$A$200,0)),IFERROR(INDEX(Funções!$O$5:$O$300,MATCH(F144,Funções!$A$5:$A$300,0)),IFERROR(INDEX(Telas!$C$5:$C$400,MATCH(F144,Telas!$A$5:$A$400,0)),IFERROR(INDEX(Roadmap!$D$6:$D$200,MATCH(F144,Roadmap!$A$6:$A$200,0)),IFERROR(INDEX(Modules!$C$5:$C$100,MATCH(F144,Modules!$A$5:$A$100,0)),"NOT FOUND"))))))))</f>
        <v/>
      </c>
      <c r="H144" s="95">
        <f>IF(F144="","",IF(G144="NOT FOUND","—",IFERROR(INDEX(Listas!$J$5:$J$13,MATCH(LEFT(F144,FIND("-",F144)-1),Listas!$I$5:$I$13,0)),"Module / area")))</f>
        <v/>
      </c>
      <c r="I144" s="95">
        <f>IF(AND(B144="",F144=""),"",IF(OR(C144="NOT FOUND",G144="NOT FOUND"),"✖ ID inexistente",IF(B144=F144,"✖ Autorreferência",IF(E144="","✖ Sem relação","✔ OK"))))</f>
        <v/>
      </c>
      <c r="J144" s="93" t="n"/>
    </row>
    <row r="145" ht="15" customHeight="1" s="50">
      <c r="A145" s="93" t="n"/>
      <c r="B145" s="93" t="n"/>
      <c r="C145" s="95">
        <f>IF(B145="","",IFERROR(INDEX('Constants &amp; Enums'!$B$5:$B$200,MATCH(B145,'Constants &amp; Enums'!$A$5:$A$200,0)),IFERROR(INDEX('Metrics &amp; Formulas'!$B$5:$B$200,MATCH(B145,'Metrics &amp; Formulas'!$A$5:$A$200,0)),IFERROR(INDEX('Projections &amp; Dashboards'!$B$5:$B$200,MATCH(B145,'Projections &amp; Dashboards'!$A$5:$A$200,0)),IFERROR(INDEX(Funções!$O$5:$O$300,MATCH(B145,Funções!$A$5:$A$300,0)),IFERROR(INDEX(Telas!$C$5:$C$400,MATCH(B145,Telas!$A$5:$A$400,0)),IFERROR(INDEX(Roadmap!$D$6:$D$200,MATCH(B145,Roadmap!$A$6:$A$200,0)),IFERROR(INDEX(Modules!$C$5:$C$100,MATCH(B145,Modules!$A$5:$A$100,0)),"NOT FOUND"))))))))</f>
        <v/>
      </c>
      <c r="D145" s="95">
        <f>IF(B145="","",IF(C145="NOT FOUND","—",IFERROR(INDEX(Listas!$J$5:$J$13,MATCH(LEFT(B145,FIND("-",B145)-1),Listas!$I$5:$I$13,0)),"Module / area")))</f>
        <v/>
      </c>
      <c r="E145" s="93" t="n"/>
      <c r="F145" s="93" t="n"/>
      <c r="G145" s="95">
        <f>IF(F145="","",IFERROR(INDEX('Constants &amp; Enums'!$B$5:$B$200,MATCH(F145,'Constants &amp; Enums'!$A$5:$A$200,0)),IFERROR(INDEX('Metrics &amp; Formulas'!$B$5:$B$200,MATCH(F145,'Metrics &amp; Formulas'!$A$5:$A$200,0)),IFERROR(INDEX('Projections &amp; Dashboards'!$B$5:$B$200,MATCH(F145,'Projections &amp; Dashboards'!$A$5:$A$200,0)),IFERROR(INDEX(Funções!$O$5:$O$300,MATCH(F145,Funções!$A$5:$A$300,0)),IFERROR(INDEX(Telas!$C$5:$C$400,MATCH(F145,Telas!$A$5:$A$400,0)),IFERROR(INDEX(Roadmap!$D$6:$D$200,MATCH(F145,Roadmap!$A$6:$A$200,0)),IFERROR(INDEX(Modules!$C$5:$C$100,MATCH(F145,Modules!$A$5:$A$100,0)),"NOT FOUND"))))))))</f>
        <v/>
      </c>
      <c r="H145" s="95">
        <f>IF(F145="","",IF(G145="NOT FOUND","—",IFERROR(INDEX(Listas!$J$5:$J$13,MATCH(LEFT(F145,FIND("-",F145)-1),Listas!$I$5:$I$13,0)),"Module / area")))</f>
        <v/>
      </c>
      <c r="I145" s="95">
        <f>IF(AND(B145="",F145=""),"",IF(OR(C145="NOT FOUND",G145="NOT FOUND"),"✖ ID inexistente",IF(B145=F145,"✖ Autorreferência",IF(E145="","✖ Sem relação","✔ OK"))))</f>
        <v/>
      </c>
      <c r="J145" s="93" t="n"/>
    </row>
    <row r="146" ht="15" customHeight="1" s="50">
      <c r="A146" s="93" t="n"/>
      <c r="B146" s="93" t="n"/>
      <c r="C146" s="95">
        <f>IF(B146="","",IFERROR(INDEX('Constants &amp; Enums'!$B$5:$B$200,MATCH(B146,'Constants &amp; Enums'!$A$5:$A$200,0)),IFERROR(INDEX('Metrics &amp; Formulas'!$B$5:$B$200,MATCH(B146,'Metrics &amp; Formulas'!$A$5:$A$200,0)),IFERROR(INDEX('Projections &amp; Dashboards'!$B$5:$B$200,MATCH(B146,'Projections &amp; Dashboards'!$A$5:$A$200,0)),IFERROR(INDEX(Funções!$O$5:$O$300,MATCH(B146,Funções!$A$5:$A$300,0)),IFERROR(INDEX(Telas!$C$5:$C$400,MATCH(B146,Telas!$A$5:$A$400,0)),IFERROR(INDEX(Roadmap!$D$6:$D$200,MATCH(B146,Roadmap!$A$6:$A$200,0)),IFERROR(INDEX(Modules!$C$5:$C$100,MATCH(B146,Modules!$A$5:$A$100,0)),"NOT FOUND"))))))))</f>
        <v/>
      </c>
      <c r="D146" s="95">
        <f>IF(B146="","",IF(C146="NOT FOUND","—",IFERROR(INDEX(Listas!$J$5:$J$13,MATCH(LEFT(B146,FIND("-",B146)-1),Listas!$I$5:$I$13,0)),"Module / area")))</f>
        <v/>
      </c>
      <c r="E146" s="93" t="n"/>
      <c r="F146" s="93" t="n"/>
      <c r="G146" s="95">
        <f>IF(F146="","",IFERROR(INDEX('Constants &amp; Enums'!$B$5:$B$200,MATCH(F146,'Constants &amp; Enums'!$A$5:$A$200,0)),IFERROR(INDEX('Metrics &amp; Formulas'!$B$5:$B$200,MATCH(F146,'Metrics &amp; Formulas'!$A$5:$A$200,0)),IFERROR(INDEX('Projections &amp; Dashboards'!$B$5:$B$200,MATCH(F146,'Projections &amp; Dashboards'!$A$5:$A$200,0)),IFERROR(INDEX(Funções!$O$5:$O$300,MATCH(F146,Funções!$A$5:$A$300,0)),IFERROR(INDEX(Telas!$C$5:$C$400,MATCH(F146,Telas!$A$5:$A$400,0)),IFERROR(INDEX(Roadmap!$D$6:$D$200,MATCH(F146,Roadmap!$A$6:$A$200,0)),IFERROR(INDEX(Modules!$C$5:$C$100,MATCH(F146,Modules!$A$5:$A$100,0)),"NOT FOUND"))))))))</f>
        <v/>
      </c>
      <c r="H146" s="95">
        <f>IF(F146="","",IF(G146="NOT FOUND","—",IFERROR(INDEX(Listas!$J$5:$J$13,MATCH(LEFT(F146,FIND("-",F146)-1),Listas!$I$5:$I$13,0)),"Module / area")))</f>
        <v/>
      </c>
      <c r="I146" s="95">
        <f>IF(AND(B146="",F146=""),"",IF(OR(C146="NOT FOUND",G146="NOT FOUND"),"✖ ID inexistente",IF(B146=F146,"✖ Autorreferência",IF(E146="","✖ Sem relação","✔ OK"))))</f>
        <v/>
      </c>
      <c r="J146" s="93" t="n"/>
    </row>
    <row r="147" ht="15" customHeight="1" s="50">
      <c r="A147" s="93" t="n"/>
      <c r="B147" s="93" t="n"/>
      <c r="C147" s="95">
        <f>IF(B147="","",IFERROR(INDEX('Constants &amp; Enums'!$B$5:$B$200,MATCH(B147,'Constants &amp; Enums'!$A$5:$A$200,0)),IFERROR(INDEX('Metrics &amp; Formulas'!$B$5:$B$200,MATCH(B147,'Metrics &amp; Formulas'!$A$5:$A$200,0)),IFERROR(INDEX('Projections &amp; Dashboards'!$B$5:$B$200,MATCH(B147,'Projections &amp; Dashboards'!$A$5:$A$200,0)),IFERROR(INDEX(Funções!$O$5:$O$300,MATCH(B147,Funções!$A$5:$A$300,0)),IFERROR(INDEX(Telas!$C$5:$C$400,MATCH(B147,Telas!$A$5:$A$400,0)),IFERROR(INDEX(Roadmap!$D$6:$D$200,MATCH(B147,Roadmap!$A$6:$A$200,0)),IFERROR(INDEX(Modules!$C$5:$C$100,MATCH(B147,Modules!$A$5:$A$100,0)),"NOT FOUND"))))))))</f>
        <v/>
      </c>
      <c r="D147" s="95">
        <f>IF(B147="","",IF(C147="NOT FOUND","—",IFERROR(INDEX(Listas!$J$5:$J$13,MATCH(LEFT(B147,FIND("-",B147)-1),Listas!$I$5:$I$13,0)),"Module / area")))</f>
        <v/>
      </c>
      <c r="E147" s="93" t="n"/>
      <c r="F147" s="93" t="n"/>
      <c r="G147" s="95">
        <f>IF(F147="","",IFERROR(INDEX('Constants &amp; Enums'!$B$5:$B$200,MATCH(F147,'Constants &amp; Enums'!$A$5:$A$200,0)),IFERROR(INDEX('Metrics &amp; Formulas'!$B$5:$B$200,MATCH(F147,'Metrics &amp; Formulas'!$A$5:$A$200,0)),IFERROR(INDEX('Projections &amp; Dashboards'!$B$5:$B$200,MATCH(F147,'Projections &amp; Dashboards'!$A$5:$A$200,0)),IFERROR(INDEX(Funções!$O$5:$O$300,MATCH(F147,Funções!$A$5:$A$300,0)),IFERROR(INDEX(Telas!$C$5:$C$400,MATCH(F147,Telas!$A$5:$A$400,0)),IFERROR(INDEX(Roadmap!$D$6:$D$200,MATCH(F147,Roadmap!$A$6:$A$200,0)),IFERROR(INDEX(Modules!$C$5:$C$100,MATCH(F147,Modules!$A$5:$A$100,0)),"NOT FOUND"))))))))</f>
        <v/>
      </c>
      <c r="H147" s="95">
        <f>IF(F147="","",IF(G147="NOT FOUND","—",IFERROR(INDEX(Listas!$J$5:$J$13,MATCH(LEFT(F147,FIND("-",F147)-1),Listas!$I$5:$I$13,0)),"Module / area")))</f>
        <v/>
      </c>
      <c r="I147" s="95">
        <f>IF(AND(B147="",F147=""),"",IF(OR(C147="NOT FOUND",G147="NOT FOUND"),"✖ ID inexistente",IF(B147=F147,"✖ Autorreferência",IF(E147="","✖ Sem relação","✔ OK"))))</f>
        <v/>
      </c>
      <c r="J147" s="93" t="n"/>
    </row>
    <row r="148" ht="15" customHeight="1" s="50">
      <c r="A148" s="93" t="n"/>
      <c r="B148" s="93" t="n"/>
      <c r="C148" s="95">
        <f>IF(B148="","",IFERROR(INDEX('Constants &amp; Enums'!$B$5:$B$200,MATCH(B148,'Constants &amp; Enums'!$A$5:$A$200,0)),IFERROR(INDEX('Metrics &amp; Formulas'!$B$5:$B$200,MATCH(B148,'Metrics &amp; Formulas'!$A$5:$A$200,0)),IFERROR(INDEX('Projections &amp; Dashboards'!$B$5:$B$200,MATCH(B148,'Projections &amp; Dashboards'!$A$5:$A$200,0)),IFERROR(INDEX(Funções!$O$5:$O$300,MATCH(B148,Funções!$A$5:$A$300,0)),IFERROR(INDEX(Telas!$C$5:$C$400,MATCH(B148,Telas!$A$5:$A$400,0)),IFERROR(INDEX(Roadmap!$D$6:$D$200,MATCH(B148,Roadmap!$A$6:$A$200,0)),IFERROR(INDEX(Modules!$C$5:$C$100,MATCH(B148,Modules!$A$5:$A$100,0)),"NOT FOUND"))))))))</f>
        <v/>
      </c>
      <c r="D148" s="95">
        <f>IF(B148="","",IF(C148="NOT FOUND","—",IFERROR(INDEX(Listas!$J$5:$J$13,MATCH(LEFT(B148,FIND("-",B148)-1),Listas!$I$5:$I$13,0)),"Module / area")))</f>
        <v/>
      </c>
      <c r="E148" s="93" t="n"/>
      <c r="F148" s="93" t="n"/>
      <c r="G148" s="95">
        <f>IF(F148="","",IFERROR(INDEX('Constants &amp; Enums'!$B$5:$B$200,MATCH(F148,'Constants &amp; Enums'!$A$5:$A$200,0)),IFERROR(INDEX('Metrics &amp; Formulas'!$B$5:$B$200,MATCH(F148,'Metrics &amp; Formulas'!$A$5:$A$200,0)),IFERROR(INDEX('Projections &amp; Dashboards'!$B$5:$B$200,MATCH(F148,'Projections &amp; Dashboards'!$A$5:$A$200,0)),IFERROR(INDEX(Funções!$O$5:$O$300,MATCH(F148,Funções!$A$5:$A$300,0)),IFERROR(INDEX(Telas!$C$5:$C$400,MATCH(F148,Telas!$A$5:$A$400,0)),IFERROR(INDEX(Roadmap!$D$6:$D$200,MATCH(F148,Roadmap!$A$6:$A$200,0)),IFERROR(INDEX(Modules!$C$5:$C$100,MATCH(F148,Modules!$A$5:$A$100,0)),"NOT FOUND"))))))))</f>
        <v/>
      </c>
      <c r="H148" s="95">
        <f>IF(F148="","",IF(G148="NOT FOUND","—",IFERROR(INDEX(Listas!$J$5:$J$13,MATCH(LEFT(F148,FIND("-",F148)-1),Listas!$I$5:$I$13,0)),"Module / area")))</f>
        <v/>
      </c>
      <c r="I148" s="95">
        <f>IF(AND(B148="",F148=""),"",IF(OR(C148="NOT FOUND",G148="NOT FOUND"),"✖ ID inexistente",IF(B148=F148,"✖ Autorreferência",IF(E148="","✖ Sem relação","✔ OK"))))</f>
        <v/>
      </c>
      <c r="J148" s="93" t="n"/>
    </row>
    <row r="149" ht="15" customHeight="1" s="50">
      <c r="A149" s="93" t="n"/>
      <c r="B149" s="93" t="n"/>
      <c r="C149" s="95">
        <f>IF(B149="","",IFERROR(INDEX('Constants &amp; Enums'!$B$5:$B$200,MATCH(B149,'Constants &amp; Enums'!$A$5:$A$200,0)),IFERROR(INDEX('Metrics &amp; Formulas'!$B$5:$B$200,MATCH(B149,'Metrics &amp; Formulas'!$A$5:$A$200,0)),IFERROR(INDEX('Projections &amp; Dashboards'!$B$5:$B$200,MATCH(B149,'Projections &amp; Dashboards'!$A$5:$A$200,0)),IFERROR(INDEX(Funções!$O$5:$O$300,MATCH(B149,Funções!$A$5:$A$300,0)),IFERROR(INDEX(Telas!$C$5:$C$400,MATCH(B149,Telas!$A$5:$A$400,0)),IFERROR(INDEX(Roadmap!$D$6:$D$200,MATCH(B149,Roadmap!$A$6:$A$200,0)),IFERROR(INDEX(Modules!$C$5:$C$100,MATCH(B149,Modules!$A$5:$A$100,0)),"NOT FOUND"))))))))</f>
        <v/>
      </c>
      <c r="D149" s="95">
        <f>IF(B149="","",IF(C149="NOT FOUND","—",IFERROR(INDEX(Listas!$J$5:$J$13,MATCH(LEFT(B149,FIND("-",B149)-1),Listas!$I$5:$I$13,0)),"Module / area")))</f>
        <v/>
      </c>
      <c r="E149" s="93" t="n"/>
      <c r="F149" s="93" t="n"/>
      <c r="G149" s="95">
        <f>IF(F149="","",IFERROR(INDEX('Constants &amp; Enums'!$B$5:$B$200,MATCH(F149,'Constants &amp; Enums'!$A$5:$A$200,0)),IFERROR(INDEX('Metrics &amp; Formulas'!$B$5:$B$200,MATCH(F149,'Metrics &amp; Formulas'!$A$5:$A$200,0)),IFERROR(INDEX('Projections &amp; Dashboards'!$B$5:$B$200,MATCH(F149,'Projections &amp; Dashboards'!$A$5:$A$200,0)),IFERROR(INDEX(Funções!$O$5:$O$300,MATCH(F149,Funções!$A$5:$A$300,0)),IFERROR(INDEX(Telas!$C$5:$C$400,MATCH(F149,Telas!$A$5:$A$400,0)),IFERROR(INDEX(Roadmap!$D$6:$D$200,MATCH(F149,Roadmap!$A$6:$A$200,0)),IFERROR(INDEX(Modules!$C$5:$C$100,MATCH(F149,Modules!$A$5:$A$100,0)),"NOT FOUND"))))))))</f>
        <v/>
      </c>
      <c r="H149" s="95">
        <f>IF(F149="","",IF(G149="NOT FOUND","—",IFERROR(INDEX(Listas!$J$5:$J$13,MATCH(LEFT(F149,FIND("-",F149)-1),Listas!$I$5:$I$13,0)),"Module / area")))</f>
        <v/>
      </c>
      <c r="I149" s="95">
        <f>IF(AND(B149="",F149=""),"",IF(OR(C149="NOT FOUND",G149="NOT FOUND"),"✖ ID inexistente",IF(B149=F149,"✖ Autorreferência",IF(E149="","✖ Sem relação","✔ OK"))))</f>
        <v/>
      </c>
      <c r="J149" s="93" t="n"/>
    </row>
    <row r="150" ht="15" customHeight="1" s="50">
      <c r="A150" s="93" t="n"/>
      <c r="B150" s="93" t="n"/>
      <c r="C150" s="95">
        <f>IF(B150="","",IFERROR(INDEX('Constants &amp; Enums'!$B$5:$B$200,MATCH(B150,'Constants &amp; Enums'!$A$5:$A$200,0)),IFERROR(INDEX('Metrics &amp; Formulas'!$B$5:$B$200,MATCH(B150,'Metrics &amp; Formulas'!$A$5:$A$200,0)),IFERROR(INDEX('Projections &amp; Dashboards'!$B$5:$B$200,MATCH(B150,'Projections &amp; Dashboards'!$A$5:$A$200,0)),IFERROR(INDEX(Funções!$O$5:$O$300,MATCH(B150,Funções!$A$5:$A$300,0)),IFERROR(INDEX(Telas!$C$5:$C$400,MATCH(B150,Telas!$A$5:$A$400,0)),IFERROR(INDEX(Roadmap!$D$6:$D$200,MATCH(B150,Roadmap!$A$6:$A$200,0)),IFERROR(INDEX(Modules!$C$5:$C$100,MATCH(B150,Modules!$A$5:$A$100,0)),"NOT FOUND"))))))))</f>
        <v/>
      </c>
      <c r="D150" s="95">
        <f>IF(B150="","",IF(C150="NOT FOUND","—",IFERROR(INDEX(Listas!$J$5:$J$13,MATCH(LEFT(B150,FIND("-",B150)-1),Listas!$I$5:$I$13,0)),"Module / area")))</f>
        <v/>
      </c>
      <c r="E150" s="93" t="n"/>
      <c r="F150" s="93" t="n"/>
      <c r="G150" s="95">
        <f>IF(F150="","",IFERROR(INDEX('Constants &amp; Enums'!$B$5:$B$200,MATCH(F150,'Constants &amp; Enums'!$A$5:$A$200,0)),IFERROR(INDEX('Metrics &amp; Formulas'!$B$5:$B$200,MATCH(F150,'Metrics &amp; Formulas'!$A$5:$A$200,0)),IFERROR(INDEX('Projections &amp; Dashboards'!$B$5:$B$200,MATCH(F150,'Projections &amp; Dashboards'!$A$5:$A$200,0)),IFERROR(INDEX(Funções!$O$5:$O$300,MATCH(F150,Funções!$A$5:$A$300,0)),IFERROR(INDEX(Telas!$C$5:$C$400,MATCH(F150,Telas!$A$5:$A$400,0)),IFERROR(INDEX(Roadmap!$D$6:$D$200,MATCH(F150,Roadmap!$A$6:$A$200,0)),IFERROR(INDEX(Modules!$C$5:$C$100,MATCH(F150,Modules!$A$5:$A$100,0)),"NOT FOUND"))))))))</f>
        <v/>
      </c>
      <c r="H150" s="95">
        <f>IF(F150="","",IF(G150="NOT FOUND","—",IFERROR(INDEX(Listas!$J$5:$J$13,MATCH(LEFT(F150,FIND("-",F150)-1),Listas!$I$5:$I$13,0)),"Module / area")))</f>
        <v/>
      </c>
      <c r="I150" s="95">
        <f>IF(AND(B150="",F150=""),"",IF(OR(C150="NOT FOUND",G150="NOT FOUND"),"✖ ID inexistente",IF(B150=F150,"✖ Autorreferência",IF(E150="","✖ Sem relação","✔ OK"))))</f>
        <v/>
      </c>
      <c r="J150" s="93" t="n"/>
    </row>
    <row r="151" ht="15" customHeight="1" s="50">
      <c r="A151" s="93" t="n"/>
      <c r="B151" s="93" t="n"/>
      <c r="C151" s="95">
        <f>IF(B151="","",IFERROR(INDEX('Constants &amp; Enums'!$B$5:$B$200,MATCH(B151,'Constants &amp; Enums'!$A$5:$A$200,0)),IFERROR(INDEX('Metrics &amp; Formulas'!$B$5:$B$200,MATCH(B151,'Metrics &amp; Formulas'!$A$5:$A$200,0)),IFERROR(INDEX('Projections &amp; Dashboards'!$B$5:$B$200,MATCH(B151,'Projections &amp; Dashboards'!$A$5:$A$200,0)),IFERROR(INDEX(Funções!$O$5:$O$300,MATCH(B151,Funções!$A$5:$A$300,0)),IFERROR(INDEX(Telas!$C$5:$C$400,MATCH(B151,Telas!$A$5:$A$400,0)),IFERROR(INDEX(Roadmap!$D$6:$D$200,MATCH(B151,Roadmap!$A$6:$A$200,0)),IFERROR(INDEX(Modules!$C$5:$C$100,MATCH(B151,Modules!$A$5:$A$100,0)),"NOT FOUND"))))))))</f>
        <v/>
      </c>
      <c r="D151" s="95">
        <f>IF(B151="","",IF(C151="NOT FOUND","—",IFERROR(INDEX(Listas!$J$5:$J$13,MATCH(LEFT(B151,FIND("-",B151)-1),Listas!$I$5:$I$13,0)),"Module / area")))</f>
        <v/>
      </c>
      <c r="E151" s="93" t="n"/>
      <c r="F151" s="93" t="n"/>
      <c r="G151" s="95">
        <f>IF(F151="","",IFERROR(INDEX('Constants &amp; Enums'!$B$5:$B$200,MATCH(F151,'Constants &amp; Enums'!$A$5:$A$200,0)),IFERROR(INDEX('Metrics &amp; Formulas'!$B$5:$B$200,MATCH(F151,'Metrics &amp; Formulas'!$A$5:$A$200,0)),IFERROR(INDEX('Projections &amp; Dashboards'!$B$5:$B$200,MATCH(F151,'Projections &amp; Dashboards'!$A$5:$A$200,0)),IFERROR(INDEX(Funções!$O$5:$O$300,MATCH(F151,Funções!$A$5:$A$300,0)),IFERROR(INDEX(Telas!$C$5:$C$400,MATCH(F151,Telas!$A$5:$A$400,0)),IFERROR(INDEX(Roadmap!$D$6:$D$200,MATCH(F151,Roadmap!$A$6:$A$200,0)),IFERROR(INDEX(Modules!$C$5:$C$100,MATCH(F151,Modules!$A$5:$A$100,0)),"NOT FOUND"))))))))</f>
        <v/>
      </c>
      <c r="H151" s="95">
        <f>IF(F151="","",IF(G151="NOT FOUND","—",IFERROR(INDEX(Listas!$J$5:$J$13,MATCH(LEFT(F151,FIND("-",F151)-1),Listas!$I$5:$I$13,0)),"Module / area")))</f>
        <v/>
      </c>
      <c r="I151" s="95">
        <f>IF(AND(B151="",F151=""),"",IF(OR(C151="NOT FOUND",G151="NOT FOUND"),"✖ ID inexistente",IF(B151=F151,"✖ Autorreferência",IF(E151="","✖ Sem relação","✔ OK"))))</f>
        <v/>
      </c>
      <c r="J151" s="93" t="n"/>
    </row>
    <row r="152" ht="15" customHeight="1" s="50">
      <c r="A152" s="93" t="n"/>
      <c r="B152" s="93" t="n"/>
      <c r="C152" s="95">
        <f>IF(B152="","",IFERROR(INDEX('Constants &amp; Enums'!$B$5:$B$200,MATCH(B152,'Constants &amp; Enums'!$A$5:$A$200,0)),IFERROR(INDEX('Metrics &amp; Formulas'!$B$5:$B$200,MATCH(B152,'Metrics &amp; Formulas'!$A$5:$A$200,0)),IFERROR(INDEX('Projections &amp; Dashboards'!$B$5:$B$200,MATCH(B152,'Projections &amp; Dashboards'!$A$5:$A$200,0)),IFERROR(INDEX(Funções!$O$5:$O$300,MATCH(B152,Funções!$A$5:$A$300,0)),IFERROR(INDEX(Telas!$C$5:$C$400,MATCH(B152,Telas!$A$5:$A$400,0)),IFERROR(INDEX(Roadmap!$D$6:$D$200,MATCH(B152,Roadmap!$A$6:$A$200,0)),IFERROR(INDEX(Modules!$C$5:$C$100,MATCH(B152,Modules!$A$5:$A$100,0)),"NOT FOUND"))))))))</f>
        <v/>
      </c>
      <c r="D152" s="95">
        <f>IF(B152="","",IF(C152="NOT FOUND","—",IFERROR(INDEX(Listas!$J$5:$J$13,MATCH(LEFT(B152,FIND("-",B152)-1),Listas!$I$5:$I$13,0)),"Module / area")))</f>
        <v/>
      </c>
      <c r="E152" s="93" t="n"/>
      <c r="F152" s="93" t="n"/>
      <c r="G152" s="95">
        <f>IF(F152="","",IFERROR(INDEX('Constants &amp; Enums'!$B$5:$B$200,MATCH(F152,'Constants &amp; Enums'!$A$5:$A$200,0)),IFERROR(INDEX('Metrics &amp; Formulas'!$B$5:$B$200,MATCH(F152,'Metrics &amp; Formulas'!$A$5:$A$200,0)),IFERROR(INDEX('Projections &amp; Dashboards'!$B$5:$B$200,MATCH(F152,'Projections &amp; Dashboards'!$A$5:$A$200,0)),IFERROR(INDEX(Funções!$O$5:$O$300,MATCH(F152,Funções!$A$5:$A$300,0)),IFERROR(INDEX(Telas!$C$5:$C$400,MATCH(F152,Telas!$A$5:$A$400,0)),IFERROR(INDEX(Roadmap!$D$6:$D$200,MATCH(F152,Roadmap!$A$6:$A$200,0)),IFERROR(INDEX(Modules!$C$5:$C$100,MATCH(F152,Modules!$A$5:$A$100,0)),"NOT FOUND"))))))))</f>
        <v/>
      </c>
      <c r="H152" s="95">
        <f>IF(F152="","",IF(G152="NOT FOUND","—",IFERROR(INDEX(Listas!$J$5:$J$13,MATCH(LEFT(F152,FIND("-",F152)-1),Listas!$I$5:$I$13,0)),"Module / area")))</f>
        <v/>
      </c>
      <c r="I152" s="95">
        <f>IF(AND(B152="",F152=""),"",IF(OR(C152="NOT FOUND",G152="NOT FOUND"),"✖ ID inexistente",IF(B152=F152,"✖ Autorreferência",IF(E152="","✖ Sem relação","✔ OK"))))</f>
        <v/>
      </c>
      <c r="J152" s="93" t="n"/>
    </row>
    <row r="153" ht="15" customHeight="1" s="50">
      <c r="A153" s="93" t="n"/>
      <c r="B153" s="93" t="n"/>
      <c r="C153" s="95">
        <f>IF(B153="","",IFERROR(INDEX('Constants &amp; Enums'!$B$5:$B$200,MATCH(B153,'Constants &amp; Enums'!$A$5:$A$200,0)),IFERROR(INDEX('Metrics &amp; Formulas'!$B$5:$B$200,MATCH(B153,'Metrics &amp; Formulas'!$A$5:$A$200,0)),IFERROR(INDEX('Projections &amp; Dashboards'!$B$5:$B$200,MATCH(B153,'Projections &amp; Dashboards'!$A$5:$A$200,0)),IFERROR(INDEX(Funções!$O$5:$O$300,MATCH(B153,Funções!$A$5:$A$300,0)),IFERROR(INDEX(Telas!$C$5:$C$400,MATCH(B153,Telas!$A$5:$A$400,0)),IFERROR(INDEX(Roadmap!$D$6:$D$200,MATCH(B153,Roadmap!$A$6:$A$200,0)),IFERROR(INDEX(Modules!$C$5:$C$100,MATCH(B153,Modules!$A$5:$A$100,0)),"NOT FOUND"))))))))</f>
        <v/>
      </c>
      <c r="D153" s="95">
        <f>IF(B153="","",IF(C153="NOT FOUND","—",IFERROR(INDEX(Listas!$J$5:$J$13,MATCH(LEFT(B153,FIND("-",B153)-1),Listas!$I$5:$I$13,0)),"Module / area")))</f>
        <v/>
      </c>
      <c r="E153" s="93" t="n"/>
      <c r="F153" s="93" t="n"/>
      <c r="G153" s="95">
        <f>IF(F153="","",IFERROR(INDEX('Constants &amp; Enums'!$B$5:$B$200,MATCH(F153,'Constants &amp; Enums'!$A$5:$A$200,0)),IFERROR(INDEX('Metrics &amp; Formulas'!$B$5:$B$200,MATCH(F153,'Metrics &amp; Formulas'!$A$5:$A$200,0)),IFERROR(INDEX('Projections &amp; Dashboards'!$B$5:$B$200,MATCH(F153,'Projections &amp; Dashboards'!$A$5:$A$200,0)),IFERROR(INDEX(Funções!$O$5:$O$300,MATCH(F153,Funções!$A$5:$A$300,0)),IFERROR(INDEX(Telas!$C$5:$C$400,MATCH(F153,Telas!$A$5:$A$400,0)),IFERROR(INDEX(Roadmap!$D$6:$D$200,MATCH(F153,Roadmap!$A$6:$A$200,0)),IFERROR(INDEX(Modules!$C$5:$C$100,MATCH(F153,Modules!$A$5:$A$100,0)),"NOT FOUND"))))))))</f>
        <v/>
      </c>
      <c r="H153" s="95">
        <f>IF(F153="","",IF(G153="NOT FOUND","—",IFERROR(INDEX(Listas!$J$5:$J$13,MATCH(LEFT(F153,FIND("-",F153)-1),Listas!$I$5:$I$13,0)),"Module / area")))</f>
        <v/>
      </c>
      <c r="I153" s="95">
        <f>IF(AND(B153="",F153=""),"",IF(OR(C153="NOT FOUND",G153="NOT FOUND"),"✖ ID inexistente",IF(B153=F153,"✖ Autorreferência",IF(E153="","✖ Sem relação","✔ OK"))))</f>
        <v/>
      </c>
      <c r="J153" s="93" t="n"/>
    </row>
    <row r="154" ht="15" customHeight="1" s="50">
      <c r="A154" s="93" t="n"/>
      <c r="B154" s="93" t="n"/>
      <c r="C154" s="95">
        <f>IF(B154="","",IFERROR(INDEX('Constants &amp; Enums'!$B$5:$B$200,MATCH(B154,'Constants &amp; Enums'!$A$5:$A$200,0)),IFERROR(INDEX('Metrics &amp; Formulas'!$B$5:$B$200,MATCH(B154,'Metrics &amp; Formulas'!$A$5:$A$200,0)),IFERROR(INDEX('Projections &amp; Dashboards'!$B$5:$B$200,MATCH(B154,'Projections &amp; Dashboards'!$A$5:$A$200,0)),IFERROR(INDEX(Funções!$O$5:$O$300,MATCH(B154,Funções!$A$5:$A$300,0)),IFERROR(INDEX(Telas!$C$5:$C$400,MATCH(B154,Telas!$A$5:$A$400,0)),IFERROR(INDEX(Roadmap!$D$6:$D$200,MATCH(B154,Roadmap!$A$6:$A$200,0)),IFERROR(INDEX(Modules!$C$5:$C$100,MATCH(B154,Modules!$A$5:$A$100,0)),"NOT FOUND"))))))))</f>
        <v/>
      </c>
      <c r="D154" s="95">
        <f>IF(B154="","",IF(C154="NOT FOUND","—",IFERROR(INDEX(Listas!$J$5:$J$13,MATCH(LEFT(B154,FIND("-",B154)-1),Listas!$I$5:$I$13,0)),"Module / area")))</f>
        <v/>
      </c>
      <c r="E154" s="93" t="n"/>
      <c r="F154" s="93" t="n"/>
      <c r="G154" s="95">
        <f>IF(F154="","",IFERROR(INDEX('Constants &amp; Enums'!$B$5:$B$200,MATCH(F154,'Constants &amp; Enums'!$A$5:$A$200,0)),IFERROR(INDEX('Metrics &amp; Formulas'!$B$5:$B$200,MATCH(F154,'Metrics &amp; Formulas'!$A$5:$A$200,0)),IFERROR(INDEX('Projections &amp; Dashboards'!$B$5:$B$200,MATCH(F154,'Projections &amp; Dashboards'!$A$5:$A$200,0)),IFERROR(INDEX(Funções!$O$5:$O$300,MATCH(F154,Funções!$A$5:$A$300,0)),IFERROR(INDEX(Telas!$C$5:$C$400,MATCH(F154,Telas!$A$5:$A$400,0)),IFERROR(INDEX(Roadmap!$D$6:$D$200,MATCH(F154,Roadmap!$A$6:$A$200,0)),IFERROR(INDEX(Modules!$C$5:$C$100,MATCH(F154,Modules!$A$5:$A$100,0)),"NOT FOUND"))))))))</f>
        <v/>
      </c>
      <c r="H154" s="95">
        <f>IF(F154="","",IF(G154="NOT FOUND","—",IFERROR(INDEX(Listas!$J$5:$J$13,MATCH(LEFT(F154,FIND("-",F154)-1),Listas!$I$5:$I$13,0)),"Module / area")))</f>
        <v/>
      </c>
      <c r="I154" s="95">
        <f>IF(AND(B154="",F154=""),"",IF(OR(C154="NOT FOUND",G154="NOT FOUND"),"✖ ID inexistente",IF(B154=F154,"✖ Autorreferência",IF(E154="","✖ Sem relação","✔ OK"))))</f>
        <v/>
      </c>
      <c r="J154" s="93" t="n"/>
    </row>
    <row r="155" ht="15" customHeight="1" s="50">
      <c r="A155" s="93" t="n"/>
      <c r="B155" s="93" t="n"/>
      <c r="C155" s="95">
        <f>IF(B155="","",IFERROR(INDEX('Constants &amp; Enums'!$B$5:$B$200,MATCH(B155,'Constants &amp; Enums'!$A$5:$A$200,0)),IFERROR(INDEX('Metrics &amp; Formulas'!$B$5:$B$200,MATCH(B155,'Metrics &amp; Formulas'!$A$5:$A$200,0)),IFERROR(INDEX('Projections &amp; Dashboards'!$B$5:$B$200,MATCH(B155,'Projections &amp; Dashboards'!$A$5:$A$200,0)),IFERROR(INDEX(Funções!$O$5:$O$300,MATCH(B155,Funções!$A$5:$A$300,0)),IFERROR(INDEX(Telas!$C$5:$C$400,MATCH(B155,Telas!$A$5:$A$400,0)),IFERROR(INDEX(Roadmap!$D$6:$D$200,MATCH(B155,Roadmap!$A$6:$A$200,0)),IFERROR(INDEX(Modules!$C$5:$C$100,MATCH(B155,Modules!$A$5:$A$100,0)),"NOT FOUND"))))))))</f>
        <v/>
      </c>
      <c r="D155" s="95">
        <f>IF(B155="","",IF(C155="NOT FOUND","—",IFERROR(INDEX(Listas!$J$5:$J$13,MATCH(LEFT(B155,FIND("-",B155)-1),Listas!$I$5:$I$13,0)),"Module / area")))</f>
        <v/>
      </c>
      <c r="E155" s="93" t="n"/>
      <c r="F155" s="93" t="n"/>
      <c r="G155" s="95">
        <f>IF(F155="","",IFERROR(INDEX('Constants &amp; Enums'!$B$5:$B$200,MATCH(F155,'Constants &amp; Enums'!$A$5:$A$200,0)),IFERROR(INDEX('Metrics &amp; Formulas'!$B$5:$B$200,MATCH(F155,'Metrics &amp; Formulas'!$A$5:$A$200,0)),IFERROR(INDEX('Projections &amp; Dashboards'!$B$5:$B$200,MATCH(F155,'Projections &amp; Dashboards'!$A$5:$A$200,0)),IFERROR(INDEX(Funções!$O$5:$O$300,MATCH(F155,Funções!$A$5:$A$300,0)),IFERROR(INDEX(Telas!$C$5:$C$400,MATCH(F155,Telas!$A$5:$A$400,0)),IFERROR(INDEX(Roadmap!$D$6:$D$200,MATCH(F155,Roadmap!$A$6:$A$200,0)),IFERROR(INDEX(Modules!$C$5:$C$100,MATCH(F155,Modules!$A$5:$A$100,0)),"NOT FOUND"))))))))</f>
        <v/>
      </c>
      <c r="H155" s="95">
        <f>IF(F155="","",IF(G155="NOT FOUND","—",IFERROR(INDEX(Listas!$J$5:$J$13,MATCH(LEFT(F155,FIND("-",F155)-1),Listas!$I$5:$I$13,0)),"Module / area")))</f>
        <v/>
      </c>
      <c r="I155" s="95">
        <f>IF(AND(B155="",F155=""),"",IF(OR(C155="NOT FOUND",G155="NOT FOUND"),"✖ ID inexistente",IF(B155=F155,"✖ Autorreferência",IF(E155="","✖ Sem relação","✔ OK"))))</f>
        <v/>
      </c>
      <c r="J155" s="93" t="n"/>
    </row>
    <row r="156" ht="15" customHeight="1" s="50">
      <c r="A156" s="93" t="n"/>
      <c r="B156" s="93" t="n"/>
      <c r="C156" s="95">
        <f>IF(B156="","",IFERROR(INDEX('Constants &amp; Enums'!$B$5:$B$200,MATCH(B156,'Constants &amp; Enums'!$A$5:$A$200,0)),IFERROR(INDEX('Metrics &amp; Formulas'!$B$5:$B$200,MATCH(B156,'Metrics &amp; Formulas'!$A$5:$A$200,0)),IFERROR(INDEX('Projections &amp; Dashboards'!$B$5:$B$200,MATCH(B156,'Projections &amp; Dashboards'!$A$5:$A$200,0)),IFERROR(INDEX(Funções!$O$5:$O$300,MATCH(B156,Funções!$A$5:$A$300,0)),IFERROR(INDEX(Telas!$C$5:$C$400,MATCH(B156,Telas!$A$5:$A$400,0)),IFERROR(INDEX(Roadmap!$D$6:$D$200,MATCH(B156,Roadmap!$A$6:$A$200,0)),IFERROR(INDEX(Modules!$C$5:$C$100,MATCH(B156,Modules!$A$5:$A$100,0)),"NOT FOUND"))))))))</f>
        <v/>
      </c>
      <c r="D156" s="95">
        <f>IF(B156="","",IF(C156="NOT FOUND","—",IFERROR(INDEX(Listas!$J$5:$J$13,MATCH(LEFT(B156,FIND("-",B156)-1),Listas!$I$5:$I$13,0)),"Module / area")))</f>
        <v/>
      </c>
      <c r="E156" s="93" t="n"/>
      <c r="F156" s="93" t="n"/>
      <c r="G156" s="95">
        <f>IF(F156="","",IFERROR(INDEX('Constants &amp; Enums'!$B$5:$B$200,MATCH(F156,'Constants &amp; Enums'!$A$5:$A$200,0)),IFERROR(INDEX('Metrics &amp; Formulas'!$B$5:$B$200,MATCH(F156,'Metrics &amp; Formulas'!$A$5:$A$200,0)),IFERROR(INDEX('Projections &amp; Dashboards'!$B$5:$B$200,MATCH(F156,'Projections &amp; Dashboards'!$A$5:$A$200,0)),IFERROR(INDEX(Funções!$O$5:$O$300,MATCH(F156,Funções!$A$5:$A$300,0)),IFERROR(INDEX(Telas!$C$5:$C$400,MATCH(F156,Telas!$A$5:$A$400,0)),IFERROR(INDEX(Roadmap!$D$6:$D$200,MATCH(F156,Roadmap!$A$6:$A$200,0)),IFERROR(INDEX(Modules!$C$5:$C$100,MATCH(F156,Modules!$A$5:$A$100,0)),"NOT FOUND"))))))))</f>
        <v/>
      </c>
      <c r="H156" s="95">
        <f>IF(F156="","",IF(G156="NOT FOUND","—",IFERROR(INDEX(Listas!$J$5:$J$13,MATCH(LEFT(F156,FIND("-",F156)-1),Listas!$I$5:$I$13,0)),"Module / area")))</f>
        <v/>
      </c>
      <c r="I156" s="95">
        <f>IF(AND(B156="",F156=""),"",IF(OR(C156="NOT FOUND",G156="NOT FOUND"),"✖ ID inexistente",IF(B156=F156,"✖ Autorreferência",IF(E156="","✖ Sem relação","✔ OK"))))</f>
        <v/>
      </c>
      <c r="J156" s="93" t="n"/>
    </row>
    <row r="157" ht="15" customHeight="1" s="50">
      <c r="A157" s="93" t="n"/>
      <c r="B157" s="93" t="n"/>
      <c r="C157" s="95">
        <f>IF(B157="","",IFERROR(INDEX('Constants &amp; Enums'!$B$5:$B$200,MATCH(B157,'Constants &amp; Enums'!$A$5:$A$200,0)),IFERROR(INDEX('Metrics &amp; Formulas'!$B$5:$B$200,MATCH(B157,'Metrics &amp; Formulas'!$A$5:$A$200,0)),IFERROR(INDEX('Projections &amp; Dashboards'!$B$5:$B$200,MATCH(B157,'Projections &amp; Dashboards'!$A$5:$A$200,0)),IFERROR(INDEX(Funções!$O$5:$O$300,MATCH(B157,Funções!$A$5:$A$300,0)),IFERROR(INDEX(Telas!$C$5:$C$400,MATCH(B157,Telas!$A$5:$A$400,0)),IFERROR(INDEX(Roadmap!$D$6:$D$200,MATCH(B157,Roadmap!$A$6:$A$200,0)),IFERROR(INDEX(Modules!$C$5:$C$100,MATCH(B157,Modules!$A$5:$A$100,0)),"NOT FOUND"))))))))</f>
        <v/>
      </c>
      <c r="D157" s="95">
        <f>IF(B157="","",IF(C157="NOT FOUND","—",IFERROR(INDEX(Listas!$J$5:$J$13,MATCH(LEFT(B157,FIND("-",B157)-1),Listas!$I$5:$I$13,0)),"Module / area")))</f>
        <v/>
      </c>
      <c r="E157" s="93" t="n"/>
      <c r="F157" s="93" t="n"/>
      <c r="G157" s="95">
        <f>IF(F157="","",IFERROR(INDEX('Constants &amp; Enums'!$B$5:$B$200,MATCH(F157,'Constants &amp; Enums'!$A$5:$A$200,0)),IFERROR(INDEX('Metrics &amp; Formulas'!$B$5:$B$200,MATCH(F157,'Metrics &amp; Formulas'!$A$5:$A$200,0)),IFERROR(INDEX('Projections &amp; Dashboards'!$B$5:$B$200,MATCH(F157,'Projections &amp; Dashboards'!$A$5:$A$200,0)),IFERROR(INDEX(Funções!$O$5:$O$300,MATCH(F157,Funções!$A$5:$A$300,0)),IFERROR(INDEX(Telas!$C$5:$C$400,MATCH(F157,Telas!$A$5:$A$400,0)),IFERROR(INDEX(Roadmap!$D$6:$D$200,MATCH(F157,Roadmap!$A$6:$A$200,0)),IFERROR(INDEX(Modules!$C$5:$C$100,MATCH(F157,Modules!$A$5:$A$100,0)),"NOT FOUND"))))))))</f>
        <v/>
      </c>
      <c r="H157" s="95">
        <f>IF(F157="","",IF(G157="NOT FOUND","—",IFERROR(INDEX(Listas!$J$5:$J$13,MATCH(LEFT(F157,FIND("-",F157)-1),Listas!$I$5:$I$13,0)),"Module / area")))</f>
        <v/>
      </c>
      <c r="I157" s="95">
        <f>IF(AND(B157="",F157=""),"",IF(OR(C157="NOT FOUND",G157="NOT FOUND"),"✖ ID inexistente",IF(B157=F157,"✖ Autorreferência",IF(E157="","✖ Sem relação","✔ OK"))))</f>
        <v/>
      </c>
      <c r="J157" s="93" t="n"/>
    </row>
    <row r="158" ht="15" customHeight="1" s="50">
      <c r="A158" s="93" t="n"/>
      <c r="B158" s="93" t="n"/>
      <c r="C158" s="95">
        <f>IF(B158="","",IFERROR(INDEX('Constants &amp; Enums'!$B$5:$B$200,MATCH(B158,'Constants &amp; Enums'!$A$5:$A$200,0)),IFERROR(INDEX('Metrics &amp; Formulas'!$B$5:$B$200,MATCH(B158,'Metrics &amp; Formulas'!$A$5:$A$200,0)),IFERROR(INDEX('Projections &amp; Dashboards'!$B$5:$B$200,MATCH(B158,'Projections &amp; Dashboards'!$A$5:$A$200,0)),IFERROR(INDEX(Funções!$O$5:$O$300,MATCH(B158,Funções!$A$5:$A$300,0)),IFERROR(INDEX(Telas!$C$5:$C$400,MATCH(B158,Telas!$A$5:$A$400,0)),IFERROR(INDEX(Roadmap!$D$6:$D$200,MATCH(B158,Roadmap!$A$6:$A$200,0)),IFERROR(INDEX(Modules!$C$5:$C$100,MATCH(B158,Modules!$A$5:$A$100,0)),"NOT FOUND"))))))))</f>
        <v/>
      </c>
      <c r="D158" s="95">
        <f>IF(B158="","",IF(C158="NOT FOUND","—",IFERROR(INDEX(Listas!$J$5:$J$13,MATCH(LEFT(B158,FIND("-",B158)-1),Listas!$I$5:$I$13,0)),"Module / area")))</f>
        <v/>
      </c>
      <c r="E158" s="93" t="n"/>
      <c r="F158" s="93" t="n"/>
      <c r="G158" s="95">
        <f>IF(F158="","",IFERROR(INDEX('Constants &amp; Enums'!$B$5:$B$200,MATCH(F158,'Constants &amp; Enums'!$A$5:$A$200,0)),IFERROR(INDEX('Metrics &amp; Formulas'!$B$5:$B$200,MATCH(F158,'Metrics &amp; Formulas'!$A$5:$A$200,0)),IFERROR(INDEX('Projections &amp; Dashboards'!$B$5:$B$200,MATCH(F158,'Projections &amp; Dashboards'!$A$5:$A$200,0)),IFERROR(INDEX(Funções!$O$5:$O$300,MATCH(F158,Funções!$A$5:$A$300,0)),IFERROR(INDEX(Telas!$C$5:$C$400,MATCH(F158,Telas!$A$5:$A$400,0)),IFERROR(INDEX(Roadmap!$D$6:$D$200,MATCH(F158,Roadmap!$A$6:$A$200,0)),IFERROR(INDEX(Modules!$C$5:$C$100,MATCH(F158,Modules!$A$5:$A$100,0)),"NOT FOUND"))))))))</f>
        <v/>
      </c>
      <c r="H158" s="95">
        <f>IF(F158="","",IF(G158="NOT FOUND","—",IFERROR(INDEX(Listas!$J$5:$J$13,MATCH(LEFT(F158,FIND("-",F158)-1),Listas!$I$5:$I$13,0)),"Module / area")))</f>
        <v/>
      </c>
      <c r="I158" s="95">
        <f>IF(AND(B158="",F158=""),"",IF(OR(C158="NOT FOUND",G158="NOT FOUND"),"✖ ID inexistente",IF(B158=F158,"✖ Autorreferência",IF(E158="","✖ Sem relação","✔ OK"))))</f>
        <v/>
      </c>
      <c r="J158" s="93" t="n"/>
    </row>
    <row r="159" ht="15" customHeight="1" s="50">
      <c r="A159" s="93" t="n"/>
      <c r="B159" s="93" t="n"/>
      <c r="C159" s="95">
        <f>IF(B159="","",IFERROR(INDEX('Constants &amp; Enums'!$B$5:$B$200,MATCH(B159,'Constants &amp; Enums'!$A$5:$A$200,0)),IFERROR(INDEX('Metrics &amp; Formulas'!$B$5:$B$200,MATCH(B159,'Metrics &amp; Formulas'!$A$5:$A$200,0)),IFERROR(INDEX('Projections &amp; Dashboards'!$B$5:$B$200,MATCH(B159,'Projections &amp; Dashboards'!$A$5:$A$200,0)),IFERROR(INDEX(Funções!$O$5:$O$300,MATCH(B159,Funções!$A$5:$A$300,0)),IFERROR(INDEX(Telas!$C$5:$C$400,MATCH(B159,Telas!$A$5:$A$400,0)),IFERROR(INDEX(Roadmap!$D$6:$D$200,MATCH(B159,Roadmap!$A$6:$A$200,0)),IFERROR(INDEX(Modules!$C$5:$C$100,MATCH(B159,Modules!$A$5:$A$100,0)),"NOT FOUND"))))))))</f>
        <v/>
      </c>
      <c r="D159" s="95">
        <f>IF(B159="","",IF(C159="NOT FOUND","—",IFERROR(INDEX(Listas!$J$5:$J$13,MATCH(LEFT(B159,FIND("-",B159)-1),Listas!$I$5:$I$13,0)),"Module / area")))</f>
        <v/>
      </c>
      <c r="E159" s="93" t="n"/>
      <c r="F159" s="93" t="n"/>
      <c r="G159" s="95">
        <f>IF(F159="","",IFERROR(INDEX('Constants &amp; Enums'!$B$5:$B$200,MATCH(F159,'Constants &amp; Enums'!$A$5:$A$200,0)),IFERROR(INDEX('Metrics &amp; Formulas'!$B$5:$B$200,MATCH(F159,'Metrics &amp; Formulas'!$A$5:$A$200,0)),IFERROR(INDEX('Projections &amp; Dashboards'!$B$5:$B$200,MATCH(F159,'Projections &amp; Dashboards'!$A$5:$A$200,0)),IFERROR(INDEX(Funções!$O$5:$O$300,MATCH(F159,Funções!$A$5:$A$300,0)),IFERROR(INDEX(Telas!$C$5:$C$400,MATCH(F159,Telas!$A$5:$A$400,0)),IFERROR(INDEX(Roadmap!$D$6:$D$200,MATCH(F159,Roadmap!$A$6:$A$200,0)),IFERROR(INDEX(Modules!$C$5:$C$100,MATCH(F159,Modules!$A$5:$A$100,0)),"NOT FOUND"))))))))</f>
        <v/>
      </c>
      <c r="H159" s="95">
        <f>IF(F159="","",IF(G159="NOT FOUND","—",IFERROR(INDEX(Listas!$J$5:$J$13,MATCH(LEFT(F159,FIND("-",F159)-1),Listas!$I$5:$I$13,0)),"Module / area")))</f>
        <v/>
      </c>
      <c r="I159" s="95">
        <f>IF(AND(B159="",F159=""),"",IF(OR(C159="NOT FOUND",G159="NOT FOUND"),"✖ ID inexistente",IF(B159=F159,"✖ Autorreferência",IF(E159="","✖ Sem relação","✔ OK"))))</f>
        <v/>
      </c>
      <c r="J159" s="93" t="n"/>
    </row>
    <row r="160" ht="15" customHeight="1" s="50">
      <c r="A160" s="93" t="n"/>
      <c r="B160" s="93" t="n"/>
      <c r="C160" s="95">
        <f>IF(B160="","",IFERROR(INDEX('Constants &amp; Enums'!$B$5:$B$200,MATCH(B160,'Constants &amp; Enums'!$A$5:$A$200,0)),IFERROR(INDEX('Metrics &amp; Formulas'!$B$5:$B$200,MATCH(B160,'Metrics &amp; Formulas'!$A$5:$A$200,0)),IFERROR(INDEX('Projections &amp; Dashboards'!$B$5:$B$200,MATCH(B160,'Projections &amp; Dashboards'!$A$5:$A$200,0)),IFERROR(INDEX(Funções!$O$5:$O$300,MATCH(B160,Funções!$A$5:$A$300,0)),IFERROR(INDEX(Telas!$C$5:$C$400,MATCH(B160,Telas!$A$5:$A$400,0)),IFERROR(INDEX(Roadmap!$D$6:$D$200,MATCH(B160,Roadmap!$A$6:$A$200,0)),IFERROR(INDEX(Modules!$C$5:$C$100,MATCH(B160,Modules!$A$5:$A$100,0)),"NOT FOUND"))))))))</f>
        <v/>
      </c>
      <c r="D160" s="95">
        <f>IF(B160="","",IF(C160="NOT FOUND","—",IFERROR(INDEX(Listas!$J$5:$J$13,MATCH(LEFT(B160,FIND("-",B160)-1),Listas!$I$5:$I$13,0)),"Module / area")))</f>
        <v/>
      </c>
      <c r="E160" s="93" t="n"/>
      <c r="F160" s="93" t="n"/>
      <c r="G160" s="95">
        <f>IF(F160="","",IFERROR(INDEX('Constants &amp; Enums'!$B$5:$B$200,MATCH(F160,'Constants &amp; Enums'!$A$5:$A$200,0)),IFERROR(INDEX('Metrics &amp; Formulas'!$B$5:$B$200,MATCH(F160,'Metrics &amp; Formulas'!$A$5:$A$200,0)),IFERROR(INDEX('Projections &amp; Dashboards'!$B$5:$B$200,MATCH(F160,'Projections &amp; Dashboards'!$A$5:$A$200,0)),IFERROR(INDEX(Funções!$O$5:$O$300,MATCH(F160,Funções!$A$5:$A$300,0)),IFERROR(INDEX(Telas!$C$5:$C$400,MATCH(F160,Telas!$A$5:$A$400,0)),IFERROR(INDEX(Roadmap!$D$6:$D$200,MATCH(F160,Roadmap!$A$6:$A$200,0)),IFERROR(INDEX(Modules!$C$5:$C$100,MATCH(F160,Modules!$A$5:$A$100,0)),"NOT FOUND"))))))))</f>
        <v/>
      </c>
      <c r="H160" s="95">
        <f>IF(F160="","",IF(G160="NOT FOUND","—",IFERROR(INDEX(Listas!$J$5:$J$13,MATCH(LEFT(F160,FIND("-",F160)-1),Listas!$I$5:$I$13,0)),"Module / area")))</f>
        <v/>
      </c>
      <c r="I160" s="95">
        <f>IF(AND(B160="",F160=""),"",IF(OR(C160="NOT FOUND",G160="NOT FOUND"),"✖ ID inexistente",IF(B160=F160,"✖ Autorreferência",IF(E160="","✖ Sem relação","✔ OK"))))</f>
        <v/>
      </c>
      <c r="J160" s="93" t="n"/>
    </row>
    <row r="161" ht="15" customHeight="1" s="50">
      <c r="A161" s="93" t="n"/>
      <c r="B161" s="93" t="n"/>
      <c r="C161" s="95">
        <f>IF(B161="","",IFERROR(INDEX('Constants &amp; Enums'!$B$5:$B$200,MATCH(B161,'Constants &amp; Enums'!$A$5:$A$200,0)),IFERROR(INDEX('Metrics &amp; Formulas'!$B$5:$B$200,MATCH(B161,'Metrics &amp; Formulas'!$A$5:$A$200,0)),IFERROR(INDEX('Projections &amp; Dashboards'!$B$5:$B$200,MATCH(B161,'Projections &amp; Dashboards'!$A$5:$A$200,0)),IFERROR(INDEX(Funções!$O$5:$O$300,MATCH(B161,Funções!$A$5:$A$300,0)),IFERROR(INDEX(Telas!$C$5:$C$400,MATCH(B161,Telas!$A$5:$A$400,0)),IFERROR(INDEX(Roadmap!$D$6:$D$200,MATCH(B161,Roadmap!$A$6:$A$200,0)),IFERROR(INDEX(Modules!$C$5:$C$100,MATCH(B161,Modules!$A$5:$A$100,0)),"NOT FOUND"))))))))</f>
        <v/>
      </c>
      <c r="D161" s="95">
        <f>IF(B161="","",IF(C161="NOT FOUND","—",IFERROR(INDEX(Listas!$J$5:$J$13,MATCH(LEFT(B161,FIND("-",B161)-1),Listas!$I$5:$I$13,0)),"Module / area")))</f>
        <v/>
      </c>
      <c r="E161" s="93" t="n"/>
      <c r="F161" s="93" t="n"/>
      <c r="G161" s="95">
        <f>IF(F161="","",IFERROR(INDEX('Constants &amp; Enums'!$B$5:$B$200,MATCH(F161,'Constants &amp; Enums'!$A$5:$A$200,0)),IFERROR(INDEX('Metrics &amp; Formulas'!$B$5:$B$200,MATCH(F161,'Metrics &amp; Formulas'!$A$5:$A$200,0)),IFERROR(INDEX('Projections &amp; Dashboards'!$B$5:$B$200,MATCH(F161,'Projections &amp; Dashboards'!$A$5:$A$200,0)),IFERROR(INDEX(Funções!$O$5:$O$300,MATCH(F161,Funções!$A$5:$A$300,0)),IFERROR(INDEX(Telas!$C$5:$C$400,MATCH(F161,Telas!$A$5:$A$400,0)),IFERROR(INDEX(Roadmap!$D$6:$D$200,MATCH(F161,Roadmap!$A$6:$A$200,0)),IFERROR(INDEX(Modules!$C$5:$C$100,MATCH(F161,Modules!$A$5:$A$100,0)),"NOT FOUND"))))))))</f>
        <v/>
      </c>
      <c r="H161" s="95">
        <f>IF(F161="","",IF(G161="NOT FOUND","—",IFERROR(INDEX(Listas!$J$5:$J$13,MATCH(LEFT(F161,FIND("-",F161)-1),Listas!$I$5:$I$13,0)),"Module / area")))</f>
        <v/>
      </c>
      <c r="I161" s="95">
        <f>IF(AND(B161="",F161=""),"",IF(OR(C161="NOT FOUND",G161="NOT FOUND"),"✖ ID inexistente",IF(B161=F161,"✖ Autorreferência",IF(E161="","✖ Sem relação","✔ OK"))))</f>
        <v/>
      </c>
      <c r="J161" s="93" t="n"/>
    </row>
    <row r="162" ht="15" customHeight="1" s="50">
      <c r="A162" s="93" t="n"/>
      <c r="B162" s="93" t="n"/>
      <c r="C162" s="95">
        <f>IF(B162="","",IFERROR(INDEX('Constants &amp; Enums'!$B$5:$B$200,MATCH(B162,'Constants &amp; Enums'!$A$5:$A$200,0)),IFERROR(INDEX('Metrics &amp; Formulas'!$B$5:$B$200,MATCH(B162,'Metrics &amp; Formulas'!$A$5:$A$200,0)),IFERROR(INDEX('Projections &amp; Dashboards'!$B$5:$B$200,MATCH(B162,'Projections &amp; Dashboards'!$A$5:$A$200,0)),IFERROR(INDEX(Funções!$O$5:$O$300,MATCH(B162,Funções!$A$5:$A$300,0)),IFERROR(INDEX(Telas!$C$5:$C$400,MATCH(B162,Telas!$A$5:$A$400,0)),IFERROR(INDEX(Roadmap!$D$6:$D$200,MATCH(B162,Roadmap!$A$6:$A$200,0)),IFERROR(INDEX(Modules!$C$5:$C$100,MATCH(B162,Modules!$A$5:$A$100,0)),"NOT FOUND"))))))))</f>
        <v/>
      </c>
      <c r="D162" s="95">
        <f>IF(B162="","",IF(C162="NOT FOUND","—",IFERROR(INDEX(Listas!$J$5:$J$13,MATCH(LEFT(B162,FIND("-",B162)-1),Listas!$I$5:$I$13,0)),"Module / area")))</f>
        <v/>
      </c>
      <c r="E162" s="93" t="n"/>
      <c r="F162" s="93" t="n"/>
      <c r="G162" s="95">
        <f>IF(F162="","",IFERROR(INDEX('Constants &amp; Enums'!$B$5:$B$200,MATCH(F162,'Constants &amp; Enums'!$A$5:$A$200,0)),IFERROR(INDEX('Metrics &amp; Formulas'!$B$5:$B$200,MATCH(F162,'Metrics &amp; Formulas'!$A$5:$A$200,0)),IFERROR(INDEX('Projections &amp; Dashboards'!$B$5:$B$200,MATCH(F162,'Projections &amp; Dashboards'!$A$5:$A$200,0)),IFERROR(INDEX(Funções!$O$5:$O$300,MATCH(F162,Funções!$A$5:$A$300,0)),IFERROR(INDEX(Telas!$C$5:$C$400,MATCH(F162,Telas!$A$5:$A$400,0)),IFERROR(INDEX(Roadmap!$D$6:$D$200,MATCH(F162,Roadmap!$A$6:$A$200,0)),IFERROR(INDEX(Modules!$C$5:$C$100,MATCH(F162,Modules!$A$5:$A$100,0)),"NOT FOUND"))))))))</f>
        <v/>
      </c>
      <c r="H162" s="95">
        <f>IF(F162="","",IF(G162="NOT FOUND","—",IFERROR(INDEX(Listas!$J$5:$J$13,MATCH(LEFT(F162,FIND("-",F162)-1),Listas!$I$5:$I$13,0)),"Module / area")))</f>
        <v/>
      </c>
      <c r="I162" s="95">
        <f>IF(AND(B162="",F162=""),"",IF(OR(C162="NOT FOUND",G162="NOT FOUND"),"✖ ID inexistente",IF(B162=F162,"✖ Autorreferência",IF(E162="","✖ Sem relação","✔ OK"))))</f>
        <v/>
      </c>
      <c r="J162" s="93" t="n"/>
    </row>
    <row r="163" ht="15" customHeight="1" s="50">
      <c r="A163" s="93" t="n"/>
      <c r="B163" s="93" t="n"/>
      <c r="C163" s="95">
        <f>IF(B163="","",IFERROR(INDEX('Constants &amp; Enums'!$B$5:$B$200,MATCH(B163,'Constants &amp; Enums'!$A$5:$A$200,0)),IFERROR(INDEX('Metrics &amp; Formulas'!$B$5:$B$200,MATCH(B163,'Metrics &amp; Formulas'!$A$5:$A$200,0)),IFERROR(INDEX('Projections &amp; Dashboards'!$B$5:$B$200,MATCH(B163,'Projections &amp; Dashboards'!$A$5:$A$200,0)),IFERROR(INDEX(Funções!$O$5:$O$300,MATCH(B163,Funções!$A$5:$A$300,0)),IFERROR(INDEX(Telas!$C$5:$C$400,MATCH(B163,Telas!$A$5:$A$400,0)),IFERROR(INDEX(Roadmap!$D$6:$D$200,MATCH(B163,Roadmap!$A$6:$A$200,0)),IFERROR(INDEX(Modules!$C$5:$C$100,MATCH(B163,Modules!$A$5:$A$100,0)),"NOT FOUND"))))))))</f>
        <v/>
      </c>
      <c r="D163" s="95">
        <f>IF(B163="","",IF(C163="NOT FOUND","—",IFERROR(INDEX(Listas!$J$5:$J$13,MATCH(LEFT(B163,FIND("-",B163)-1),Listas!$I$5:$I$13,0)),"Module / area")))</f>
        <v/>
      </c>
      <c r="E163" s="93" t="n"/>
      <c r="F163" s="93" t="n"/>
      <c r="G163" s="95">
        <f>IF(F163="","",IFERROR(INDEX('Constants &amp; Enums'!$B$5:$B$200,MATCH(F163,'Constants &amp; Enums'!$A$5:$A$200,0)),IFERROR(INDEX('Metrics &amp; Formulas'!$B$5:$B$200,MATCH(F163,'Metrics &amp; Formulas'!$A$5:$A$200,0)),IFERROR(INDEX('Projections &amp; Dashboards'!$B$5:$B$200,MATCH(F163,'Projections &amp; Dashboards'!$A$5:$A$200,0)),IFERROR(INDEX(Funções!$O$5:$O$300,MATCH(F163,Funções!$A$5:$A$300,0)),IFERROR(INDEX(Telas!$C$5:$C$400,MATCH(F163,Telas!$A$5:$A$400,0)),IFERROR(INDEX(Roadmap!$D$6:$D$200,MATCH(F163,Roadmap!$A$6:$A$200,0)),IFERROR(INDEX(Modules!$C$5:$C$100,MATCH(F163,Modules!$A$5:$A$100,0)),"NOT FOUND"))))))))</f>
        <v/>
      </c>
      <c r="H163" s="95">
        <f>IF(F163="","",IF(G163="NOT FOUND","—",IFERROR(INDEX(Listas!$J$5:$J$13,MATCH(LEFT(F163,FIND("-",F163)-1),Listas!$I$5:$I$13,0)),"Module / area")))</f>
        <v/>
      </c>
      <c r="I163" s="95">
        <f>IF(AND(B163="",F163=""),"",IF(OR(C163="NOT FOUND",G163="NOT FOUND"),"✖ ID inexistente",IF(B163=F163,"✖ Autorreferência",IF(E163="","✖ Sem relação","✔ OK"))))</f>
        <v/>
      </c>
      <c r="J163" s="93" t="n"/>
    </row>
    <row r="164" ht="15" customHeight="1" s="50">
      <c r="A164" s="93" t="n"/>
      <c r="B164" s="93" t="n"/>
      <c r="C164" s="95">
        <f>IF(B164="","",IFERROR(INDEX('Constants &amp; Enums'!$B$5:$B$200,MATCH(B164,'Constants &amp; Enums'!$A$5:$A$200,0)),IFERROR(INDEX('Metrics &amp; Formulas'!$B$5:$B$200,MATCH(B164,'Metrics &amp; Formulas'!$A$5:$A$200,0)),IFERROR(INDEX('Projections &amp; Dashboards'!$B$5:$B$200,MATCH(B164,'Projections &amp; Dashboards'!$A$5:$A$200,0)),IFERROR(INDEX(Funções!$O$5:$O$300,MATCH(B164,Funções!$A$5:$A$300,0)),IFERROR(INDEX(Telas!$C$5:$C$400,MATCH(B164,Telas!$A$5:$A$400,0)),IFERROR(INDEX(Roadmap!$D$6:$D$200,MATCH(B164,Roadmap!$A$6:$A$200,0)),IFERROR(INDEX(Modules!$C$5:$C$100,MATCH(B164,Modules!$A$5:$A$100,0)),"NOT FOUND"))))))))</f>
        <v/>
      </c>
      <c r="D164" s="95">
        <f>IF(B164="","",IF(C164="NOT FOUND","—",IFERROR(INDEX(Listas!$J$5:$J$13,MATCH(LEFT(B164,FIND("-",B164)-1),Listas!$I$5:$I$13,0)),"Module / area")))</f>
        <v/>
      </c>
      <c r="E164" s="93" t="n"/>
      <c r="F164" s="93" t="n"/>
      <c r="G164" s="95">
        <f>IF(F164="","",IFERROR(INDEX('Constants &amp; Enums'!$B$5:$B$200,MATCH(F164,'Constants &amp; Enums'!$A$5:$A$200,0)),IFERROR(INDEX('Metrics &amp; Formulas'!$B$5:$B$200,MATCH(F164,'Metrics &amp; Formulas'!$A$5:$A$200,0)),IFERROR(INDEX('Projections &amp; Dashboards'!$B$5:$B$200,MATCH(F164,'Projections &amp; Dashboards'!$A$5:$A$200,0)),IFERROR(INDEX(Funções!$O$5:$O$300,MATCH(F164,Funções!$A$5:$A$300,0)),IFERROR(INDEX(Telas!$C$5:$C$400,MATCH(F164,Telas!$A$5:$A$400,0)),IFERROR(INDEX(Roadmap!$D$6:$D$200,MATCH(F164,Roadmap!$A$6:$A$200,0)),IFERROR(INDEX(Modules!$C$5:$C$100,MATCH(F164,Modules!$A$5:$A$100,0)),"NOT FOUND"))))))))</f>
        <v/>
      </c>
      <c r="H164" s="95">
        <f>IF(F164="","",IF(G164="NOT FOUND","—",IFERROR(INDEX(Listas!$J$5:$J$13,MATCH(LEFT(F164,FIND("-",F164)-1),Listas!$I$5:$I$13,0)),"Module / area")))</f>
        <v/>
      </c>
      <c r="I164" s="95">
        <f>IF(AND(B164="",F164=""),"",IF(OR(C164="NOT FOUND",G164="NOT FOUND"),"✖ ID inexistente",IF(B164=F164,"✖ Autorreferência",IF(E164="","✖ Sem relação","✔ OK"))))</f>
        <v/>
      </c>
      <c r="J164" s="93" t="n"/>
    </row>
    <row r="165" ht="15" customHeight="1" s="50">
      <c r="A165" s="93" t="n"/>
      <c r="B165" s="93" t="n"/>
      <c r="C165" s="95">
        <f>IF(B165="","",IFERROR(INDEX('Constants &amp; Enums'!$B$5:$B$200,MATCH(B165,'Constants &amp; Enums'!$A$5:$A$200,0)),IFERROR(INDEX('Metrics &amp; Formulas'!$B$5:$B$200,MATCH(B165,'Metrics &amp; Formulas'!$A$5:$A$200,0)),IFERROR(INDEX('Projections &amp; Dashboards'!$B$5:$B$200,MATCH(B165,'Projections &amp; Dashboards'!$A$5:$A$200,0)),IFERROR(INDEX(Funções!$O$5:$O$300,MATCH(B165,Funções!$A$5:$A$300,0)),IFERROR(INDEX(Telas!$C$5:$C$400,MATCH(B165,Telas!$A$5:$A$400,0)),IFERROR(INDEX(Roadmap!$D$6:$D$200,MATCH(B165,Roadmap!$A$6:$A$200,0)),IFERROR(INDEX(Modules!$C$5:$C$100,MATCH(B165,Modules!$A$5:$A$100,0)),"NOT FOUND"))))))))</f>
        <v/>
      </c>
      <c r="D165" s="95">
        <f>IF(B165="","",IF(C165="NOT FOUND","—",IFERROR(INDEX(Listas!$J$5:$J$13,MATCH(LEFT(B165,FIND("-",B165)-1),Listas!$I$5:$I$13,0)),"Module / area")))</f>
        <v/>
      </c>
      <c r="E165" s="93" t="n"/>
      <c r="F165" s="93" t="n"/>
      <c r="G165" s="95">
        <f>IF(F165="","",IFERROR(INDEX('Constants &amp; Enums'!$B$5:$B$200,MATCH(F165,'Constants &amp; Enums'!$A$5:$A$200,0)),IFERROR(INDEX('Metrics &amp; Formulas'!$B$5:$B$200,MATCH(F165,'Metrics &amp; Formulas'!$A$5:$A$200,0)),IFERROR(INDEX('Projections &amp; Dashboards'!$B$5:$B$200,MATCH(F165,'Projections &amp; Dashboards'!$A$5:$A$200,0)),IFERROR(INDEX(Funções!$O$5:$O$300,MATCH(F165,Funções!$A$5:$A$300,0)),IFERROR(INDEX(Telas!$C$5:$C$400,MATCH(F165,Telas!$A$5:$A$400,0)),IFERROR(INDEX(Roadmap!$D$6:$D$200,MATCH(F165,Roadmap!$A$6:$A$200,0)),IFERROR(INDEX(Modules!$C$5:$C$100,MATCH(F165,Modules!$A$5:$A$100,0)),"NOT FOUND"))))))))</f>
        <v/>
      </c>
      <c r="H165" s="95">
        <f>IF(F165="","",IF(G165="NOT FOUND","—",IFERROR(INDEX(Listas!$J$5:$J$13,MATCH(LEFT(F165,FIND("-",F165)-1),Listas!$I$5:$I$13,0)),"Module / area")))</f>
        <v/>
      </c>
      <c r="I165" s="95">
        <f>IF(AND(B165="",F165=""),"",IF(OR(C165="NOT FOUND",G165="NOT FOUND"),"✖ ID inexistente",IF(B165=F165,"✖ Autorreferência",IF(E165="","✖ Sem relação","✔ OK"))))</f>
        <v/>
      </c>
      <c r="J165" s="93" t="n"/>
    </row>
    <row r="166" ht="15" customHeight="1" s="50">
      <c r="A166" s="93" t="n"/>
      <c r="B166" s="93" t="n"/>
      <c r="C166" s="95">
        <f>IF(B166="","",IFERROR(INDEX('Constants &amp; Enums'!$B$5:$B$200,MATCH(B166,'Constants &amp; Enums'!$A$5:$A$200,0)),IFERROR(INDEX('Metrics &amp; Formulas'!$B$5:$B$200,MATCH(B166,'Metrics &amp; Formulas'!$A$5:$A$200,0)),IFERROR(INDEX('Projections &amp; Dashboards'!$B$5:$B$200,MATCH(B166,'Projections &amp; Dashboards'!$A$5:$A$200,0)),IFERROR(INDEX(Funções!$O$5:$O$300,MATCH(B166,Funções!$A$5:$A$300,0)),IFERROR(INDEX(Telas!$C$5:$C$400,MATCH(B166,Telas!$A$5:$A$400,0)),IFERROR(INDEX(Roadmap!$D$6:$D$200,MATCH(B166,Roadmap!$A$6:$A$200,0)),IFERROR(INDEX(Modules!$C$5:$C$100,MATCH(B166,Modules!$A$5:$A$100,0)),"NOT FOUND"))))))))</f>
        <v/>
      </c>
      <c r="D166" s="95">
        <f>IF(B166="","",IF(C166="NOT FOUND","—",IFERROR(INDEX(Listas!$J$5:$J$13,MATCH(LEFT(B166,FIND("-",B166)-1),Listas!$I$5:$I$13,0)),"Module / area")))</f>
        <v/>
      </c>
      <c r="E166" s="93" t="n"/>
      <c r="F166" s="93" t="n"/>
      <c r="G166" s="95">
        <f>IF(F166="","",IFERROR(INDEX('Constants &amp; Enums'!$B$5:$B$200,MATCH(F166,'Constants &amp; Enums'!$A$5:$A$200,0)),IFERROR(INDEX('Metrics &amp; Formulas'!$B$5:$B$200,MATCH(F166,'Metrics &amp; Formulas'!$A$5:$A$200,0)),IFERROR(INDEX('Projections &amp; Dashboards'!$B$5:$B$200,MATCH(F166,'Projections &amp; Dashboards'!$A$5:$A$200,0)),IFERROR(INDEX(Funções!$O$5:$O$300,MATCH(F166,Funções!$A$5:$A$300,0)),IFERROR(INDEX(Telas!$C$5:$C$400,MATCH(F166,Telas!$A$5:$A$400,0)),IFERROR(INDEX(Roadmap!$D$6:$D$200,MATCH(F166,Roadmap!$A$6:$A$200,0)),IFERROR(INDEX(Modules!$C$5:$C$100,MATCH(F166,Modules!$A$5:$A$100,0)),"NOT FOUND"))))))))</f>
        <v/>
      </c>
      <c r="H166" s="95">
        <f>IF(F166="","",IF(G166="NOT FOUND","—",IFERROR(INDEX(Listas!$J$5:$J$13,MATCH(LEFT(F166,FIND("-",F166)-1),Listas!$I$5:$I$13,0)),"Module / area")))</f>
        <v/>
      </c>
      <c r="I166" s="95">
        <f>IF(AND(B166="",F166=""),"",IF(OR(C166="NOT FOUND",G166="NOT FOUND"),"✖ ID inexistente",IF(B166=F166,"✖ Autorreferência",IF(E166="","✖ Sem relação","✔ OK"))))</f>
        <v/>
      </c>
      <c r="J166" s="93" t="n"/>
    </row>
    <row r="167" ht="15" customHeight="1" s="50">
      <c r="A167" s="93" t="n"/>
      <c r="B167" s="93" t="n"/>
      <c r="C167" s="95">
        <f>IF(B167="","",IFERROR(INDEX('Constants &amp; Enums'!$B$5:$B$200,MATCH(B167,'Constants &amp; Enums'!$A$5:$A$200,0)),IFERROR(INDEX('Metrics &amp; Formulas'!$B$5:$B$200,MATCH(B167,'Metrics &amp; Formulas'!$A$5:$A$200,0)),IFERROR(INDEX('Projections &amp; Dashboards'!$B$5:$B$200,MATCH(B167,'Projections &amp; Dashboards'!$A$5:$A$200,0)),IFERROR(INDEX(Funções!$O$5:$O$300,MATCH(B167,Funções!$A$5:$A$300,0)),IFERROR(INDEX(Telas!$C$5:$C$400,MATCH(B167,Telas!$A$5:$A$400,0)),IFERROR(INDEX(Roadmap!$D$6:$D$200,MATCH(B167,Roadmap!$A$6:$A$200,0)),IFERROR(INDEX(Modules!$C$5:$C$100,MATCH(B167,Modules!$A$5:$A$100,0)),"NOT FOUND"))))))))</f>
        <v/>
      </c>
      <c r="D167" s="95">
        <f>IF(B167="","",IF(C167="NOT FOUND","—",IFERROR(INDEX(Listas!$J$5:$J$13,MATCH(LEFT(B167,FIND("-",B167)-1),Listas!$I$5:$I$13,0)),"Module / area")))</f>
        <v/>
      </c>
      <c r="E167" s="93" t="n"/>
      <c r="F167" s="93" t="n"/>
      <c r="G167" s="95">
        <f>IF(F167="","",IFERROR(INDEX('Constants &amp; Enums'!$B$5:$B$200,MATCH(F167,'Constants &amp; Enums'!$A$5:$A$200,0)),IFERROR(INDEX('Metrics &amp; Formulas'!$B$5:$B$200,MATCH(F167,'Metrics &amp; Formulas'!$A$5:$A$200,0)),IFERROR(INDEX('Projections &amp; Dashboards'!$B$5:$B$200,MATCH(F167,'Projections &amp; Dashboards'!$A$5:$A$200,0)),IFERROR(INDEX(Funções!$O$5:$O$300,MATCH(F167,Funções!$A$5:$A$300,0)),IFERROR(INDEX(Telas!$C$5:$C$400,MATCH(F167,Telas!$A$5:$A$400,0)),IFERROR(INDEX(Roadmap!$D$6:$D$200,MATCH(F167,Roadmap!$A$6:$A$200,0)),IFERROR(INDEX(Modules!$C$5:$C$100,MATCH(F167,Modules!$A$5:$A$100,0)),"NOT FOUND"))))))))</f>
        <v/>
      </c>
      <c r="H167" s="95">
        <f>IF(F167="","",IF(G167="NOT FOUND","—",IFERROR(INDEX(Listas!$J$5:$J$13,MATCH(LEFT(F167,FIND("-",F167)-1),Listas!$I$5:$I$13,0)),"Module / area")))</f>
        <v/>
      </c>
      <c r="I167" s="95">
        <f>IF(AND(B167="",F167=""),"",IF(OR(C167="NOT FOUND",G167="NOT FOUND"),"✖ ID inexistente",IF(B167=F167,"✖ Autorreferência",IF(E167="","✖ Sem relação","✔ OK"))))</f>
        <v/>
      </c>
      <c r="J167" s="93" t="n"/>
    </row>
    <row r="168" ht="15" customHeight="1" s="50">
      <c r="A168" s="93" t="n"/>
      <c r="B168" s="93" t="n"/>
      <c r="C168" s="95">
        <f>IF(B168="","",IFERROR(INDEX('Constants &amp; Enums'!$B$5:$B$200,MATCH(B168,'Constants &amp; Enums'!$A$5:$A$200,0)),IFERROR(INDEX('Metrics &amp; Formulas'!$B$5:$B$200,MATCH(B168,'Metrics &amp; Formulas'!$A$5:$A$200,0)),IFERROR(INDEX('Projections &amp; Dashboards'!$B$5:$B$200,MATCH(B168,'Projections &amp; Dashboards'!$A$5:$A$200,0)),IFERROR(INDEX(Funções!$O$5:$O$300,MATCH(B168,Funções!$A$5:$A$300,0)),IFERROR(INDEX(Telas!$C$5:$C$400,MATCH(B168,Telas!$A$5:$A$400,0)),IFERROR(INDEX(Roadmap!$D$6:$D$200,MATCH(B168,Roadmap!$A$6:$A$200,0)),IFERROR(INDEX(Modules!$C$5:$C$100,MATCH(B168,Modules!$A$5:$A$100,0)),"NOT FOUND"))))))))</f>
        <v/>
      </c>
      <c r="D168" s="95">
        <f>IF(B168="","",IF(C168="NOT FOUND","—",IFERROR(INDEX(Listas!$J$5:$J$13,MATCH(LEFT(B168,FIND("-",B168)-1),Listas!$I$5:$I$13,0)),"Module / area")))</f>
        <v/>
      </c>
      <c r="E168" s="93" t="n"/>
      <c r="F168" s="93" t="n"/>
      <c r="G168" s="95">
        <f>IF(F168="","",IFERROR(INDEX('Constants &amp; Enums'!$B$5:$B$200,MATCH(F168,'Constants &amp; Enums'!$A$5:$A$200,0)),IFERROR(INDEX('Metrics &amp; Formulas'!$B$5:$B$200,MATCH(F168,'Metrics &amp; Formulas'!$A$5:$A$200,0)),IFERROR(INDEX('Projections &amp; Dashboards'!$B$5:$B$200,MATCH(F168,'Projections &amp; Dashboards'!$A$5:$A$200,0)),IFERROR(INDEX(Funções!$O$5:$O$300,MATCH(F168,Funções!$A$5:$A$300,0)),IFERROR(INDEX(Telas!$C$5:$C$400,MATCH(F168,Telas!$A$5:$A$400,0)),IFERROR(INDEX(Roadmap!$D$6:$D$200,MATCH(F168,Roadmap!$A$6:$A$200,0)),IFERROR(INDEX(Modules!$C$5:$C$100,MATCH(F168,Modules!$A$5:$A$100,0)),"NOT FOUND"))))))))</f>
        <v/>
      </c>
      <c r="H168" s="95">
        <f>IF(F168="","",IF(G168="NOT FOUND","—",IFERROR(INDEX(Listas!$J$5:$J$13,MATCH(LEFT(F168,FIND("-",F168)-1),Listas!$I$5:$I$13,0)),"Module / area")))</f>
        <v/>
      </c>
      <c r="I168" s="95">
        <f>IF(AND(B168="",F168=""),"",IF(OR(C168="NOT FOUND",G168="NOT FOUND"),"✖ ID inexistente",IF(B168=F168,"✖ Autorreferência",IF(E168="","✖ Sem relação","✔ OK"))))</f>
        <v/>
      </c>
      <c r="J168" s="93" t="n"/>
    </row>
    <row r="169" ht="15" customHeight="1" s="50">
      <c r="A169" s="93" t="n"/>
      <c r="B169" s="93" t="n"/>
      <c r="C169" s="95">
        <f>IF(B169="","",IFERROR(INDEX('Constants &amp; Enums'!$B$5:$B$200,MATCH(B169,'Constants &amp; Enums'!$A$5:$A$200,0)),IFERROR(INDEX('Metrics &amp; Formulas'!$B$5:$B$200,MATCH(B169,'Metrics &amp; Formulas'!$A$5:$A$200,0)),IFERROR(INDEX('Projections &amp; Dashboards'!$B$5:$B$200,MATCH(B169,'Projections &amp; Dashboards'!$A$5:$A$200,0)),IFERROR(INDEX(Funções!$O$5:$O$300,MATCH(B169,Funções!$A$5:$A$300,0)),IFERROR(INDEX(Telas!$C$5:$C$400,MATCH(B169,Telas!$A$5:$A$400,0)),IFERROR(INDEX(Roadmap!$D$6:$D$200,MATCH(B169,Roadmap!$A$6:$A$200,0)),IFERROR(INDEX(Modules!$C$5:$C$100,MATCH(B169,Modules!$A$5:$A$100,0)),"NOT FOUND"))))))))</f>
        <v/>
      </c>
      <c r="D169" s="95">
        <f>IF(B169="","",IF(C169="NOT FOUND","—",IFERROR(INDEX(Listas!$J$5:$J$13,MATCH(LEFT(B169,FIND("-",B169)-1),Listas!$I$5:$I$13,0)),"Module / area")))</f>
        <v/>
      </c>
      <c r="E169" s="93" t="n"/>
      <c r="F169" s="93" t="n"/>
      <c r="G169" s="95">
        <f>IF(F169="","",IFERROR(INDEX('Constants &amp; Enums'!$B$5:$B$200,MATCH(F169,'Constants &amp; Enums'!$A$5:$A$200,0)),IFERROR(INDEX('Metrics &amp; Formulas'!$B$5:$B$200,MATCH(F169,'Metrics &amp; Formulas'!$A$5:$A$200,0)),IFERROR(INDEX('Projections &amp; Dashboards'!$B$5:$B$200,MATCH(F169,'Projections &amp; Dashboards'!$A$5:$A$200,0)),IFERROR(INDEX(Funções!$O$5:$O$300,MATCH(F169,Funções!$A$5:$A$300,0)),IFERROR(INDEX(Telas!$C$5:$C$400,MATCH(F169,Telas!$A$5:$A$400,0)),IFERROR(INDEX(Roadmap!$D$6:$D$200,MATCH(F169,Roadmap!$A$6:$A$200,0)),IFERROR(INDEX(Modules!$C$5:$C$100,MATCH(F169,Modules!$A$5:$A$100,0)),"NOT FOUND"))))))))</f>
        <v/>
      </c>
      <c r="H169" s="95">
        <f>IF(F169="","",IF(G169="NOT FOUND","—",IFERROR(INDEX(Listas!$J$5:$J$13,MATCH(LEFT(F169,FIND("-",F169)-1),Listas!$I$5:$I$13,0)),"Module / area")))</f>
        <v/>
      </c>
      <c r="I169" s="95">
        <f>IF(AND(B169="",F169=""),"",IF(OR(C169="NOT FOUND",G169="NOT FOUND"),"✖ ID inexistente",IF(B169=F169,"✖ Autorreferência",IF(E169="","✖ Sem relação","✔ OK"))))</f>
        <v/>
      </c>
      <c r="J169" s="93" t="n"/>
    </row>
    <row r="170" ht="15" customHeight="1" s="50">
      <c r="A170" s="93" t="n"/>
      <c r="B170" s="93" t="n"/>
      <c r="C170" s="95">
        <f>IF(B170="","",IFERROR(INDEX('Constants &amp; Enums'!$B$5:$B$200,MATCH(B170,'Constants &amp; Enums'!$A$5:$A$200,0)),IFERROR(INDEX('Metrics &amp; Formulas'!$B$5:$B$200,MATCH(B170,'Metrics &amp; Formulas'!$A$5:$A$200,0)),IFERROR(INDEX('Projections &amp; Dashboards'!$B$5:$B$200,MATCH(B170,'Projections &amp; Dashboards'!$A$5:$A$200,0)),IFERROR(INDEX(Funções!$O$5:$O$300,MATCH(B170,Funções!$A$5:$A$300,0)),IFERROR(INDEX(Telas!$C$5:$C$400,MATCH(B170,Telas!$A$5:$A$400,0)),IFERROR(INDEX(Roadmap!$D$6:$D$200,MATCH(B170,Roadmap!$A$6:$A$200,0)),IFERROR(INDEX(Modules!$C$5:$C$100,MATCH(B170,Modules!$A$5:$A$100,0)),"NOT FOUND"))))))))</f>
        <v/>
      </c>
      <c r="D170" s="95">
        <f>IF(B170="","",IF(C170="NOT FOUND","—",IFERROR(INDEX(Listas!$J$5:$J$13,MATCH(LEFT(B170,FIND("-",B170)-1),Listas!$I$5:$I$13,0)),"Module / area")))</f>
        <v/>
      </c>
      <c r="E170" s="93" t="n"/>
      <c r="F170" s="93" t="n"/>
      <c r="G170" s="95">
        <f>IF(F170="","",IFERROR(INDEX('Constants &amp; Enums'!$B$5:$B$200,MATCH(F170,'Constants &amp; Enums'!$A$5:$A$200,0)),IFERROR(INDEX('Metrics &amp; Formulas'!$B$5:$B$200,MATCH(F170,'Metrics &amp; Formulas'!$A$5:$A$200,0)),IFERROR(INDEX('Projections &amp; Dashboards'!$B$5:$B$200,MATCH(F170,'Projections &amp; Dashboards'!$A$5:$A$200,0)),IFERROR(INDEX(Funções!$O$5:$O$300,MATCH(F170,Funções!$A$5:$A$300,0)),IFERROR(INDEX(Telas!$C$5:$C$400,MATCH(F170,Telas!$A$5:$A$400,0)),IFERROR(INDEX(Roadmap!$D$6:$D$200,MATCH(F170,Roadmap!$A$6:$A$200,0)),IFERROR(INDEX(Modules!$C$5:$C$100,MATCH(F170,Modules!$A$5:$A$100,0)),"NOT FOUND"))))))))</f>
        <v/>
      </c>
      <c r="H170" s="95">
        <f>IF(F170="","",IF(G170="NOT FOUND","—",IFERROR(INDEX(Listas!$J$5:$J$13,MATCH(LEFT(F170,FIND("-",F170)-1),Listas!$I$5:$I$13,0)),"Module / area")))</f>
        <v/>
      </c>
      <c r="I170" s="95">
        <f>IF(AND(B170="",F170=""),"",IF(OR(C170="NOT FOUND",G170="NOT FOUND"),"✖ ID inexistente",IF(B170=F170,"✖ Autorreferência",IF(E170="","✖ Sem relação","✔ OK"))))</f>
        <v/>
      </c>
      <c r="J170" s="93" t="n"/>
    </row>
    <row r="171" ht="15" customHeight="1" s="50">
      <c r="A171" s="93" t="n"/>
      <c r="B171" s="93" t="n"/>
      <c r="C171" s="95">
        <f>IF(B171="","",IFERROR(INDEX('Constants &amp; Enums'!$B$5:$B$200,MATCH(B171,'Constants &amp; Enums'!$A$5:$A$200,0)),IFERROR(INDEX('Metrics &amp; Formulas'!$B$5:$B$200,MATCH(B171,'Metrics &amp; Formulas'!$A$5:$A$200,0)),IFERROR(INDEX('Projections &amp; Dashboards'!$B$5:$B$200,MATCH(B171,'Projections &amp; Dashboards'!$A$5:$A$200,0)),IFERROR(INDEX(Funções!$O$5:$O$300,MATCH(B171,Funções!$A$5:$A$300,0)),IFERROR(INDEX(Telas!$C$5:$C$400,MATCH(B171,Telas!$A$5:$A$400,0)),IFERROR(INDEX(Roadmap!$D$6:$D$200,MATCH(B171,Roadmap!$A$6:$A$200,0)),IFERROR(INDEX(Modules!$C$5:$C$100,MATCH(B171,Modules!$A$5:$A$100,0)),"NOT FOUND"))))))))</f>
        <v/>
      </c>
      <c r="D171" s="95">
        <f>IF(B171="","",IF(C171="NOT FOUND","—",IFERROR(INDEX(Listas!$J$5:$J$13,MATCH(LEFT(B171,FIND("-",B171)-1),Listas!$I$5:$I$13,0)),"Module / area")))</f>
        <v/>
      </c>
      <c r="E171" s="93" t="n"/>
      <c r="F171" s="93" t="n"/>
      <c r="G171" s="95">
        <f>IF(F171="","",IFERROR(INDEX('Constants &amp; Enums'!$B$5:$B$200,MATCH(F171,'Constants &amp; Enums'!$A$5:$A$200,0)),IFERROR(INDEX('Metrics &amp; Formulas'!$B$5:$B$200,MATCH(F171,'Metrics &amp; Formulas'!$A$5:$A$200,0)),IFERROR(INDEX('Projections &amp; Dashboards'!$B$5:$B$200,MATCH(F171,'Projections &amp; Dashboards'!$A$5:$A$200,0)),IFERROR(INDEX(Funções!$O$5:$O$300,MATCH(F171,Funções!$A$5:$A$300,0)),IFERROR(INDEX(Telas!$C$5:$C$400,MATCH(F171,Telas!$A$5:$A$400,0)),IFERROR(INDEX(Roadmap!$D$6:$D$200,MATCH(F171,Roadmap!$A$6:$A$200,0)),IFERROR(INDEX(Modules!$C$5:$C$100,MATCH(F171,Modules!$A$5:$A$100,0)),"NOT FOUND"))))))))</f>
        <v/>
      </c>
      <c r="H171" s="95">
        <f>IF(F171="","",IF(G171="NOT FOUND","—",IFERROR(INDEX(Listas!$J$5:$J$13,MATCH(LEFT(F171,FIND("-",F171)-1),Listas!$I$5:$I$13,0)),"Module / area")))</f>
        <v/>
      </c>
      <c r="I171" s="95">
        <f>IF(AND(B171="",F171=""),"",IF(OR(C171="NOT FOUND",G171="NOT FOUND"),"✖ ID inexistente",IF(B171=F171,"✖ Autorreferência",IF(E171="","✖ Sem relação","✔ OK"))))</f>
        <v/>
      </c>
      <c r="J171" s="93" t="n"/>
    </row>
    <row r="172" ht="15" customHeight="1" s="50">
      <c r="A172" s="93" t="n"/>
      <c r="B172" s="93" t="n"/>
      <c r="C172" s="95">
        <f>IF(B172="","",IFERROR(INDEX('Constants &amp; Enums'!$B$5:$B$200,MATCH(B172,'Constants &amp; Enums'!$A$5:$A$200,0)),IFERROR(INDEX('Metrics &amp; Formulas'!$B$5:$B$200,MATCH(B172,'Metrics &amp; Formulas'!$A$5:$A$200,0)),IFERROR(INDEX('Projections &amp; Dashboards'!$B$5:$B$200,MATCH(B172,'Projections &amp; Dashboards'!$A$5:$A$200,0)),IFERROR(INDEX(Funções!$O$5:$O$300,MATCH(B172,Funções!$A$5:$A$300,0)),IFERROR(INDEX(Telas!$C$5:$C$400,MATCH(B172,Telas!$A$5:$A$400,0)),IFERROR(INDEX(Roadmap!$D$6:$D$200,MATCH(B172,Roadmap!$A$6:$A$200,0)),IFERROR(INDEX(Modules!$C$5:$C$100,MATCH(B172,Modules!$A$5:$A$100,0)),"NOT FOUND"))))))))</f>
        <v/>
      </c>
      <c r="D172" s="95">
        <f>IF(B172="","",IF(C172="NOT FOUND","—",IFERROR(INDEX(Listas!$J$5:$J$13,MATCH(LEFT(B172,FIND("-",B172)-1),Listas!$I$5:$I$13,0)),"Module / area")))</f>
        <v/>
      </c>
      <c r="E172" s="93" t="n"/>
      <c r="F172" s="93" t="n"/>
      <c r="G172" s="95">
        <f>IF(F172="","",IFERROR(INDEX('Constants &amp; Enums'!$B$5:$B$200,MATCH(F172,'Constants &amp; Enums'!$A$5:$A$200,0)),IFERROR(INDEX('Metrics &amp; Formulas'!$B$5:$B$200,MATCH(F172,'Metrics &amp; Formulas'!$A$5:$A$200,0)),IFERROR(INDEX('Projections &amp; Dashboards'!$B$5:$B$200,MATCH(F172,'Projections &amp; Dashboards'!$A$5:$A$200,0)),IFERROR(INDEX(Funções!$O$5:$O$300,MATCH(F172,Funções!$A$5:$A$300,0)),IFERROR(INDEX(Telas!$C$5:$C$400,MATCH(F172,Telas!$A$5:$A$400,0)),IFERROR(INDEX(Roadmap!$D$6:$D$200,MATCH(F172,Roadmap!$A$6:$A$200,0)),IFERROR(INDEX(Modules!$C$5:$C$100,MATCH(F172,Modules!$A$5:$A$100,0)),"NOT FOUND"))))))))</f>
        <v/>
      </c>
      <c r="H172" s="95">
        <f>IF(F172="","",IF(G172="NOT FOUND","—",IFERROR(INDEX(Listas!$J$5:$J$13,MATCH(LEFT(F172,FIND("-",F172)-1),Listas!$I$5:$I$13,0)),"Module / area")))</f>
        <v/>
      </c>
      <c r="I172" s="95">
        <f>IF(AND(B172="",F172=""),"",IF(OR(C172="NOT FOUND",G172="NOT FOUND"),"✖ ID inexistente",IF(B172=F172,"✖ Autorreferência",IF(E172="","✖ Sem relação","✔ OK"))))</f>
        <v/>
      </c>
      <c r="J172" s="93" t="n"/>
    </row>
    <row r="173" ht="15" customHeight="1" s="50">
      <c r="A173" s="93" t="n"/>
      <c r="B173" s="93" t="n"/>
      <c r="C173" s="95">
        <f>IF(B173="","",IFERROR(INDEX('Constants &amp; Enums'!$B$5:$B$200,MATCH(B173,'Constants &amp; Enums'!$A$5:$A$200,0)),IFERROR(INDEX('Metrics &amp; Formulas'!$B$5:$B$200,MATCH(B173,'Metrics &amp; Formulas'!$A$5:$A$200,0)),IFERROR(INDEX('Projections &amp; Dashboards'!$B$5:$B$200,MATCH(B173,'Projections &amp; Dashboards'!$A$5:$A$200,0)),IFERROR(INDEX(Funções!$O$5:$O$300,MATCH(B173,Funções!$A$5:$A$300,0)),IFERROR(INDEX(Telas!$C$5:$C$400,MATCH(B173,Telas!$A$5:$A$400,0)),IFERROR(INDEX(Roadmap!$D$6:$D$200,MATCH(B173,Roadmap!$A$6:$A$200,0)),IFERROR(INDEX(Modules!$C$5:$C$100,MATCH(B173,Modules!$A$5:$A$100,0)),"NOT FOUND"))))))))</f>
        <v/>
      </c>
      <c r="D173" s="95">
        <f>IF(B173="","",IF(C173="NOT FOUND","—",IFERROR(INDEX(Listas!$J$5:$J$13,MATCH(LEFT(B173,FIND("-",B173)-1),Listas!$I$5:$I$13,0)),"Module / area")))</f>
        <v/>
      </c>
      <c r="E173" s="93" t="n"/>
      <c r="F173" s="93" t="n"/>
      <c r="G173" s="95">
        <f>IF(F173="","",IFERROR(INDEX('Constants &amp; Enums'!$B$5:$B$200,MATCH(F173,'Constants &amp; Enums'!$A$5:$A$200,0)),IFERROR(INDEX('Metrics &amp; Formulas'!$B$5:$B$200,MATCH(F173,'Metrics &amp; Formulas'!$A$5:$A$200,0)),IFERROR(INDEX('Projections &amp; Dashboards'!$B$5:$B$200,MATCH(F173,'Projections &amp; Dashboards'!$A$5:$A$200,0)),IFERROR(INDEX(Funções!$O$5:$O$300,MATCH(F173,Funções!$A$5:$A$300,0)),IFERROR(INDEX(Telas!$C$5:$C$400,MATCH(F173,Telas!$A$5:$A$400,0)),IFERROR(INDEX(Roadmap!$D$6:$D$200,MATCH(F173,Roadmap!$A$6:$A$200,0)),IFERROR(INDEX(Modules!$C$5:$C$100,MATCH(F173,Modules!$A$5:$A$100,0)),"NOT FOUND"))))))))</f>
        <v/>
      </c>
      <c r="H173" s="95">
        <f>IF(F173="","",IF(G173="NOT FOUND","—",IFERROR(INDEX(Listas!$J$5:$J$13,MATCH(LEFT(F173,FIND("-",F173)-1),Listas!$I$5:$I$13,0)),"Module / area")))</f>
        <v/>
      </c>
      <c r="I173" s="95">
        <f>IF(AND(B173="",F173=""),"",IF(OR(C173="NOT FOUND",G173="NOT FOUND"),"✖ ID inexistente",IF(B173=F173,"✖ Autorreferência",IF(E173="","✖ Sem relação","✔ OK"))))</f>
        <v/>
      </c>
      <c r="J173" s="93" t="n"/>
    </row>
    <row r="174" ht="15" customHeight="1" s="50">
      <c r="A174" s="93" t="n"/>
      <c r="B174" s="93" t="n"/>
      <c r="C174" s="95">
        <f>IF(B174="","",IFERROR(INDEX('Constants &amp; Enums'!$B$5:$B$200,MATCH(B174,'Constants &amp; Enums'!$A$5:$A$200,0)),IFERROR(INDEX('Metrics &amp; Formulas'!$B$5:$B$200,MATCH(B174,'Metrics &amp; Formulas'!$A$5:$A$200,0)),IFERROR(INDEX('Projections &amp; Dashboards'!$B$5:$B$200,MATCH(B174,'Projections &amp; Dashboards'!$A$5:$A$200,0)),IFERROR(INDEX(Funções!$O$5:$O$300,MATCH(B174,Funções!$A$5:$A$300,0)),IFERROR(INDEX(Telas!$C$5:$C$400,MATCH(B174,Telas!$A$5:$A$400,0)),IFERROR(INDEX(Roadmap!$D$6:$D$200,MATCH(B174,Roadmap!$A$6:$A$200,0)),IFERROR(INDEX(Modules!$C$5:$C$100,MATCH(B174,Modules!$A$5:$A$100,0)),"NOT FOUND"))))))))</f>
        <v/>
      </c>
      <c r="D174" s="95">
        <f>IF(B174="","",IF(C174="NOT FOUND","—",IFERROR(INDEX(Listas!$J$5:$J$13,MATCH(LEFT(B174,FIND("-",B174)-1),Listas!$I$5:$I$13,0)),"Module / area")))</f>
        <v/>
      </c>
      <c r="E174" s="93" t="n"/>
      <c r="F174" s="93" t="n"/>
      <c r="G174" s="95">
        <f>IF(F174="","",IFERROR(INDEX('Constants &amp; Enums'!$B$5:$B$200,MATCH(F174,'Constants &amp; Enums'!$A$5:$A$200,0)),IFERROR(INDEX('Metrics &amp; Formulas'!$B$5:$B$200,MATCH(F174,'Metrics &amp; Formulas'!$A$5:$A$200,0)),IFERROR(INDEX('Projections &amp; Dashboards'!$B$5:$B$200,MATCH(F174,'Projections &amp; Dashboards'!$A$5:$A$200,0)),IFERROR(INDEX(Funções!$O$5:$O$300,MATCH(F174,Funções!$A$5:$A$300,0)),IFERROR(INDEX(Telas!$C$5:$C$400,MATCH(F174,Telas!$A$5:$A$400,0)),IFERROR(INDEX(Roadmap!$D$6:$D$200,MATCH(F174,Roadmap!$A$6:$A$200,0)),IFERROR(INDEX(Modules!$C$5:$C$100,MATCH(F174,Modules!$A$5:$A$100,0)),"NOT FOUND"))))))))</f>
        <v/>
      </c>
      <c r="H174" s="95">
        <f>IF(F174="","",IF(G174="NOT FOUND","—",IFERROR(INDEX(Listas!$J$5:$J$13,MATCH(LEFT(F174,FIND("-",F174)-1),Listas!$I$5:$I$13,0)),"Module / area")))</f>
        <v/>
      </c>
      <c r="I174" s="95">
        <f>IF(AND(B174="",F174=""),"",IF(OR(C174="NOT FOUND",G174="NOT FOUND"),"✖ ID inexistente",IF(B174=F174,"✖ Autorreferência",IF(E174="","✖ Sem relação","✔ OK"))))</f>
        <v/>
      </c>
      <c r="J174" s="93" t="n"/>
    </row>
    <row r="175" ht="15" customHeight="1" s="50">
      <c r="A175" s="93" t="n"/>
      <c r="B175" s="93" t="n"/>
      <c r="C175" s="95">
        <f>IF(B175="","",IFERROR(INDEX('Constants &amp; Enums'!$B$5:$B$200,MATCH(B175,'Constants &amp; Enums'!$A$5:$A$200,0)),IFERROR(INDEX('Metrics &amp; Formulas'!$B$5:$B$200,MATCH(B175,'Metrics &amp; Formulas'!$A$5:$A$200,0)),IFERROR(INDEX('Projections &amp; Dashboards'!$B$5:$B$200,MATCH(B175,'Projections &amp; Dashboards'!$A$5:$A$200,0)),IFERROR(INDEX(Funções!$O$5:$O$300,MATCH(B175,Funções!$A$5:$A$300,0)),IFERROR(INDEX(Telas!$C$5:$C$400,MATCH(B175,Telas!$A$5:$A$400,0)),IFERROR(INDEX(Roadmap!$D$6:$D$200,MATCH(B175,Roadmap!$A$6:$A$200,0)),IFERROR(INDEX(Modules!$C$5:$C$100,MATCH(B175,Modules!$A$5:$A$100,0)),"NOT FOUND"))))))))</f>
        <v/>
      </c>
      <c r="D175" s="95">
        <f>IF(B175="","",IF(C175="NOT FOUND","—",IFERROR(INDEX(Listas!$J$5:$J$13,MATCH(LEFT(B175,FIND("-",B175)-1),Listas!$I$5:$I$13,0)),"Module / area")))</f>
        <v/>
      </c>
      <c r="E175" s="93" t="n"/>
      <c r="F175" s="93" t="n"/>
      <c r="G175" s="95">
        <f>IF(F175="","",IFERROR(INDEX('Constants &amp; Enums'!$B$5:$B$200,MATCH(F175,'Constants &amp; Enums'!$A$5:$A$200,0)),IFERROR(INDEX('Metrics &amp; Formulas'!$B$5:$B$200,MATCH(F175,'Metrics &amp; Formulas'!$A$5:$A$200,0)),IFERROR(INDEX('Projections &amp; Dashboards'!$B$5:$B$200,MATCH(F175,'Projections &amp; Dashboards'!$A$5:$A$200,0)),IFERROR(INDEX(Funções!$O$5:$O$300,MATCH(F175,Funções!$A$5:$A$300,0)),IFERROR(INDEX(Telas!$C$5:$C$400,MATCH(F175,Telas!$A$5:$A$400,0)),IFERROR(INDEX(Roadmap!$D$6:$D$200,MATCH(F175,Roadmap!$A$6:$A$200,0)),IFERROR(INDEX(Modules!$C$5:$C$100,MATCH(F175,Modules!$A$5:$A$100,0)),"NOT FOUND"))))))))</f>
        <v/>
      </c>
      <c r="H175" s="95">
        <f>IF(F175="","",IF(G175="NOT FOUND","—",IFERROR(INDEX(Listas!$J$5:$J$13,MATCH(LEFT(F175,FIND("-",F175)-1),Listas!$I$5:$I$13,0)),"Module / area")))</f>
        <v/>
      </c>
      <c r="I175" s="95">
        <f>IF(AND(B175="",F175=""),"",IF(OR(C175="NOT FOUND",G175="NOT FOUND"),"✖ ID inexistente",IF(B175=F175,"✖ Autorreferência",IF(E175="","✖ Sem relação","✔ OK"))))</f>
        <v/>
      </c>
      <c r="J175" s="93" t="n"/>
    </row>
    <row r="176" ht="15" customHeight="1" s="50">
      <c r="A176" s="93" t="n"/>
      <c r="B176" s="93" t="n"/>
      <c r="C176" s="95">
        <f>IF(B176="","",IFERROR(INDEX('Constants &amp; Enums'!$B$5:$B$200,MATCH(B176,'Constants &amp; Enums'!$A$5:$A$200,0)),IFERROR(INDEX('Metrics &amp; Formulas'!$B$5:$B$200,MATCH(B176,'Metrics &amp; Formulas'!$A$5:$A$200,0)),IFERROR(INDEX('Projections &amp; Dashboards'!$B$5:$B$200,MATCH(B176,'Projections &amp; Dashboards'!$A$5:$A$200,0)),IFERROR(INDEX(Funções!$O$5:$O$300,MATCH(B176,Funções!$A$5:$A$300,0)),IFERROR(INDEX(Telas!$C$5:$C$400,MATCH(B176,Telas!$A$5:$A$400,0)),IFERROR(INDEX(Roadmap!$D$6:$D$200,MATCH(B176,Roadmap!$A$6:$A$200,0)),IFERROR(INDEX(Modules!$C$5:$C$100,MATCH(B176,Modules!$A$5:$A$100,0)),"NOT FOUND"))))))))</f>
        <v/>
      </c>
      <c r="D176" s="95">
        <f>IF(B176="","",IF(C176="NOT FOUND","—",IFERROR(INDEX(Listas!$J$5:$J$13,MATCH(LEFT(B176,FIND("-",B176)-1),Listas!$I$5:$I$13,0)),"Module / area")))</f>
        <v/>
      </c>
      <c r="E176" s="93" t="n"/>
      <c r="F176" s="93" t="n"/>
      <c r="G176" s="95">
        <f>IF(F176="","",IFERROR(INDEX('Constants &amp; Enums'!$B$5:$B$200,MATCH(F176,'Constants &amp; Enums'!$A$5:$A$200,0)),IFERROR(INDEX('Metrics &amp; Formulas'!$B$5:$B$200,MATCH(F176,'Metrics &amp; Formulas'!$A$5:$A$200,0)),IFERROR(INDEX('Projections &amp; Dashboards'!$B$5:$B$200,MATCH(F176,'Projections &amp; Dashboards'!$A$5:$A$200,0)),IFERROR(INDEX(Funções!$O$5:$O$300,MATCH(F176,Funções!$A$5:$A$300,0)),IFERROR(INDEX(Telas!$C$5:$C$400,MATCH(F176,Telas!$A$5:$A$400,0)),IFERROR(INDEX(Roadmap!$D$6:$D$200,MATCH(F176,Roadmap!$A$6:$A$200,0)),IFERROR(INDEX(Modules!$C$5:$C$100,MATCH(F176,Modules!$A$5:$A$100,0)),"NOT FOUND"))))))))</f>
        <v/>
      </c>
      <c r="H176" s="95">
        <f>IF(F176="","",IF(G176="NOT FOUND","—",IFERROR(INDEX(Listas!$J$5:$J$13,MATCH(LEFT(F176,FIND("-",F176)-1),Listas!$I$5:$I$13,0)),"Module / area")))</f>
        <v/>
      </c>
      <c r="I176" s="95">
        <f>IF(AND(B176="",F176=""),"",IF(OR(C176="NOT FOUND",G176="NOT FOUND"),"✖ ID inexistente",IF(B176=F176,"✖ Autorreferência",IF(E176="","✖ Sem relação","✔ OK"))))</f>
        <v/>
      </c>
      <c r="J176" s="93" t="n"/>
    </row>
    <row r="177" ht="15" customHeight="1" s="50">
      <c r="A177" s="93" t="n"/>
      <c r="B177" s="93" t="n"/>
      <c r="C177" s="95">
        <f>IF(B177="","",IFERROR(INDEX('Constants &amp; Enums'!$B$5:$B$200,MATCH(B177,'Constants &amp; Enums'!$A$5:$A$200,0)),IFERROR(INDEX('Metrics &amp; Formulas'!$B$5:$B$200,MATCH(B177,'Metrics &amp; Formulas'!$A$5:$A$200,0)),IFERROR(INDEX('Projections &amp; Dashboards'!$B$5:$B$200,MATCH(B177,'Projections &amp; Dashboards'!$A$5:$A$200,0)),IFERROR(INDEX(Funções!$O$5:$O$300,MATCH(B177,Funções!$A$5:$A$300,0)),IFERROR(INDEX(Telas!$C$5:$C$400,MATCH(B177,Telas!$A$5:$A$400,0)),IFERROR(INDEX(Roadmap!$D$6:$D$200,MATCH(B177,Roadmap!$A$6:$A$200,0)),IFERROR(INDEX(Modules!$C$5:$C$100,MATCH(B177,Modules!$A$5:$A$100,0)),"NOT FOUND"))))))))</f>
        <v/>
      </c>
      <c r="D177" s="95">
        <f>IF(B177="","",IF(C177="NOT FOUND","—",IFERROR(INDEX(Listas!$J$5:$J$13,MATCH(LEFT(B177,FIND("-",B177)-1),Listas!$I$5:$I$13,0)),"Module / area")))</f>
        <v/>
      </c>
      <c r="E177" s="93" t="n"/>
      <c r="F177" s="93" t="n"/>
      <c r="G177" s="95">
        <f>IF(F177="","",IFERROR(INDEX('Constants &amp; Enums'!$B$5:$B$200,MATCH(F177,'Constants &amp; Enums'!$A$5:$A$200,0)),IFERROR(INDEX('Metrics &amp; Formulas'!$B$5:$B$200,MATCH(F177,'Metrics &amp; Formulas'!$A$5:$A$200,0)),IFERROR(INDEX('Projections &amp; Dashboards'!$B$5:$B$200,MATCH(F177,'Projections &amp; Dashboards'!$A$5:$A$200,0)),IFERROR(INDEX(Funções!$O$5:$O$300,MATCH(F177,Funções!$A$5:$A$300,0)),IFERROR(INDEX(Telas!$C$5:$C$400,MATCH(F177,Telas!$A$5:$A$400,0)),IFERROR(INDEX(Roadmap!$D$6:$D$200,MATCH(F177,Roadmap!$A$6:$A$200,0)),IFERROR(INDEX(Modules!$C$5:$C$100,MATCH(F177,Modules!$A$5:$A$100,0)),"NOT FOUND"))))))))</f>
        <v/>
      </c>
      <c r="H177" s="95">
        <f>IF(F177="","",IF(G177="NOT FOUND","—",IFERROR(INDEX(Listas!$J$5:$J$13,MATCH(LEFT(F177,FIND("-",F177)-1),Listas!$I$5:$I$13,0)),"Module / area")))</f>
        <v/>
      </c>
      <c r="I177" s="95">
        <f>IF(AND(B177="",F177=""),"",IF(OR(C177="NOT FOUND",G177="NOT FOUND"),"✖ ID inexistente",IF(B177=F177,"✖ Autorreferência",IF(E177="","✖ Sem relação","✔ OK"))))</f>
        <v/>
      </c>
      <c r="J177" s="93" t="n"/>
    </row>
    <row r="178" ht="15" customHeight="1" s="50">
      <c r="A178" s="93" t="n"/>
      <c r="B178" s="93" t="n"/>
      <c r="C178" s="95">
        <f>IF(B178="","",IFERROR(INDEX('Constants &amp; Enums'!$B$5:$B$200,MATCH(B178,'Constants &amp; Enums'!$A$5:$A$200,0)),IFERROR(INDEX('Metrics &amp; Formulas'!$B$5:$B$200,MATCH(B178,'Metrics &amp; Formulas'!$A$5:$A$200,0)),IFERROR(INDEX('Projections &amp; Dashboards'!$B$5:$B$200,MATCH(B178,'Projections &amp; Dashboards'!$A$5:$A$200,0)),IFERROR(INDEX(Funções!$O$5:$O$300,MATCH(B178,Funções!$A$5:$A$300,0)),IFERROR(INDEX(Telas!$C$5:$C$400,MATCH(B178,Telas!$A$5:$A$400,0)),IFERROR(INDEX(Roadmap!$D$6:$D$200,MATCH(B178,Roadmap!$A$6:$A$200,0)),IFERROR(INDEX(Modules!$C$5:$C$100,MATCH(B178,Modules!$A$5:$A$100,0)),"NOT FOUND"))))))))</f>
        <v/>
      </c>
      <c r="D178" s="95">
        <f>IF(B178="","",IF(C178="NOT FOUND","—",IFERROR(INDEX(Listas!$J$5:$J$13,MATCH(LEFT(B178,FIND("-",B178)-1),Listas!$I$5:$I$13,0)),"Module / area")))</f>
        <v/>
      </c>
      <c r="E178" s="93" t="n"/>
      <c r="F178" s="93" t="n"/>
      <c r="G178" s="95">
        <f>IF(F178="","",IFERROR(INDEX('Constants &amp; Enums'!$B$5:$B$200,MATCH(F178,'Constants &amp; Enums'!$A$5:$A$200,0)),IFERROR(INDEX('Metrics &amp; Formulas'!$B$5:$B$200,MATCH(F178,'Metrics &amp; Formulas'!$A$5:$A$200,0)),IFERROR(INDEX('Projections &amp; Dashboards'!$B$5:$B$200,MATCH(F178,'Projections &amp; Dashboards'!$A$5:$A$200,0)),IFERROR(INDEX(Funções!$O$5:$O$300,MATCH(F178,Funções!$A$5:$A$300,0)),IFERROR(INDEX(Telas!$C$5:$C$400,MATCH(F178,Telas!$A$5:$A$400,0)),IFERROR(INDEX(Roadmap!$D$6:$D$200,MATCH(F178,Roadmap!$A$6:$A$200,0)),IFERROR(INDEX(Modules!$C$5:$C$100,MATCH(F178,Modules!$A$5:$A$100,0)),"NOT FOUND"))))))))</f>
        <v/>
      </c>
      <c r="H178" s="95">
        <f>IF(F178="","",IF(G178="NOT FOUND","—",IFERROR(INDEX(Listas!$J$5:$J$13,MATCH(LEFT(F178,FIND("-",F178)-1),Listas!$I$5:$I$13,0)),"Module / area")))</f>
        <v/>
      </c>
      <c r="I178" s="95">
        <f>IF(AND(B178="",F178=""),"",IF(OR(C178="NOT FOUND",G178="NOT FOUND"),"✖ ID inexistente",IF(B178=F178,"✖ Autorreferência",IF(E178="","✖ Sem relação","✔ OK"))))</f>
        <v/>
      </c>
      <c r="J178" s="93" t="n"/>
    </row>
    <row r="179" ht="15" customHeight="1" s="50">
      <c r="A179" s="93" t="n"/>
      <c r="B179" s="93" t="n"/>
      <c r="C179" s="95">
        <f>IF(B179="","",IFERROR(INDEX('Constants &amp; Enums'!$B$5:$B$200,MATCH(B179,'Constants &amp; Enums'!$A$5:$A$200,0)),IFERROR(INDEX('Metrics &amp; Formulas'!$B$5:$B$200,MATCH(B179,'Metrics &amp; Formulas'!$A$5:$A$200,0)),IFERROR(INDEX('Projections &amp; Dashboards'!$B$5:$B$200,MATCH(B179,'Projections &amp; Dashboards'!$A$5:$A$200,0)),IFERROR(INDEX(Funções!$O$5:$O$300,MATCH(B179,Funções!$A$5:$A$300,0)),IFERROR(INDEX(Telas!$C$5:$C$400,MATCH(B179,Telas!$A$5:$A$400,0)),IFERROR(INDEX(Roadmap!$D$6:$D$200,MATCH(B179,Roadmap!$A$6:$A$200,0)),IFERROR(INDEX(Modules!$C$5:$C$100,MATCH(B179,Modules!$A$5:$A$100,0)),"NOT FOUND"))))))))</f>
        <v/>
      </c>
      <c r="D179" s="95">
        <f>IF(B179="","",IF(C179="NOT FOUND","—",IFERROR(INDEX(Listas!$J$5:$J$13,MATCH(LEFT(B179,FIND("-",B179)-1),Listas!$I$5:$I$13,0)),"Module / area")))</f>
        <v/>
      </c>
      <c r="E179" s="93" t="n"/>
      <c r="F179" s="93" t="n"/>
      <c r="G179" s="95">
        <f>IF(F179="","",IFERROR(INDEX('Constants &amp; Enums'!$B$5:$B$200,MATCH(F179,'Constants &amp; Enums'!$A$5:$A$200,0)),IFERROR(INDEX('Metrics &amp; Formulas'!$B$5:$B$200,MATCH(F179,'Metrics &amp; Formulas'!$A$5:$A$200,0)),IFERROR(INDEX('Projections &amp; Dashboards'!$B$5:$B$200,MATCH(F179,'Projections &amp; Dashboards'!$A$5:$A$200,0)),IFERROR(INDEX(Funções!$O$5:$O$300,MATCH(F179,Funções!$A$5:$A$300,0)),IFERROR(INDEX(Telas!$C$5:$C$400,MATCH(F179,Telas!$A$5:$A$400,0)),IFERROR(INDEX(Roadmap!$D$6:$D$200,MATCH(F179,Roadmap!$A$6:$A$200,0)),IFERROR(INDEX(Modules!$C$5:$C$100,MATCH(F179,Modules!$A$5:$A$100,0)),"NOT FOUND"))))))))</f>
        <v/>
      </c>
      <c r="H179" s="95">
        <f>IF(F179="","",IF(G179="NOT FOUND","—",IFERROR(INDEX(Listas!$J$5:$J$13,MATCH(LEFT(F179,FIND("-",F179)-1),Listas!$I$5:$I$13,0)),"Module / area")))</f>
        <v/>
      </c>
      <c r="I179" s="95">
        <f>IF(AND(B179="",F179=""),"",IF(OR(C179="NOT FOUND",G179="NOT FOUND"),"✖ ID inexistente",IF(B179=F179,"✖ Autorreferência",IF(E179="","✖ Sem relação","✔ OK"))))</f>
        <v/>
      </c>
      <c r="J179" s="93" t="n"/>
    </row>
    <row r="180" ht="15" customHeight="1" s="50">
      <c r="A180" s="93" t="n"/>
      <c r="B180" s="93" t="n"/>
      <c r="C180" s="95">
        <f>IF(B180="","",IFERROR(INDEX('Constants &amp; Enums'!$B$5:$B$200,MATCH(B180,'Constants &amp; Enums'!$A$5:$A$200,0)),IFERROR(INDEX('Metrics &amp; Formulas'!$B$5:$B$200,MATCH(B180,'Metrics &amp; Formulas'!$A$5:$A$200,0)),IFERROR(INDEX('Projections &amp; Dashboards'!$B$5:$B$200,MATCH(B180,'Projections &amp; Dashboards'!$A$5:$A$200,0)),IFERROR(INDEX(Funções!$O$5:$O$300,MATCH(B180,Funções!$A$5:$A$300,0)),IFERROR(INDEX(Telas!$C$5:$C$400,MATCH(B180,Telas!$A$5:$A$400,0)),IFERROR(INDEX(Roadmap!$D$6:$D$200,MATCH(B180,Roadmap!$A$6:$A$200,0)),IFERROR(INDEX(Modules!$C$5:$C$100,MATCH(B180,Modules!$A$5:$A$100,0)),"NOT FOUND"))))))))</f>
        <v/>
      </c>
      <c r="D180" s="95">
        <f>IF(B180="","",IF(C180="NOT FOUND","—",IFERROR(INDEX(Listas!$J$5:$J$13,MATCH(LEFT(B180,FIND("-",B180)-1),Listas!$I$5:$I$13,0)),"Module / area")))</f>
        <v/>
      </c>
      <c r="E180" s="93" t="n"/>
      <c r="F180" s="93" t="n"/>
      <c r="G180" s="95">
        <f>IF(F180="","",IFERROR(INDEX('Constants &amp; Enums'!$B$5:$B$200,MATCH(F180,'Constants &amp; Enums'!$A$5:$A$200,0)),IFERROR(INDEX('Metrics &amp; Formulas'!$B$5:$B$200,MATCH(F180,'Metrics &amp; Formulas'!$A$5:$A$200,0)),IFERROR(INDEX('Projections &amp; Dashboards'!$B$5:$B$200,MATCH(F180,'Projections &amp; Dashboards'!$A$5:$A$200,0)),IFERROR(INDEX(Funções!$O$5:$O$300,MATCH(F180,Funções!$A$5:$A$300,0)),IFERROR(INDEX(Telas!$C$5:$C$400,MATCH(F180,Telas!$A$5:$A$400,0)),IFERROR(INDEX(Roadmap!$D$6:$D$200,MATCH(F180,Roadmap!$A$6:$A$200,0)),IFERROR(INDEX(Modules!$C$5:$C$100,MATCH(F180,Modules!$A$5:$A$100,0)),"NOT FOUND"))))))))</f>
        <v/>
      </c>
      <c r="H180" s="95">
        <f>IF(F180="","",IF(G180="NOT FOUND","—",IFERROR(INDEX(Listas!$J$5:$J$13,MATCH(LEFT(F180,FIND("-",F180)-1),Listas!$I$5:$I$13,0)),"Module / area")))</f>
        <v/>
      </c>
      <c r="I180" s="95">
        <f>IF(AND(B180="",F180=""),"",IF(OR(C180="NOT FOUND",G180="NOT FOUND"),"✖ ID inexistente",IF(B180=F180,"✖ Autorreferência",IF(E180="","✖ Sem relação","✔ OK"))))</f>
        <v/>
      </c>
      <c r="J180" s="93" t="n"/>
    </row>
    <row r="181" ht="15" customHeight="1" s="50">
      <c r="A181" s="93" t="n"/>
      <c r="B181" s="93" t="n"/>
      <c r="C181" s="95">
        <f>IF(B181="","",IFERROR(INDEX('Constants &amp; Enums'!$B$5:$B$200,MATCH(B181,'Constants &amp; Enums'!$A$5:$A$200,0)),IFERROR(INDEX('Metrics &amp; Formulas'!$B$5:$B$200,MATCH(B181,'Metrics &amp; Formulas'!$A$5:$A$200,0)),IFERROR(INDEX('Projections &amp; Dashboards'!$B$5:$B$200,MATCH(B181,'Projections &amp; Dashboards'!$A$5:$A$200,0)),IFERROR(INDEX(Funções!$O$5:$O$300,MATCH(B181,Funções!$A$5:$A$300,0)),IFERROR(INDEX(Telas!$C$5:$C$400,MATCH(B181,Telas!$A$5:$A$400,0)),IFERROR(INDEX(Roadmap!$D$6:$D$200,MATCH(B181,Roadmap!$A$6:$A$200,0)),IFERROR(INDEX(Modules!$C$5:$C$100,MATCH(B181,Modules!$A$5:$A$100,0)),"NOT FOUND"))))))))</f>
        <v/>
      </c>
      <c r="D181" s="95">
        <f>IF(B181="","",IF(C181="NOT FOUND","—",IFERROR(INDEX(Listas!$J$5:$J$13,MATCH(LEFT(B181,FIND("-",B181)-1),Listas!$I$5:$I$13,0)),"Module / area")))</f>
        <v/>
      </c>
      <c r="E181" s="93" t="n"/>
      <c r="F181" s="93" t="n"/>
      <c r="G181" s="95">
        <f>IF(F181="","",IFERROR(INDEX('Constants &amp; Enums'!$B$5:$B$200,MATCH(F181,'Constants &amp; Enums'!$A$5:$A$200,0)),IFERROR(INDEX('Metrics &amp; Formulas'!$B$5:$B$200,MATCH(F181,'Metrics &amp; Formulas'!$A$5:$A$200,0)),IFERROR(INDEX('Projections &amp; Dashboards'!$B$5:$B$200,MATCH(F181,'Projections &amp; Dashboards'!$A$5:$A$200,0)),IFERROR(INDEX(Funções!$O$5:$O$300,MATCH(F181,Funções!$A$5:$A$300,0)),IFERROR(INDEX(Telas!$C$5:$C$400,MATCH(F181,Telas!$A$5:$A$400,0)),IFERROR(INDEX(Roadmap!$D$6:$D$200,MATCH(F181,Roadmap!$A$6:$A$200,0)),IFERROR(INDEX(Modules!$C$5:$C$100,MATCH(F181,Modules!$A$5:$A$100,0)),"NOT FOUND"))))))))</f>
        <v/>
      </c>
      <c r="H181" s="95">
        <f>IF(F181="","",IF(G181="NOT FOUND","—",IFERROR(INDEX(Listas!$J$5:$J$13,MATCH(LEFT(F181,FIND("-",F181)-1),Listas!$I$5:$I$13,0)),"Module / area")))</f>
        <v/>
      </c>
      <c r="I181" s="95">
        <f>IF(AND(B181="",F181=""),"",IF(OR(C181="NOT FOUND",G181="NOT FOUND"),"✖ ID inexistente",IF(B181=F181,"✖ Autorreferência",IF(E181="","✖ Sem relação","✔ OK"))))</f>
        <v/>
      </c>
      <c r="J181" s="93" t="n"/>
    </row>
    <row r="182" ht="15" customHeight="1" s="50">
      <c r="A182" s="93" t="n"/>
      <c r="B182" s="93" t="n"/>
      <c r="C182" s="95">
        <f>IF(B182="","",IFERROR(INDEX('Constants &amp; Enums'!$B$5:$B$200,MATCH(B182,'Constants &amp; Enums'!$A$5:$A$200,0)),IFERROR(INDEX('Metrics &amp; Formulas'!$B$5:$B$200,MATCH(B182,'Metrics &amp; Formulas'!$A$5:$A$200,0)),IFERROR(INDEX('Projections &amp; Dashboards'!$B$5:$B$200,MATCH(B182,'Projections &amp; Dashboards'!$A$5:$A$200,0)),IFERROR(INDEX(Funções!$O$5:$O$300,MATCH(B182,Funções!$A$5:$A$300,0)),IFERROR(INDEX(Telas!$C$5:$C$400,MATCH(B182,Telas!$A$5:$A$400,0)),IFERROR(INDEX(Roadmap!$D$6:$D$200,MATCH(B182,Roadmap!$A$6:$A$200,0)),IFERROR(INDEX(Modules!$C$5:$C$100,MATCH(B182,Modules!$A$5:$A$100,0)),"NOT FOUND"))))))))</f>
        <v/>
      </c>
      <c r="D182" s="95">
        <f>IF(B182="","",IF(C182="NOT FOUND","—",IFERROR(INDEX(Listas!$J$5:$J$13,MATCH(LEFT(B182,FIND("-",B182)-1),Listas!$I$5:$I$13,0)),"Module / area")))</f>
        <v/>
      </c>
      <c r="E182" s="93" t="n"/>
      <c r="F182" s="93" t="n"/>
      <c r="G182" s="95">
        <f>IF(F182="","",IFERROR(INDEX('Constants &amp; Enums'!$B$5:$B$200,MATCH(F182,'Constants &amp; Enums'!$A$5:$A$200,0)),IFERROR(INDEX('Metrics &amp; Formulas'!$B$5:$B$200,MATCH(F182,'Metrics &amp; Formulas'!$A$5:$A$200,0)),IFERROR(INDEX('Projections &amp; Dashboards'!$B$5:$B$200,MATCH(F182,'Projections &amp; Dashboards'!$A$5:$A$200,0)),IFERROR(INDEX(Funções!$O$5:$O$300,MATCH(F182,Funções!$A$5:$A$300,0)),IFERROR(INDEX(Telas!$C$5:$C$400,MATCH(F182,Telas!$A$5:$A$400,0)),IFERROR(INDEX(Roadmap!$D$6:$D$200,MATCH(F182,Roadmap!$A$6:$A$200,0)),IFERROR(INDEX(Modules!$C$5:$C$100,MATCH(F182,Modules!$A$5:$A$100,0)),"NOT FOUND"))))))))</f>
        <v/>
      </c>
      <c r="H182" s="95">
        <f>IF(F182="","",IF(G182="NOT FOUND","—",IFERROR(INDEX(Listas!$J$5:$J$13,MATCH(LEFT(F182,FIND("-",F182)-1),Listas!$I$5:$I$13,0)),"Module / area")))</f>
        <v/>
      </c>
      <c r="I182" s="95">
        <f>IF(AND(B182="",F182=""),"",IF(OR(C182="NOT FOUND",G182="NOT FOUND"),"✖ ID inexistente",IF(B182=F182,"✖ Autorreferência",IF(E182="","✖ Sem relação","✔ OK"))))</f>
        <v/>
      </c>
      <c r="J182" s="93" t="n"/>
    </row>
    <row r="183" ht="15" customHeight="1" s="50">
      <c r="A183" s="93" t="n"/>
      <c r="B183" s="93" t="n"/>
      <c r="C183" s="95">
        <f>IF(B183="","",IFERROR(INDEX('Constants &amp; Enums'!$B$5:$B$200,MATCH(B183,'Constants &amp; Enums'!$A$5:$A$200,0)),IFERROR(INDEX('Metrics &amp; Formulas'!$B$5:$B$200,MATCH(B183,'Metrics &amp; Formulas'!$A$5:$A$200,0)),IFERROR(INDEX('Projections &amp; Dashboards'!$B$5:$B$200,MATCH(B183,'Projections &amp; Dashboards'!$A$5:$A$200,0)),IFERROR(INDEX(Funções!$O$5:$O$300,MATCH(B183,Funções!$A$5:$A$300,0)),IFERROR(INDEX(Telas!$C$5:$C$400,MATCH(B183,Telas!$A$5:$A$400,0)),IFERROR(INDEX(Roadmap!$D$6:$D$200,MATCH(B183,Roadmap!$A$6:$A$200,0)),IFERROR(INDEX(Modules!$C$5:$C$100,MATCH(B183,Modules!$A$5:$A$100,0)),"NOT FOUND"))))))))</f>
        <v/>
      </c>
      <c r="D183" s="95">
        <f>IF(B183="","",IF(C183="NOT FOUND","—",IFERROR(INDEX(Listas!$J$5:$J$13,MATCH(LEFT(B183,FIND("-",B183)-1),Listas!$I$5:$I$13,0)),"Module / area")))</f>
        <v/>
      </c>
      <c r="E183" s="93" t="n"/>
      <c r="F183" s="93" t="n"/>
      <c r="G183" s="95">
        <f>IF(F183="","",IFERROR(INDEX('Constants &amp; Enums'!$B$5:$B$200,MATCH(F183,'Constants &amp; Enums'!$A$5:$A$200,0)),IFERROR(INDEX('Metrics &amp; Formulas'!$B$5:$B$200,MATCH(F183,'Metrics &amp; Formulas'!$A$5:$A$200,0)),IFERROR(INDEX('Projections &amp; Dashboards'!$B$5:$B$200,MATCH(F183,'Projections &amp; Dashboards'!$A$5:$A$200,0)),IFERROR(INDEX(Funções!$O$5:$O$300,MATCH(F183,Funções!$A$5:$A$300,0)),IFERROR(INDEX(Telas!$C$5:$C$400,MATCH(F183,Telas!$A$5:$A$400,0)),IFERROR(INDEX(Roadmap!$D$6:$D$200,MATCH(F183,Roadmap!$A$6:$A$200,0)),IFERROR(INDEX(Modules!$C$5:$C$100,MATCH(F183,Modules!$A$5:$A$100,0)),"NOT FOUND"))))))))</f>
        <v/>
      </c>
      <c r="H183" s="95">
        <f>IF(F183="","",IF(G183="NOT FOUND","—",IFERROR(INDEX(Listas!$J$5:$J$13,MATCH(LEFT(F183,FIND("-",F183)-1),Listas!$I$5:$I$13,0)),"Module / area")))</f>
        <v/>
      </c>
      <c r="I183" s="95">
        <f>IF(AND(B183="",F183=""),"",IF(OR(C183="NOT FOUND",G183="NOT FOUND"),"✖ ID inexistente",IF(B183=F183,"✖ Autorreferência",IF(E183="","✖ Sem relação","✔ OK"))))</f>
        <v/>
      </c>
      <c r="J183" s="93" t="n"/>
    </row>
    <row r="184" ht="15" customHeight="1" s="50">
      <c r="A184" s="93" t="n"/>
      <c r="B184" s="93" t="n"/>
      <c r="C184" s="95">
        <f>IF(B184="","",IFERROR(INDEX('Constants &amp; Enums'!$B$5:$B$200,MATCH(B184,'Constants &amp; Enums'!$A$5:$A$200,0)),IFERROR(INDEX('Metrics &amp; Formulas'!$B$5:$B$200,MATCH(B184,'Metrics &amp; Formulas'!$A$5:$A$200,0)),IFERROR(INDEX('Projections &amp; Dashboards'!$B$5:$B$200,MATCH(B184,'Projections &amp; Dashboards'!$A$5:$A$200,0)),IFERROR(INDEX(Funções!$O$5:$O$300,MATCH(B184,Funções!$A$5:$A$300,0)),IFERROR(INDEX(Telas!$C$5:$C$400,MATCH(B184,Telas!$A$5:$A$400,0)),IFERROR(INDEX(Roadmap!$D$6:$D$200,MATCH(B184,Roadmap!$A$6:$A$200,0)),IFERROR(INDEX(Modules!$C$5:$C$100,MATCH(B184,Modules!$A$5:$A$100,0)),"NOT FOUND"))))))))</f>
        <v/>
      </c>
      <c r="D184" s="95">
        <f>IF(B184="","",IF(C184="NOT FOUND","—",IFERROR(INDEX(Listas!$J$5:$J$13,MATCH(LEFT(B184,FIND("-",B184)-1),Listas!$I$5:$I$13,0)),"Module / area")))</f>
        <v/>
      </c>
      <c r="E184" s="93" t="n"/>
      <c r="F184" s="93" t="n"/>
      <c r="G184" s="95">
        <f>IF(F184="","",IFERROR(INDEX('Constants &amp; Enums'!$B$5:$B$200,MATCH(F184,'Constants &amp; Enums'!$A$5:$A$200,0)),IFERROR(INDEX('Metrics &amp; Formulas'!$B$5:$B$200,MATCH(F184,'Metrics &amp; Formulas'!$A$5:$A$200,0)),IFERROR(INDEX('Projections &amp; Dashboards'!$B$5:$B$200,MATCH(F184,'Projections &amp; Dashboards'!$A$5:$A$200,0)),IFERROR(INDEX(Funções!$O$5:$O$300,MATCH(F184,Funções!$A$5:$A$300,0)),IFERROR(INDEX(Telas!$C$5:$C$400,MATCH(F184,Telas!$A$5:$A$400,0)),IFERROR(INDEX(Roadmap!$D$6:$D$200,MATCH(F184,Roadmap!$A$6:$A$200,0)),IFERROR(INDEX(Modules!$C$5:$C$100,MATCH(F184,Modules!$A$5:$A$100,0)),"NOT FOUND"))))))))</f>
        <v/>
      </c>
      <c r="H184" s="95">
        <f>IF(F184="","",IF(G184="NOT FOUND","—",IFERROR(INDEX(Listas!$J$5:$J$13,MATCH(LEFT(F184,FIND("-",F184)-1),Listas!$I$5:$I$13,0)),"Module / area")))</f>
        <v/>
      </c>
      <c r="I184" s="95">
        <f>IF(AND(B184="",F184=""),"",IF(OR(C184="NOT FOUND",G184="NOT FOUND"),"✖ ID inexistente",IF(B184=F184,"✖ Autorreferência",IF(E184="","✖ Sem relação","✔ OK"))))</f>
        <v/>
      </c>
      <c r="J184" s="93" t="n"/>
    </row>
    <row r="185" ht="15" customHeight="1" s="50">
      <c r="A185" s="93" t="n"/>
      <c r="B185" s="93" t="n"/>
      <c r="C185" s="95">
        <f>IF(B185="","",IFERROR(INDEX('Constants &amp; Enums'!$B$5:$B$200,MATCH(B185,'Constants &amp; Enums'!$A$5:$A$200,0)),IFERROR(INDEX('Metrics &amp; Formulas'!$B$5:$B$200,MATCH(B185,'Metrics &amp; Formulas'!$A$5:$A$200,0)),IFERROR(INDEX('Projections &amp; Dashboards'!$B$5:$B$200,MATCH(B185,'Projections &amp; Dashboards'!$A$5:$A$200,0)),IFERROR(INDEX(Funções!$O$5:$O$300,MATCH(B185,Funções!$A$5:$A$300,0)),IFERROR(INDEX(Telas!$C$5:$C$400,MATCH(B185,Telas!$A$5:$A$400,0)),IFERROR(INDEX(Roadmap!$D$6:$D$200,MATCH(B185,Roadmap!$A$6:$A$200,0)),IFERROR(INDEX(Modules!$C$5:$C$100,MATCH(B185,Modules!$A$5:$A$100,0)),"NOT FOUND"))))))))</f>
        <v/>
      </c>
      <c r="D185" s="95">
        <f>IF(B185="","",IF(C185="NOT FOUND","—",IFERROR(INDEX(Listas!$J$5:$J$13,MATCH(LEFT(B185,FIND("-",B185)-1),Listas!$I$5:$I$13,0)),"Module / area")))</f>
        <v/>
      </c>
      <c r="E185" s="93" t="n"/>
      <c r="F185" s="93" t="n"/>
      <c r="G185" s="95">
        <f>IF(F185="","",IFERROR(INDEX('Constants &amp; Enums'!$B$5:$B$200,MATCH(F185,'Constants &amp; Enums'!$A$5:$A$200,0)),IFERROR(INDEX('Metrics &amp; Formulas'!$B$5:$B$200,MATCH(F185,'Metrics &amp; Formulas'!$A$5:$A$200,0)),IFERROR(INDEX('Projections &amp; Dashboards'!$B$5:$B$200,MATCH(F185,'Projections &amp; Dashboards'!$A$5:$A$200,0)),IFERROR(INDEX(Funções!$O$5:$O$300,MATCH(F185,Funções!$A$5:$A$300,0)),IFERROR(INDEX(Telas!$C$5:$C$400,MATCH(F185,Telas!$A$5:$A$400,0)),IFERROR(INDEX(Roadmap!$D$6:$D$200,MATCH(F185,Roadmap!$A$6:$A$200,0)),IFERROR(INDEX(Modules!$C$5:$C$100,MATCH(F185,Modules!$A$5:$A$100,0)),"NOT FOUND"))))))))</f>
        <v/>
      </c>
      <c r="H185" s="95">
        <f>IF(F185="","",IF(G185="NOT FOUND","—",IFERROR(INDEX(Listas!$J$5:$J$13,MATCH(LEFT(F185,FIND("-",F185)-1),Listas!$I$5:$I$13,0)),"Module / area")))</f>
        <v/>
      </c>
      <c r="I185" s="95">
        <f>IF(AND(B185="",F185=""),"",IF(OR(C185="NOT FOUND",G185="NOT FOUND"),"✖ ID inexistente",IF(B185=F185,"✖ Autorreferência",IF(E185="","✖ Sem relação","✔ OK"))))</f>
        <v/>
      </c>
      <c r="J185" s="93" t="n"/>
    </row>
    <row r="186" ht="15" customHeight="1" s="50">
      <c r="A186" s="93" t="n"/>
      <c r="B186" s="93" t="n"/>
      <c r="C186" s="95">
        <f>IF(B186="","",IFERROR(INDEX('Constants &amp; Enums'!$B$5:$B$200,MATCH(B186,'Constants &amp; Enums'!$A$5:$A$200,0)),IFERROR(INDEX('Metrics &amp; Formulas'!$B$5:$B$200,MATCH(B186,'Metrics &amp; Formulas'!$A$5:$A$200,0)),IFERROR(INDEX('Projections &amp; Dashboards'!$B$5:$B$200,MATCH(B186,'Projections &amp; Dashboards'!$A$5:$A$200,0)),IFERROR(INDEX(Funções!$O$5:$O$300,MATCH(B186,Funções!$A$5:$A$300,0)),IFERROR(INDEX(Telas!$C$5:$C$400,MATCH(B186,Telas!$A$5:$A$400,0)),IFERROR(INDEX(Roadmap!$D$6:$D$200,MATCH(B186,Roadmap!$A$6:$A$200,0)),IFERROR(INDEX(Modules!$C$5:$C$100,MATCH(B186,Modules!$A$5:$A$100,0)),"NOT FOUND"))))))))</f>
        <v/>
      </c>
      <c r="D186" s="95">
        <f>IF(B186="","",IF(C186="NOT FOUND","—",IFERROR(INDEX(Listas!$J$5:$J$13,MATCH(LEFT(B186,FIND("-",B186)-1),Listas!$I$5:$I$13,0)),"Module / area")))</f>
        <v/>
      </c>
      <c r="E186" s="93" t="n"/>
      <c r="F186" s="93" t="n"/>
      <c r="G186" s="95">
        <f>IF(F186="","",IFERROR(INDEX('Constants &amp; Enums'!$B$5:$B$200,MATCH(F186,'Constants &amp; Enums'!$A$5:$A$200,0)),IFERROR(INDEX('Metrics &amp; Formulas'!$B$5:$B$200,MATCH(F186,'Metrics &amp; Formulas'!$A$5:$A$200,0)),IFERROR(INDEX('Projections &amp; Dashboards'!$B$5:$B$200,MATCH(F186,'Projections &amp; Dashboards'!$A$5:$A$200,0)),IFERROR(INDEX(Funções!$O$5:$O$300,MATCH(F186,Funções!$A$5:$A$300,0)),IFERROR(INDEX(Telas!$C$5:$C$400,MATCH(F186,Telas!$A$5:$A$400,0)),IFERROR(INDEX(Roadmap!$D$6:$D$200,MATCH(F186,Roadmap!$A$6:$A$200,0)),IFERROR(INDEX(Modules!$C$5:$C$100,MATCH(F186,Modules!$A$5:$A$100,0)),"NOT FOUND"))))))))</f>
        <v/>
      </c>
      <c r="H186" s="95">
        <f>IF(F186="","",IF(G186="NOT FOUND","—",IFERROR(INDEX(Listas!$J$5:$J$13,MATCH(LEFT(F186,FIND("-",F186)-1),Listas!$I$5:$I$13,0)),"Module / area")))</f>
        <v/>
      </c>
      <c r="I186" s="95">
        <f>IF(AND(B186="",F186=""),"",IF(OR(C186="NOT FOUND",G186="NOT FOUND"),"✖ ID inexistente",IF(B186=F186,"✖ Autorreferência",IF(E186="","✖ Sem relação","✔ OK"))))</f>
        <v/>
      </c>
      <c r="J186" s="93" t="n"/>
    </row>
    <row r="187" ht="15" customHeight="1" s="50">
      <c r="A187" s="93" t="n"/>
      <c r="B187" s="93" t="n"/>
      <c r="C187" s="95">
        <f>IF(B187="","",IFERROR(INDEX('Constants &amp; Enums'!$B$5:$B$200,MATCH(B187,'Constants &amp; Enums'!$A$5:$A$200,0)),IFERROR(INDEX('Metrics &amp; Formulas'!$B$5:$B$200,MATCH(B187,'Metrics &amp; Formulas'!$A$5:$A$200,0)),IFERROR(INDEX('Projections &amp; Dashboards'!$B$5:$B$200,MATCH(B187,'Projections &amp; Dashboards'!$A$5:$A$200,0)),IFERROR(INDEX(Funções!$O$5:$O$300,MATCH(B187,Funções!$A$5:$A$300,0)),IFERROR(INDEX(Telas!$C$5:$C$400,MATCH(B187,Telas!$A$5:$A$400,0)),IFERROR(INDEX(Roadmap!$D$6:$D$200,MATCH(B187,Roadmap!$A$6:$A$200,0)),IFERROR(INDEX(Modules!$C$5:$C$100,MATCH(B187,Modules!$A$5:$A$100,0)),"NOT FOUND"))))))))</f>
        <v/>
      </c>
      <c r="D187" s="95">
        <f>IF(B187="","",IF(C187="NOT FOUND","—",IFERROR(INDEX(Listas!$J$5:$J$13,MATCH(LEFT(B187,FIND("-",B187)-1),Listas!$I$5:$I$13,0)),"Module / area")))</f>
        <v/>
      </c>
      <c r="E187" s="93" t="n"/>
      <c r="F187" s="93" t="n"/>
      <c r="G187" s="95">
        <f>IF(F187="","",IFERROR(INDEX('Constants &amp; Enums'!$B$5:$B$200,MATCH(F187,'Constants &amp; Enums'!$A$5:$A$200,0)),IFERROR(INDEX('Metrics &amp; Formulas'!$B$5:$B$200,MATCH(F187,'Metrics &amp; Formulas'!$A$5:$A$200,0)),IFERROR(INDEX('Projections &amp; Dashboards'!$B$5:$B$200,MATCH(F187,'Projections &amp; Dashboards'!$A$5:$A$200,0)),IFERROR(INDEX(Funções!$O$5:$O$300,MATCH(F187,Funções!$A$5:$A$300,0)),IFERROR(INDEX(Telas!$C$5:$C$400,MATCH(F187,Telas!$A$5:$A$400,0)),IFERROR(INDEX(Roadmap!$D$6:$D$200,MATCH(F187,Roadmap!$A$6:$A$200,0)),IFERROR(INDEX(Modules!$C$5:$C$100,MATCH(F187,Modules!$A$5:$A$100,0)),"NOT FOUND"))))))))</f>
        <v/>
      </c>
      <c r="H187" s="95">
        <f>IF(F187="","",IF(G187="NOT FOUND","—",IFERROR(INDEX(Listas!$J$5:$J$13,MATCH(LEFT(F187,FIND("-",F187)-1),Listas!$I$5:$I$13,0)),"Module / area")))</f>
        <v/>
      </c>
      <c r="I187" s="95">
        <f>IF(AND(B187="",F187=""),"",IF(OR(C187="NOT FOUND",G187="NOT FOUND"),"✖ ID inexistente",IF(B187=F187,"✖ Autorreferência",IF(E187="","✖ Sem relação","✔ OK"))))</f>
        <v/>
      </c>
      <c r="J187" s="93" t="n"/>
    </row>
    <row r="188" ht="15" customHeight="1" s="50">
      <c r="A188" s="93" t="n"/>
      <c r="B188" s="93" t="n"/>
      <c r="C188" s="95">
        <f>IF(B188="","",IFERROR(INDEX('Constants &amp; Enums'!$B$5:$B$200,MATCH(B188,'Constants &amp; Enums'!$A$5:$A$200,0)),IFERROR(INDEX('Metrics &amp; Formulas'!$B$5:$B$200,MATCH(B188,'Metrics &amp; Formulas'!$A$5:$A$200,0)),IFERROR(INDEX('Projections &amp; Dashboards'!$B$5:$B$200,MATCH(B188,'Projections &amp; Dashboards'!$A$5:$A$200,0)),IFERROR(INDEX(Funções!$O$5:$O$300,MATCH(B188,Funções!$A$5:$A$300,0)),IFERROR(INDEX(Telas!$C$5:$C$400,MATCH(B188,Telas!$A$5:$A$400,0)),IFERROR(INDEX(Roadmap!$D$6:$D$200,MATCH(B188,Roadmap!$A$6:$A$200,0)),IFERROR(INDEX(Modules!$C$5:$C$100,MATCH(B188,Modules!$A$5:$A$100,0)),"NOT FOUND"))))))))</f>
        <v/>
      </c>
      <c r="D188" s="95">
        <f>IF(B188="","",IF(C188="NOT FOUND","—",IFERROR(INDEX(Listas!$J$5:$J$13,MATCH(LEFT(B188,FIND("-",B188)-1),Listas!$I$5:$I$13,0)),"Module / area")))</f>
        <v/>
      </c>
      <c r="E188" s="93" t="n"/>
      <c r="F188" s="93" t="n"/>
      <c r="G188" s="95">
        <f>IF(F188="","",IFERROR(INDEX('Constants &amp; Enums'!$B$5:$B$200,MATCH(F188,'Constants &amp; Enums'!$A$5:$A$200,0)),IFERROR(INDEX('Metrics &amp; Formulas'!$B$5:$B$200,MATCH(F188,'Metrics &amp; Formulas'!$A$5:$A$200,0)),IFERROR(INDEX('Projections &amp; Dashboards'!$B$5:$B$200,MATCH(F188,'Projections &amp; Dashboards'!$A$5:$A$200,0)),IFERROR(INDEX(Funções!$O$5:$O$300,MATCH(F188,Funções!$A$5:$A$300,0)),IFERROR(INDEX(Telas!$C$5:$C$400,MATCH(F188,Telas!$A$5:$A$400,0)),IFERROR(INDEX(Roadmap!$D$6:$D$200,MATCH(F188,Roadmap!$A$6:$A$200,0)),IFERROR(INDEX(Modules!$C$5:$C$100,MATCH(F188,Modules!$A$5:$A$100,0)),"NOT FOUND"))))))))</f>
        <v/>
      </c>
      <c r="H188" s="95">
        <f>IF(F188="","",IF(G188="NOT FOUND","—",IFERROR(INDEX(Listas!$J$5:$J$13,MATCH(LEFT(F188,FIND("-",F188)-1),Listas!$I$5:$I$13,0)),"Module / area")))</f>
        <v/>
      </c>
      <c r="I188" s="95">
        <f>IF(AND(B188="",F188=""),"",IF(OR(C188="NOT FOUND",G188="NOT FOUND"),"✖ ID inexistente",IF(B188=F188,"✖ Autorreferência",IF(E188="","✖ Sem relação","✔ OK"))))</f>
        <v/>
      </c>
      <c r="J188" s="93" t="n"/>
    </row>
    <row r="189" ht="15" customHeight="1" s="50">
      <c r="A189" s="93" t="n"/>
      <c r="B189" s="93" t="n"/>
      <c r="C189" s="95">
        <f>IF(B189="","",IFERROR(INDEX('Constants &amp; Enums'!$B$5:$B$200,MATCH(B189,'Constants &amp; Enums'!$A$5:$A$200,0)),IFERROR(INDEX('Metrics &amp; Formulas'!$B$5:$B$200,MATCH(B189,'Metrics &amp; Formulas'!$A$5:$A$200,0)),IFERROR(INDEX('Projections &amp; Dashboards'!$B$5:$B$200,MATCH(B189,'Projections &amp; Dashboards'!$A$5:$A$200,0)),IFERROR(INDEX(Funções!$O$5:$O$300,MATCH(B189,Funções!$A$5:$A$300,0)),IFERROR(INDEX(Telas!$C$5:$C$400,MATCH(B189,Telas!$A$5:$A$400,0)),IFERROR(INDEX(Roadmap!$D$6:$D$200,MATCH(B189,Roadmap!$A$6:$A$200,0)),IFERROR(INDEX(Modules!$C$5:$C$100,MATCH(B189,Modules!$A$5:$A$100,0)),"NOT FOUND"))))))))</f>
        <v/>
      </c>
      <c r="D189" s="95">
        <f>IF(B189="","",IF(C189="NOT FOUND","—",IFERROR(INDEX(Listas!$J$5:$J$13,MATCH(LEFT(B189,FIND("-",B189)-1),Listas!$I$5:$I$13,0)),"Module / area")))</f>
        <v/>
      </c>
      <c r="E189" s="93" t="n"/>
      <c r="F189" s="93" t="n"/>
      <c r="G189" s="95">
        <f>IF(F189="","",IFERROR(INDEX('Constants &amp; Enums'!$B$5:$B$200,MATCH(F189,'Constants &amp; Enums'!$A$5:$A$200,0)),IFERROR(INDEX('Metrics &amp; Formulas'!$B$5:$B$200,MATCH(F189,'Metrics &amp; Formulas'!$A$5:$A$200,0)),IFERROR(INDEX('Projections &amp; Dashboards'!$B$5:$B$200,MATCH(F189,'Projections &amp; Dashboards'!$A$5:$A$200,0)),IFERROR(INDEX(Funções!$O$5:$O$300,MATCH(F189,Funções!$A$5:$A$300,0)),IFERROR(INDEX(Telas!$C$5:$C$400,MATCH(F189,Telas!$A$5:$A$400,0)),IFERROR(INDEX(Roadmap!$D$6:$D$200,MATCH(F189,Roadmap!$A$6:$A$200,0)),IFERROR(INDEX(Modules!$C$5:$C$100,MATCH(F189,Modules!$A$5:$A$100,0)),"NOT FOUND"))))))))</f>
        <v/>
      </c>
      <c r="H189" s="95">
        <f>IF(F189="","",IF(G189="NOT FOUND","—",IFERROR(INDEX(Listas!$J$5:$J$13,MATCH(LEFT(F189,FIND("-",F189)-1),Listas!$I$5:$I$13,0)),"Module / area")))</f>
        <v/>
      </c>
      <c r="I189" s="95">
        <f>IF(AND(B189="",F189=""),"",IF(OR(C189="NOT FOUND",G189="NOT FOUND"),"✖ ID inexistente",IF(B189=F189,"✖ Autorreferência",IF(E189="","✖ Sem relação","✔ OK"))))</f>
        <v/>
      </c>
      <c r="J189" s="93" t="n"/>
    </row>
    <row r="190" ht="15" customHeight="1" s="50">
      <c r="A190" s="93" t="n"/>
      <c r="B190" s="93" t="n"/>
      <c r="C190" s="95">
        <f>IF(B190="","",IFERROR(INDEX('Constants &amp; Enums'!$B$5:$B$200,MATCH(B190,'Constants &amp; Enums'!$A$5:$A$200,0)),IFERROR(INDEX('Metrics &amp; Formulas'!$B$5:$B$200,MATCH(B190,'Metrics &amp; Formulas'!$A$5:$A$200,0)),IFERROR(INDEX('Projections &amp; Dashboards'!$B$5:$B$200,MATCH(B190,'Projections &amp; Dashboards'!$A$5:$A$200,0)),IFERROR(INDEX(Funções!$O$5:$O$300,MATCH(B190,Funções!$A$5:$A$300,0)),IFERROR(INDEX(Telas!$C$5:$C$400,MATCH(B190,Telas!$A$5:$A$400,0)),IFERROR(INDEX(Roadmap!$D$6:$D$200,MATCH(B190,Roadmap!$A$6:$A$200,0)),IFERROR(INDEX(Modules!$C$5:$C$100,MATCH(B190,Modules!$A$5:$A$100,0)),"NOT FOUND"))))))))</f>
        <v/>
      </c>
      <c r="D190" s="95">
        <f>IF(B190="","",IF(C190="NOT FOUND","—",IFERROR(INDEX(Listas!$J$5:$J$13,MATCH(LEFT(B190,FIND("-",B190)-1),Listas!$I$5:$I$13,0)),"Module / area")))</f>
        <v/>
      </c>
      <c r="E190" s="93" t="n"/>
      <c r="F190" s="93" t="n"/>
      <c r="G190" s="95">
        <f>IF(F190="","",IFERROR(INDEX('Constants &amp; Enums'!$B$5:$B$200,MATCH(F190,'Constants &amp; Enums'!$A$5:$A$200,0)),IFERROR(INDEX('Metrics &amp; Formulas'!$B$5:$B$200,MATCH(F190,'Metrics &amp; Formulas'!$A$5:$A$200,0)),IFERROR(INDEX('Projections &amp; Dashboards'!$B$5:$B$200,MATCH(F190,'Projections &amp; Dashboards'!$A$5:$A$200,0)),IFERROR(INDEX(Funções!$O$5:$O$300,MATCH(F190,Funções!$A$5:$A$300,0)),IFERROR(INDEX(Telas!$C$5:$C$400,MATCH(F190,Telas!$A$5:$A$400,0)),IFERROR(INDEX(Roadmap!$D$6:$D$200,MATCH(F190,Roadmap!$A$6:$A$200,0)),IFERROR(INDEX(Modules!$C$5:$C$100,MATCH(F190,Modules!$A$5:$A$100,0)),"NOT FOUND"))))))))</f>
        <v/>
      </c>
      <c r="H190" s="95">
        <f>IF(F190="","",IF(G190="NOT FOUND","—",IFERROR(INDEX(Listas!$J$5:$J$13,MATCH(LEFT(F190,FIND("-",F190)-1),Listas!$I$5:$I$13,0)),"Module / area")))</f>
        <v/>
      </c>
      <c r="I190" s="95">
        <f>IF(AND(B190="",F190=""),"",IF(OR(C190="NOT FOUND",G190="NOT FOUND"),"✖ ID inexistente",IF(B190=F190,"✖ Autorreferência",IF(E190="","✖ Sem relação","✔ OK"))))</f>
        <v/>
      </c>
      <c r="J190" s="93" t="n"/>
    </row>
    <row r="191" ht="15" customHeight="1" s="50">
      <c r="A191" s="93" t="n"/>
      <c r="B191" s="93" t="n"/>
      <c r="C191" s="95">
        <f>IF(B191="","",IFERROR(INDEX('Constants &amp; Enums'!$B$5:$B$200,MATCH(B191,'Constants &amp; Enums'!$A$5:$A$200,0)),IFERROR(INDEX('Metrics &amp; Formulas'!$B$5:$B$200,MATCH(B191,'Metrics &amp; Formulas'!$A$5:$A$200,0)),IFERROR(INDEX('Projections &amp; Dashboards'!$B$5:$B$200,MATCH(B191,'Projections &amp; Dashboards'!$A$5:$A$200,0)),IFERROR(INDEX(Funções!$O$5:$O$300,MATCH(B191,Funções!$A$5:$A$300,0)),IFERROR(INDEX(Telas!$C$5:$C$400,MATCH(B191,Telas!$A$5:$A$400,0)),IFERROR(INDEX(Roadmap!$D$6:$D$200,MATCH(B191,Roadmap!$A$6:$A$200,0)),IFERROR(INDEX(Modules!$C$5:$C$100,MATCH(B191,Modules!$A$5:$A$100,0)),"NOT FOUND"))))))))</f>
        <v/>
      </c>
      <c r="D191" s="95">
        <f>IF(B191="","",IF(C191="NOT FOUND","—",IFERROR(INDEX(Listas!$J$5:$J$13,MATCH(LEFT(B191,FIND("-",B191)-1),Listas!$I$5:$I$13,0)),"Module / area")))</f>
        <v/>
      </c>
      <c r="E191" s="93" t="n"/>
      <c r="F191" s="93" t="n"/>
      <c r="G191" s="95">
        <f>IF(F191="","",IFERROR(INDEX('Constants &amp; Enums'!$B$5:$B$200,MATCH(F191,'Constants &amp; Enums'!$A$5:$A$200,0)),IFERROR(INDEX('Metrics &amp; Formulas'!$B$5:$B$200,MATCH(F191,'Metrics &amp; Formulas'!$A$5:$A$200,0)),IFERROR(INDEX('Projections &amp; Dashboards'!$B$5:$B$200,MATCH(F191,'Projections &amp; Dashboards'!$A$5:$A$200,0)),IFERROR(INDEX(Funções!$O$5:$O$300,MATCH(F191,Funções!$A$5:$A$300,0)),IFERROR(INDEX(Telas!$C$5:$C$400,MATCH(F191,Telas!$A$5:$A$400,0)),IFERROR(INDEX(Roadmap!$D$6:$D$200,MATCH(F191,Roadmap!$A$6:$A$200,0)),IFERROR(INDEX(Modules!$C$5:$C$100,MATCH(F191,Modules!$A$5:$A$100,0)),"NOT FOUND"))))))))</f>
        <v/>
      </c>
      <c r="H191" s="95">
        <f>IF(F191="","",IF(G191="NOT FOUND","—",IFERROR(INDEX(Listas!$J$5:$J$13,MATCH(LEFT(F191,FIND("-",F191)-1),Listas!$I$5:$I$13,0)),"Module / area")))</f>
        <v/>
      </c>
      <c r="I191" s="95">
        <f>IF(AND(B191="",F191=""),"",IF(OR(C191="NOT FOUND",G191="NOT FOUND"),"✖ ID inexistente",IF(B191=F191,"✖ Autorreferência",IF(E191="","✖ Sem relação","✔ OK"))))</f>
        <v/>
      </c>
      <c r="J191" s="93" t="n"/>
    </row>
    <row r="192" ht="15" customHeight="1" s="50">
      <c r="A192" s="93" t="n"/>
      <c r="B192" s="93" t="n"/>
      <c r="C192" s="95">
        <f>IF(B192="","",IFERROR(INDEX('Constants &amp; Enums'!$B$5:$B$200,MATCH(B192,'Constants &amp; Enums'!$A$5:$A$200,0)),IFERROR(INDEX('Metrics &amp; Formulas'!$B$5:$B$200,MATCH(B192,'Metrics &amp; Formulas'!$A$5:$A$200,0)),IFERROR(INDEX('Projections &amp; Dashboards'!$B$5:$B$200,MATCH(B192,'Projections &amp; Dashboards'!$A$5:$A$200,0)),IFERROR(INDEX(Funções!$O$5:$O$300,MATCH(B192,Funções!$A$5:$A$300,0)),IFERROR(INDEX(Telas!$C$5:$C$400,MATCH(B192,Telas!$A$5:$A$400,0)),IFERROR(INDEX(Roadmap!$D$6:$D$200,MATCH(B192,Roadmap!$A$6:$A$200,0)),IFERROR(INDEX(Modules!$C$5:$C$100,MATCH(B192,Modules!$A$5:$A$100,0)),"NOT FOUND"))))))))</f>
        <v/>
      </c>
      <c r="D192" s="95">
        <f>IF(B192="","",IF(C192="NOT FOUND","—",IFERROR(INDEX(Listas!$J$5:$J$13,MATCH(LEFT(B192,FIND("-",B192)-1),Listas!$I$5:$I$13,0)),"Module / area")))</f>
        <v/>
      </c>
      <c r="E192" s="93" t="n"/>
      <c r="F192" s="93" t="n"/>
      <c r="G192" s="95">
        <f>IF(F192="","",IFERROR(INDEX('Constants &amp; Enums'!$B$5:$B$200,MATCH(F192,'Constants &amp; Enums'!$A$5:$A$200,0)),IFERROR(INDEX('Metrics &amp; Formulas'!$B$5:$B$200,MATCH(F192,'Metrics &amp; Formulas'!$A$5:$A$200,0)),IFERROR(INDEX('Projections &amp; Dashboards'!$B$5:$B$200,MATCH(F192,'Projections &amp; Dashboards'!$A$5:$A$200,0)),IFERROR(INDEX(Funções!$O$5:$O$300,MATCH(F192,Funções!$A$5:$A$300,0)),IFERROR(INDEX(Telas!$C$5:$C$400,MATCH(F192,Telas!$A$5:$A$400,0)),IFERROR(INDEX(Roadmap!$D$6:$D$200,MATCH(F192,Roadmap!$A$6:$A$200,0)),IFERROR(INDEX(Modules!$C$5:$C$100,MATCH(F192,Modules!$A$5:$A$100,0)),"NOT FOUND"))))))))</f>
        <v/>
      </c>
      <c r="H192" s="95">
        <f>IF(F192="","",IF(G192="NOT FOUND","—",IFERROR(INDEX(Listas!$J$5:$J$13,MATCH(LEFT(F192,FIND("-",F192)-1),Listas!$I$5:$I$13,0)),"Module / area")))</f>
        <v/>
      </c>
      <c r="I192" s="95">
        <f>IF(AND(B192="",F192=""),"",IF(OR(C192="NOT FOUND",G192="NOT FOUND"),"✖ ID inexistente",IF(B192=F192,"✖ Autorreferência",IF(E192="","✖ Sem relação","✔ OK"))))</f>
        <v/>
      </c>
      <c r="J192" s="93" t="n"/>
    </row>
    <row r="193" ht="15" customHeight="1" s="50">
      <c r="A193" s="93" t="n"/>
      <c r="B193" s="93" t="n"/>
      <c r="C193" s="95">
        <f>IF(B193="","",IFERROR(INDEX('Constants &amp; Enums'!$B$5:$B$200,MATCH(B193,'Constants &amp; Enums'!$A$5:$A$200,0)),IFERROR(INDEX('Metrics &amp; Formulas'!$B$5:$B$200,MATCH(B193,'Metrics &amp; Formulas'!$A$5:$A$200,0)),IFERROR(INDEX('Projections &amp; Dashboards'!$B$5:$B$200,MATCH(B193,'Projections &amp; Dashboards'!$A$5:$A$200,0)),IFERROR(INDEX(Funções!$O$5:$O$300,MATCH(B193,Funções!$A$5:$A$300,0)),IFERROR(INDEX(Telas!$C$5:$C$400,MATCH(B193,Telas!$A$5:$A$400,0)),IFERROR(INDEX(Roadmap!$D$6:$D$200,MATCH(B193,Roadmap!$A$6:$A$200,0)),IFERROR(INDEX(Modules!$C$5:$C$100,MATCH(B193,Modules!$A$5:$A$100,0)),"NOT FOUND"))))))))</f>
        <v/>
      </c>
      <c r="D193" s="95">
        <f>IF(B193="","",IF(C193="NOT FOUND","—",IFERROR(INDEX(Listas!$J$5:$J$13,MATCH(LEFT(B193,FIND("-",B193)-1),Listas!$I$5:$I$13,0)),"Module / area")))</f>
        <v/>
      </c>
      <c r="E193" s="93" t="n"/>
      <c r="F193" s="93" t="n"/>
      <c r="G193" s="95">
        <f>IF(F193="","",IFERROR(INDEX('Constants &amp; Enums'!$B$5:$B$200,MATCH(F193,'Constants &amp; Enums'!$A$5:$A$200,0)),IFERROR(INDEX('Metrics &amp; Formulas'!$B$5:$B$200,MATCH(F193,'Metrics &amp; Formulas'!$A$5:$A$200,0)),IFERROR(INDEX('Projections &amp; Dashboards'!$B$5:$B$200,MATCH(F193,'Projections &amp; Dashboards'!$A$5:$A$200,0)),IFERROR(INDEX(Funções!$O$5:$O$300,MATCH(F193,Funções!$A$5:$A$300,0)),IFERROR(INDEX(Telas!$C$5:$C$400,MATCH(F193,Telas!$A$5:$A$400,0)),IFERROR(INDEX(Roadmap!$D$6:$D$200,MATCH(F193,Roadmap!$A$6:$A$200,0)),IFERROR(INDEX(Modules!$C$5:$C$100,MATCH(F193,Modules!$A$5:$A$100,0)),"NOT FOUND"))))))))</f>
        <v/>
      </c>
      <c r="H193" s="95">
        <f>IF(F193="","",IF(G193="NOT FOUND","—",IFERROR(INDEX(Listas!$J$5:$J$13,MATCH(LEFT(F193,FIND("-",F193)-1),Listas!$I$5:$I$13,0)),"Module / area")))</f>
        <v/>
      </c>
      <c r="I193" s="95">
        <f>IF(AND(B193="",F193=""),"",IF(OR(C193="NOT FOUND",G193="NOT FOUND"),"✖ ID inexistente",IF(B193=F193,"✖ Autorreferência",IF(E193="","✖ Sem relação","✔ OK"))))</f>
        <v/>
      </c>
      <c r="J193" s="93" t="n"/>
    </row>
    <row r="194" ht="15" customHeight="1" s="50">
      <c r="A194" s="93" t="n"/>
      <c r="B194" s="93" t="n"/>
      <c r="C194" s="95">
        <f>IF(B194="","",IFERROR(INDEX('Constants &amp; Enums'!$B$5:$B$200,MATCH(B194,'Constants &amp; Enums'!$A$5:$A$200,0)),IFERROR(INDEX('Metrics &amp; Formulas'!$B$5:$B$200,MATCH(B194,'Metrics &amp; Formulas'!$A$5:$A$200,0)),IFERROR(INDEX('Projections &amp; Dashboards'!$B$5:$B$200,MATCH(B194,'Projections &amp; Dashboards'!$A$5:$A$200,0)),IFERROR(INDEX(Funções!$O$5:$O$300,MATCH(B194,Funções!$A$5:$A$300,0)),IFERROR(INDEX(Telas!$C$5:$C$400,MATCH(B194,Telas!$A$5:$A$400,0)),IFERROR(INDEX(Roadmap!$D$6:$D$200,MATCH(B194,Roadmap!$A$6:$A$200,0)),IFERROR(INDEX(Modules!$C$5:$C$100,MATCH(B194,Modules!$A$5:$A$100,0)),"NOT FOUND"))))))))</f>
        <v/>
      </c>
      <c r="D194" s="95">
        <f>IF(B194="","",IF(C194="NOT FOUND","—",IFERROR(INDEX(Listas!$J$5:$J$13,MATCH(LEFT(B194,FIND("-",B194)-1),Listas!$I$5:$I$13,0)),"Module / area")))</f>
        <v/>
      </c>
      <c r="E194" s="93" t="n"/>
      <c r="F194" s="93" t="n"/>
      <c r="G194" s="95">
        <f>IF(F194="","",IFERROR(INDEX('Constants &amp; Enums'!$B$5:$B$200,MATCH(F194,'Constants &amp; Enums'!$A$5:$A$200,0)),IFERROR(INDEX('Metrics &amp; Formulas'!$B$5:$B$200,MATCH(F194,'Metrics &amp; Formulas'!$A$5:$A$200,0)),IFERROR(INDEX('Projections &amp; Dashboards'!$B$5:$B$200,MATCH(F194,'Projections &amp; Dashboards'!$A$5:$A$200,0)),IFERROR(INDEX(Funções!$O$5:$O$300,MATCH(F194,Funções!$A$5:$A$300,0)),IFERROR(INDEX(Telas!$C$5:$C$400,MATCH(F194,Telas!$A$5:$A$400,0)),IFERROR(INDEX(Roadmap!$D$6:$D$200,MATCH(F194,Roadmap!$A$6:$A$200,0)),IFERROR(INDEX(Modules!$C$5:$C$100,MATCH(F194,Modules!$A$5:$A$100,0)),"NOT FOUND"))))))))</f>
        <v/>
      </c>
      <c r="H194" s="95">
        <f>IF(F194="","",IF(G194="NOT FOUND","—",IFERROR(INDEX(Listas!$J$5:$J$13,MATCH(LEFT(F194,FIND("-",F194)-1),Listas!$I$5:$I$13,0)),"Module / area")))</f>
        <v/>
      </c>
      <c r="I194" s="95">
        <f>IF(AND(B194="",F194=""),"",IF(OR(C194="NOT FOUND",G194="NOT FOUND"),"✖ ID inexistente",IF(B194=F194,"✖ Autorreferência",IF(E194="","✖ Sem relação","✔ OK"))))</f>
        <v/>
      </c>
      <c r="J194" s="93" t="n"/>
    </row>
    <row r="195" ht="15" customHeight="1" s="50">
      <c r="A195" s="93" t="n"/>
      <c r="B195" s="93" t="n"/>
      <c r="C195" s="95">
        <f>IF(B195="","",IFERROR(INDEX('Constants &amp; Enums'!$B$5:$B$200,MATCH(B195,'Constants &amp; Enums'!$A$5:$A$200,0)),IFERROR(INDEX('Metrics &amp; Formulas'!$B$5:$B$200,MATCH(B195,'Metrics &amp; Formulas'!$A$5:$A$200,0)),IFERROR(INDEX('Projections &amp; Dashboards'!$B$5:$B$200,MATCH(B195,'Projections &amp; Dashboards'!$A$5:$A$200,0)),IFERROR(INDEX(Funções!$O$5:$O$300,MATCH(B195,Funções!$A$5:$A$300,0)),IFERROR(INDEX(Telas!$C$5:$C$400,MATCH(B195,Telas!$A$5:$A$400,0)),IFERROR(INDEX(Roadmap!$D$6:$D$200,MATCH(B195,Roadmap!$A$6:$A$200,0)),IFERROR(INDEX(Modules!$C$5:$C$100,MATCH(B195,Modules!$A$5:$A$100,0)),"NOT FOUND"))))))))</f>
        <v/>
      </c>
      <c r="D195" s="95">
        <f>IF(B195="","",IF(C195="NOT FOUND","—",IFERROR(INDEX(Listas!$J$5:$J$13,MATCH(LEFT(B195,FIND("-",B195)-1),Listas!$I$5:$I$13,0)),"Module / area")))</f>
        <v/>
      </c>
      <c r="E195" s="93" t="n"/>
      <c r="F195" s="93" t="n"/>
      <c r="G195" s="95">
        <f>IF(F195="","",IFERROR(INDEX('Constants &amp; Enums'!$B$5:$B$200,MATCH(F195,'Constants &amp; Enums'!$A$5:$A$200,0)),IFERROR(INDEX('Metrics &amp; Formulas'!$B$5:$B$200,MATCH(F195,'Metrics &amp; Formulas'!$A$5:$A$200,0)),IFERROR(INDEX('Projections &amp; Dashboards'!$B$5:$B$200,MATCH(F195,'Projections &amp; Dashboards'!$A$5:$A$200,0)),IFERROR(INDEX(Funções!$O$5:$O$300,MATCH(F195,Funções!$A$5:$A$300,0)),IFERROR(INDEX(Telas!$C$5:$C$400,MATCH(F195,Telas!$A$5:$A$400,0)),IFERROR(INDEX(Roadmap!$D$6:$D$200,MATCH(F195,Roadmap!$A$6:$A$200,0)),IFERROR(INDEX(Modules!$C$5:$C$100,MATCH(F195,Modules!$A$5:$A$100,0)),"NOT FOUND"))))))))</f>
        <v/>
      </c>
      <c r="H195" s="95">
        <f>IF(F195="","",IF(G195="NOT FOUND","—",IFERROR(INDEX(Listas!$J$5:$J$13,MATCH(LEFT(F195,FIND("-",F195)-1),Listas!$I$5:$I$13,0)),"Module / area")))</f>
        <v/>
      </c>
      <c r="I195" s="95">
        <f>IF(AND(B195="",F195=""),"",IF(OR(C195="NOT FOUND",G195="NOT FOUND"),"✖ ID inexistente",IF(B195=F195,"✖ Autorreferência",IF(E195="","✖ Sem relação","✔ OK"))))</f>
        <v/>
      </c>
      <c r="J195" s="93" t="n"/>
    </row>
    <row r="196" ht="15" customHeight="1" s="50">
      <c r="A196" s="93" t="n"/>
      <c r="B196" s="93" t="n"/>
      <c r="C196" s="95">
        <f>IF(B196="","",IFERROR(INDEX('Constants &amp; Enums'!$B$5:$B$200,MATCH(B196,'Constants &amp; Enums'!$A$5:$A$200,0)),IFERROR(INDEX('Metrics &amp; Formulas'!$B$5:$B$200,MATCH(B196,'Metrics &amp; Formulas'!$A$5:$A$200,0)),IFERROR(INDEX('Projections &amp; Dashboards'!$B$5:$B$200,MATCH(B196,'Projections &amp; Dashboards'!$A$5:$A$200,0)),IFERROR(INDEX(Funções!$O$5:$O$300,MATCH(B196,Funções!$A$5:$A$300,0)),IFERROR(INDEX(Telas!$C$5:$C$400,MATCH(B196,Telas!$A$5:$A$400,0)),IFERROR(INDEX(Roadmap!$D$6:$D$200,MATCH(B196,Roadmap!$A$6:$A$200,0)),IFERROR(INDEX(Modules!$C$5:$C$100,MATCH(B196,Modules!$A$5:$A$100,0)),"NOT FOUND"))))))))</f>
        <v/>
      </c>
      <c r="D196" s="95">
        <f>IF(B196="","",IF(C196="NOT FOUND","—",IFERROR(INDEX(Listas!$J$5:$J$13,MATCH(LEFT(B196,FIND("-",B196)-1),Listas!$I$5:$I$13,0)),"Module / area")))</f>
        <v/>
      </c>
      <c r="E196" s="93" t="n"/>
      <c r="F196" s="93" t="n"/>
      <c r="G196" s="95">
        <f>IF(F196="","",IFERROR(INDEX('Constants &amp; Enums'!$B$5:$B$200,MATCH(F196,'Constants &amp; Enums'!$A$5:$A$200,0)),IFERROR(INDEX('Metrics &amp; Formulas'!$B$5:$B$200,MATCH(F196,'Metrics &amp; Formulas'!$A$5:$A$200,0)),IFERROR(INDEX('Projections &amp; Dashboards'!$B$5:$B$200,MATCH(F196,'Projections &amp; Dashboards'!$A$5:$A$200,0)),IFERROR(INDEX(Funções!$O$5:$O$300,MATCH(F196,Funções!$A$5:$A$300,0)),IFERROR(INDEX(Telas!$C$5:$C$400,MATCH(F196,Telas!$A$5:$A$400,0)),IFERROR(INDEX(Roadmap!$D$6:$D$200,MATCH(F196,Roadmap!$A$6:$A$200,0)),IFERROR(INDEX(Modules!$C$5:$C$100,MATCH(F196,Modules!$A$5:$A$100,0)),"NOT FOUND"))))))))</f>
        <v/>
      </c>
      <c r="H196" s="95">
        <f>IF(F196="","",IF(G196="NOT FOUND","—",IFERROR(INDEX(Listas!$J$5:$J$13,MATCH(LEFT(F196,FIND("-",F196)-1),Listas!$I$5:$I$13,0)),"Module / area")))</f>
        <v/>
      </c>
      <c r="I196" s="95">
        <f>IF(AND(B196="",F196=""),"",IF(OR(C196="NOT FOUND",G196="NOT FOUND"),"✖ ID inexistente",IF(B196=F196,"✖ Autorreferência",IF(E196="","✖ Sem relação","✔ OK"))))</f>
        <v/>
      </c>
      <c r="J196" s="93" t="n"/>
    </row>
    <row r="197" ht="15" customHeight="1" s="50">
      <c r="A197" s="93" t="n"/>
      <c r="B197" s="93" t="n"/>
      <c r="C197" s="95">
        <f>IF(B197="","",IFERROR(INDEX('Constants &amp; Enums'!$B$5:$B$200,MATCH(B197,'Constants &amp; Enums'!$A$5:$A$200,0)),IFERROR(INDEX('Metrics &amp; Formulas'!$B$5:$B$200,MATCH(B197,'Metrics &amp; Formulas'!$A$5:$A$200,0)),IFERROR(INDEX('Projections &amp; Dashboards'!$B$5:$B$200,MATCH(B197,'Projections &amp; Dashboards'!$A$5:$A$200,0)),IFERROR(INDEX(Funções!$O$5:$O$300,MATCH(B197,Funções!$A$5:$A$300,0)),IFERROR(INDEX(Telas!$C$5:$C$400,MATCH(B197,Telas!$A$5:$A$400,0)),IFERROR(INDEX(Roadmap!$D$6:$D$200,MATCH(B197,Roadmap!$A$6:$A$200,0)),IFERROR(INDEX(Modules!$C$5:$C$100,MATCH(B197,Modules!$A$5:$A$100,0)),"NOT FOUND"))))))))</f>
        <v/>
      </c>
      <c r="D197" s="95">
        <f>IF(B197="","",IF(C197="NOT FOUND","—",IFERROR(INDEX(Listas!$J$5:$J$13,MATCH(LEFT(B197,FIND("-",B197)-1),Listas!$I$5:$I$13,0)),"Module / area")))</f>
        <v/>
      </c>
      <c r="E197" s="93" t="n"/>
      <c r="F197" s="93" t="n"/>
      <c r="G197" s="95">
        <f>IF(F197="","",IFERROR(INDEX('Constants &amp; Enums'!$B$5:$B$200,MATCH(F197,'Constants &amp; Enums'!$A$5:$A$200,0)),IFERROR(INDEX('Metrics &amp; Formulas'!$B$5:$B$200,MATCH(F197,'Metrics &amp; Formulas'!$A$5:$A$200,0)),IFERROR(INDEX('Projections &amp; Dashboards'!$B$5:$B$200,MATCH(F197,'Projections &amp; Dashboards'!$A$5:$A$200,0)),IFERROR(INDEX(Funções!$O$5:$O$300,MATCH(F197,Funções!$A$5:$A$300,0)),IFERROR(INDEX(Telas!$C$5:$C$400,MATCH(F197,Telas!$A$5:$A$400,0)),IFERROR(INDEX(Roadmap!$D$6:$D$200,MATCH(F197,Roadmap!$A$6:$A$200,0)),IFERROR(INDEX(Modules!$C$5:$C$100,MATCH(F197,Modules!$A$5:$A$100,0)),"NOT FOUND"))))))))</f>
        <v/>
      </c>
      <c r="H197" s="95">
        <f>IF(F197="","",IF(G197="NOT FOUND","—",IFERROR(INDEX(Listas!$J$5:$J$13,MATCH(LEFT(F197,FIND("-",F197)-1),Listas!$I$5:$I$13,0)),"Module / area")))</f>
        <v/>
      </c>
      <c r="I197" s="95">
        <f>IF(AND(B197="",F197=""),"",IF(OR(C197="NOT FOUND",G197="NOT FOUND"),"✖ ID inexistente",IF(B197=F197,"✖ Autorreferência",IF(E197="","✖ Sem relação","✔ OK"))))</f>
        <v/>
      </c>
      <c r="J197" s="93" t="n"/>
    </row>
    <row r="198" ht="15" customHeight="1" s="50">
      <c r="A198" s="93" t="n"/>
      <c r="B198" s="93" t="n"/>
      <c r="C198" s="95">
        <f>IF(B198="","",IFERROR(INDEX('Constants &amp; Enums'!$B$5:$B$200,MATCH(B198,'Constants &amp; Enums'!$A$5:$A$200,0)),IFERROR(INDEX('Metrics &amp; Formulas'!$B$5:$B$200,MATCH(B198,'Metrics &amp; Formulas'!$A$5:$A$200,0)),IFERROR(INDEX('Projections &amp; Dashboards'!$B$5:$B$200,MATCH(B198,'Projections &amp; Dashboards'!$A$5:$A$200,0)),IFERROR(INDEX(Funções!$O$5:$O$300,MATCH(B198,Funções!$A$5:$A$300,0)),IFERROR(INDEX(Telas!$C$5:$C$400,MATCH(B198,Telas!$A$5:$A$400,0)),IFERROR(INDEX(Roadmap!$D$6:$D$200,MATCH(B198,Roadmap!$A$6:$A$200,0)),IFERROR(INDEX(Modules!$C$5:$C$100,MATCH(B198,Modules!$A$5:$A$100,0)),"NOT FOUND"))))))))</f>
        <v/>
      </c>
      <c r="D198" s="95">
        <f>IF(B198="","",IF(C198="NOT FOUND","—",IFERROR(INDEX(Listas!$J$5:$J$13,MATCH(LEFT(B198,FIND("-",B198)-1),Listas!$I$5:$I$13,0)),"Module / area")))</f>
        <v/>
      </c>
      <c r="E198" s="93" t="n"/>
      <c r="F198" s="93" t="n"/>
      <c r="G198" s="95">
        <f>IF(F198="","",IFERROR(INDEX('Constants &amp; Enums'!$B$5:$B$200,MATCH(F198,'Constants &amp; Enums'!$A$5:$A$200,0)),IFERROR(INDEX('Metrics &amp; Formulas'!$B$5:$B$200,MATCH(F198,'Metrics &amp; Formulas'!$A$5:$A$200,0)),IFERROR(INDEX('Projections &amp; Dashboards'!$B$5:$B$200,MATCH(F198,'Projections &amp; Dashboards'!$A$5:$A$200,0)),IFERROR(INDEX(Funções!$O$5:$O$300,MATCH(F198,Funções!$A$5:$A$300,0)),IFERROR(INDEX(Telas!$C$5:$C$400,MATCH(F198,Telas!$A$5:$A$400,0)),IFERROR(INDEX(Roadmap!$D$6:$D$200,MATCH(F198,Roadmap!$A$6:$A$200,0)),IFERROR(INDEX(Modules!$C$5:$C$100,MATCH(F198,Modules!$A$5:$A$100,0)),"NOT FOUND"))))))))</f>
        <v/>
      </c>
      <c r="H198" s="95">
        <f>IF(F198="","",IF(G198="NOT FOUND","—",IFERROR(INDEX(Listas!$J$5:$J$13,MATCH(LEFT(F198,FIND("-",F198)-1),Listas!$I$5:$I$13,0)),"Module / area")))</f>
        <v/>
      </c>
      <c r="I198" s="95">
        <f>IF(AND(B198="",F198=""),"",IF(OR(C198="NOT FOUND",G198="NOT FOUND"),"✖ ID inexistente",IF(B198=F198,"✖ Autorreferência",IF(E198="","✖ Sem relação","✔ OK"))))</f>
        <v/>
      </c>
      <c r="J198" s="93" t="n"/>
    </row>
    <row r="199" ht="15" customHeight="1" s="50">
      <c r="A199" s="93" t="n"/>
      <c r="B199" s="93" t="n"/>
      <c r="C199" s="95">
        <f>IF(B199="","",IFERROR(INDEX('Constants &amp; Enums'!$B$5:$B$200,MATCH(B199,'Constants &amp; Enums'!$A$5:$A$200,0)),IFERROR(INDEX('Metrics &amp; Formulas'!$B$5:$B$200,MATCH(B199,'Metrics &amp; Formulas'!$A$5:$A$200,0)),IFERROR(INDEX('Projections &amp; Dashboards'!$B$5:$B$200,MATCH(B199,'Projections &amp; Dashboards'!$A$5:$A$200,0)),IFERROR(INDEX(Funções!$O$5:$O$300,MATCH(B199,Funções!$A$5:$A$300,0)),IFERROR(INDEX(Telas!$C$5:$C$400,MATCH(B199,Telas!$A$5:$A$400,0)),IFERROR(INDEX(Roadmap!$D$6:$D$200,MATCH(B199,Roadmap!$A$6:$A$200,0)),IFERROR(INDEX(Modules!$C$5:$C$100,MATCH(B199,Modules!$A$5:$A$100,0)),"NOT FOUND"))))))))</f>
        <v/>
      </c>
      <c r="D199" s="95">
        <f>IF(B199="","",IF(C199="NOT FOUND","—",IFERROR(INDEX(Listas!$J$5:$J$13,MATCH(LEFT(B199,FIND("-",B199)-1),Listas!$I$5:$I$13,0)),"Module / area")))</f>
        <v/>
      </c>
      <c r="E199" s="93" t="n"/>
      <c r="F199" s="93" t="n"/>
      <c r="G199" s="95">
        <f>IF(F199="","",IFERROR(INDEX('Constants &amp; Enums'!$B$5:$B$200,MATCH(F199,'Constants &amp; Enums'!$A$5:$A$200,0)),IFERROR(INDEX('Metrics &amp; Formulas'!$B$5:$B$200,MATCH(F199,'Metrics &amp; Formulas'!$A$5:$A$200,0)),IFERROR(INDEX('Projections &amp; Dashboards'!$B$5:$B$200,MATCH(F199,'Projections &amp; Dashboards'!$A$5:$A$200,0)),IFERROR(INDEX(Funções!$O$5:$O$300,MATCH(F199,Funções!$A$5:$A$300,0)),IFERROR(INDEX(Telas!$C$5:$C$400,MATCH(F199,Telas!$A$5:$A$400,0)),IFERROR(INDEX(Roadmap!$D$6:$D$200,MATCH(F199,Roadmap!$A$6:$A$200,0)),IFERROR(INDEX(Modules!$C$5:$C$100,MATCH(F199,Modules!$A$5:$A$100,0)),"NOT FOUND"))))))))</f>
        <v/>
      </c>
      <c r="H199" s="95">
        <f>IF(F199="","",IF(G199="NOT FOUND","—",IFERROR(INDEX(Listas!$J$5:$J$13,MATCH(LEFT(F199,FIND("-",F199)-1),Listas!$I$5:$I$13,0)),"Module / area")))</f>
        <v/>
      </c>
      <c r="I199" s="95">
        <f>IF(AND(B199="",F199=""),"",IF(OR(C199="NOT FOUND",G199="NOT FOUND"),"✖ ID inexistente",IF(B199=F199,"✖ Autorreferência",IF(E199="","✖ Sem relação","✔ OK"))))</f>
        <v/>
      </c>
      <c r="J199" s="93" t="n"/>
    </row>
    <row r="200" ht="15" customHeight="1" s="50">
      <c r="A200" s="93" t="n"/>
      <c r="B200" s="93" t="n"/>
      <c r="C200" s="95">
        <f>IF(B200="","",IFERROR(INDEX('Constants &amp; Enums'!$B$5:$B$200,MATCH(B200,'Constants &amp; Enums'!$A$5:$A$200,0)),IFERROR(INDEX('Metrics &amp; Formulas'!$B$5:$B$200,MATCH(B200,'Metrics &amp; Formulas'!$A$5:$A$200,0)),IFERROR(INDEX('Projections &amp; Dashboards'!$B$5:$B$200,MATCH(B200,'Projections &amp; Dashboards'!$A$5:$A$200,0)),IFERROR(INDEX(Funções!$O$5:$O$300,MATCH(B200,Funções!$A$5:$A$300,0)),IFERROR(INDEX(Telas!$C$5:$C$400,MATCH(B200,Telas!$A$5:$A$400,0)),IFERROR(INDEX(Roadmap!$D$6:$D$200,MATCH(B200,Roadmap!$A$6:$A$200,0)),IFERROR(INDEX(Modules!$C$5:$C$100,MATCH(B200,Modules!$A$5:$A$100,0)),"NOT FOUND"))))))))</f>
        <v/>
      </c>
      <c r="D200" s="95">
        <f>IF(B200="","",IF(C200="NOT FOUND","—",IFERROR(INDEX(Listas!$J$5:$J$13,MATCH(LEFT(B200,FIND("-",B200)-1),Listas!$I$5:$I$13,0)),"Module / area")))</f>
        <v/>
      </c>
      <c r="E200" s="93" t="n"/>
      <c r="F200" s="93" t="n"/>
      <c r="G200" s="95">
        <f>IF(F200="","",IFERROR(INDEX('Constants &amp; Enums'!$B$5:$B$200,MATCH(F200,'Constants &amp; Enums'!$A$5:$A$200,0)),IFERROR(INDEX('Metrics &amp; Formulas'!$B$5:$B$200,MATCH(F200,'Metrics &amp; Formulas'!$A$5:$A$200,0)),IFERROR(INDEX('Projections &amp; Dashboards'!$B$5:$B$200,MATCH(F200,'Projections &amp; Dashboards'!$A$5:$A$200,0)),IFERROR(INDEX(Funções!$O$5:$O$300,MATCH(F200,Funções!$A$5:$A$300,0)),IFERROR(INDEX(Telas!$C$5:$C$400,MATCH(F200,Telas!$A$5:$A$400,0)),IFERROR(INDEX(Roadmap!$D$6:$D$200,MATCH(F200,Roadmap!$A$6:$A$200,0)),IFERROR(INDEX(Modules!$C$5:$C$100,MATCH(F200,Modules!$A$5:$A$100,0)),"NOT FOUND"))))))))</f>
        <v/>
      </c>
      <c r="H200" s="95">
        <f>IF(F200="","",IF(G200="NOT FOUND","—",IFERROR(INDEX(Listas!$J$5:$J$13,MATCH(LEFT(F200,FIND("-",F200)-1),Listas!$I$5:$I$13,0)),"Module / area")))</f>
        <v/>
      </c>
      <c r="I200" s="95">
        <f>IF(AND(B200="",F200=""),"",IF(OR(C200="NOT FOUND",G200="NOT FOUND"),"✖ ID inexistente",IF(B200=F200,"✖ Autorreferência",IF(E200="","✖ Sem relação","✔ OK"))))</f>
        <v/>
      </c>
      <c r="J200" s="93" t="n"/>
    </row>
    <row r="201" ht="15" customHeight="1" s="50">
      <c r="A201" s="93" t="n"/>
      <c r="B201" s="93" t="n"/>
      <c r="C201" s="95">
        <f>IF(B201="","",IFERROR(INDEX('Constants &amp; Enums'!$B$5:$B$200,MATCH(B201,'Constants &amp; Enums'!$A$5:$A$200,0)),IFERROR(INDEX('Metrics &amp; Formulas'!$B$5:$B$200,MATCH(B201,'Metrics &amp; Formulas'!$A$5:$A$200,0)),IFERROR(INDEX('Projections &amp; Dashboards'!$B$5:$B$200,MATCH(B201,'Projections &amp; Dashboards'!$A$5:$A$200,0)),IFERROR(INDEX(Funções!$O$5:$O$300,MATCH(B201,Funções!$A$5:$A$300,0)),IFERROR(INDEX(Telas!$C$5:$C$400,MATCH(B201,Telas!$A$5:$A$400,0)),IFERROR(INDEX(Roadmap!$D$6:$D$200,MATCH(B201,Roadmap!$A$6:$A$200,0)),IFERROR(INDEX(Modules!$C$5:$C$100,MATCH(B201,Modules!$A$5:$A$100,0)),"NOT FOUND"))))))))</f>
        <v/>
      </c>
      <c r="D201" s="95">
        <f>IF(B201="","",IF(C201="NOT FOUND","—",IFERROR(INDEX(Listas!$J$5:$J$13,MATCH(LEFT(B201,FIND("-",B201)-1),Listas!$I$5:$I$13,0)),"Module / area")))</f>
        <v/>
      </c>
      <c r="E201" s="93" t="n"/>
      <c r="F201" s="93" t="n"/>
      <c r="G201" s="95">
        <f>IF(F201="","",IFERROR(INDEX('Constants &amp; Enums'!$B$5:$B$200,MATCH(F201,'Constants &amp; Enums'!$A$5:$A$200,0)),IFERROR(INDEX('Metrics &amp; Formulas'!$B$5:$B$200,MATCH(F201,'Metrics &amp; Formulas'!$A$5:$A$200,0)),IFERROR(INDEX('Projections &amp; Dashboards'!$B$5:$B$200,MATCH(F201,'Projections &amp; Dashboards'!$A$5:$A$200,0)),IFERROR(INDEX(Funções!$O$5:$O$300,MATCH(F201,Funções!$A$5:$A$300,0)),IFERROR(INDEX(Telas!$C$5:$C$400,MATCH(F201,Telas!$A$5:$A$400,0)),IFERROR(INDEX(Roadmap!$D$6:$D$200,MATCH(F201,Roadmap!$A$6:$A$200,0)),IFERROR(INDEX(Modules!$C$5:$C$100,MATCH(F201,Modules!$A$5:$A$100,0)),"NOT FOUND"))))))))</f>
        <v/>
      </c>
      <c r="H201" s="95">
        <f>IF(F201="","",IF(G201="NOT FOUND","—",IFERROR(INDEX(Listas!$J$5:$J$13,MATCH(LEFT(F201,FIND("-",F201)-1),Listas!$I$5:$I$13,0)),"Module / area")))</f>
        <v/>
      </c>
      <c r="I201" s="95">
        <f>IF(AND(B201="",F201=""),"",IF(OR(C201="NOT FOUND",G201="NOT FOUND"),"✖ ID inexistente",IF(B201=F201,"✖ Autorreferência",IF(E201="","✖ Sem relação","✔ OK"))))</f>
        <v/>
      </c>
      <c r="J201" s="93" t="n"/>
    </row>
    <row r="202" ht="15" customHeight="1" s="50">
      <c r="A202" s="93" t="n"/>
      <c r="B202" s="93" t="n"/>
      <c r="C202" s="95">
        <f>IF(B202="","",IFERROR(INDEX('Constants &amp; Enums'!$B$5:$B$200,MATCH(B202,'Constants &amp; Enums'!$A$5:$A$200,0)),IFERROR(INDEX('Metrics &amp; Formulas'!$B$5:$B$200,MATCH(B202,'Metrics &amp; Formulas'!$A$5:$A$200,0)),IFERROR(INDEX('Projections &amp; Dashboards'!$B$5:$B$200,MATCH(B202,'Projections &amp; Dashboards'!$A$5:$A$200,0)),IFERROR(INDEX(Funções!$O$5:$O$300,MATCH(B202,Funções!$A$5:$A$300,0)),IFERROR(INDEX(Telas!$C$5:$C$400,MATCH(B202,Telas!$A$5:$A$400,0)),IFERROR(INDEX(Roadmap!$D$6:$D$200,MATCH(B202,Roadmap!$A$6:$A$200,0)),IFERROR(INDEX(Modules!$C$5:$C$100,MATCH(B202,Modules!$A$5:$A$100,0)),"NOT FOUND"))))))))</f>
        <v/>
      </c>
      <c r="D202" s="95">
        <f>IF(B202="","",IF(C202="NOT FOUND","—",IFERROR(INDEX(Listas!$J$5:$J$13,MATCH(LEFT(B202,FIND("-",B202)-1),Listas!$I$5:$I$13,0)),"Module / area")))</f>
        <v/>
      </c>
      <c r="E202" s="93" t="n"/>
      <c r="F202" s="93" t="n"/>
      <c r="G202" s="95">
        <f>IF(F202="","",IFERROR(INDEX('Constants &amp; Enums'!$B$5:$B$200,MATCH(F202,'Constants &amp; Enums'!$A$5:$A$200,0)),IFERROR(INDEX('Metrics &amp; Formulas'!$B$5:$B$200,MATCH(F202,'Metrics &amp; Formulas'!$A$5:$A$200,0)),IFERROR(INDEX('Projections &amp; Dashboards'!$B$5:$B$200,MATCH(F202,'Projections &amp; Dashboards'!$A$5:$A$200,0)),IFERROR(INDEX(Funções!$O$5:$O$300,MATCH(F202,Funções!$A$5:$A$300,0)),IFERROR(INDEX(Telas!$C$5:$C$400,MATCH(F202,Telas!$A$5:$A$400,0)),IFERROR(INDEX(Roadmap!$D$6:$D$200,MATCH(F202,Roadmap!$A$6:$A$200,0)),IFERROR(INDEX(Modules!$C$5:$C$100,MATCH(F202,Modules!$A$5:$A$100,0)),"NOT FOUND"))))))))</f>
        <v/>
      </c>
      <c r="H202" s="95">
        <f>IF(F202="","",IF(G202="NOT FOUND","—",IFERROR(INDEX(Listas!$J$5:$J$13,MATCH(LEFT(F202,FIND("-",F202)-1),Listas!$I$5:$I$13,0)),"Module / area")))</f>
        <v/>
      </c>
      <c r="I202" s="95">
        <f>IF(AND(B202="",F202=""),"",IF(OR(C202="NOT FOUND",G202="NOT FOUND"),"✖ ID inexistente",IF(B202=F202,"✖ Autorreferência",IF(E202="","✖ Sem relação","✔ OK"))))</f>
        <v/>
      </c>
      <c r="J202" s="93" t="n"/>
    </row>
    <row r="203" ht="15" customHeight="1" s="50">
      <c r="A203" s="93" t="n"/>
      <c r="B203" s="93" t="n"/>
      <c r="C203" s="95">
        <f>IF(B203="","",IFERROR(INDEX('Constants &amp; Enums'!$B$5:$B$200,MATCH(B203,'Constants &amp; Enums'!$A$5:$A$200,0)),IFERROR(INDEX('Metrics &amp; Formulas'!$B$5:$B$200,MATCH(B203,'Metrics &amp; Formulas'!$A$5:$A$200,0)),IFERROR(INDEX('Projections &amp; Dashboards'!$B$5:$B$200,MATCH(B203,'Projections &amp; Dashboards'!$A$5:$A$200,0)),IFERROR(INDEX(Funções!$O$5:$O$300,MATCH(B203,Funções!$A$5:$A$300,0)),IFERROR(INDEX(Telas!$C$5:$C$400,MATCH(B203,Telas!$A$5:$A$400,0)),IFERROR(INDEX(Roadmap!$D$6:$D$200,MATCH(B203,Roadmap!$A$6:$A$200,0)),IFERROR(INDEX(Modules!$C$5:$C$100,MATCH(B203,Modules!$A$5:$A$100,0)),"NOT FOUND"))))))))</f>
        <v/>
      </c>
      <c r="D203" s="95">
        <f>IF(B203="","",IF(C203="NOT FOUND","—",IFERROR(INDEX(Listas!$J$5:$J$13,MATCH(LEFT(B203,FIND("-",B203)-1),Listas!$I$5:$I$13,0)),"Module / area")))</f>
        <v/>
      </c>
      <c r="E203" s="93" t="n"/>
      <c r="F203" s="93" t="n"/>
      <c r="G203" s="95">
        <f>IF(F203="","",IFERROR(INDEX('Constants &amp; Enums'!$B$5:$B$200,MATCH(F203,'Constants &amp; Enums'!$A$5:$A$200,0)),IFERROR(INDEX('Metrics &amp; Formulas'!$B$5:$B$200,MATCH(F203,'Metrics &amp; Formulas'!$A$5:$A$200,0)),IFERROR(INDEX('Projections &amp; Dashboards'!$B$5:$B$200,MATCH(F203,'Projections &amp; Dashboards'!$A$5:$A$200,0)),IFERROR(INDEX(Funções!$O$5:$O$300,MATCH(F203,Funções!$A$5:$A$300,0)),IFERROR(INDEX(Telas!$C$5:$C$400,MATCH(F203,Telas!$A$5:$A$400,0)),IFERROR(INDEX(Roadmap!$D$6:$D$200,MATCH(F203,Roadmap!$A$6:$A$200,0)),IFERROR(INDEX(Modules!$C$5:$C$100,MATCH(F203,Modules!$A$5:$A$100,0)),"NOT FOUND"))))))))</f>
        <v/>
      </c>
      <c r="H203" s="95">
        <f>IF(F203="","",IF(G203="NOT FOUND","—",IFERROR(INDEX(Listas!$J$5:$J$13,MATCH(LEFT(F203,FIND("-",F203)-1),Listas!$I$5:$I$13,0)),"Module / area")))</f>
        <v/>
      </c>
      <c r="I203" s="95">
        <f>IF(AND(B203="",F203=""),"",IF(OR(C203="NOT FOUND",G203="NOT FOUND"),"✖ ID inexistente",IF(B203=F203,"✖ Autorreferência",IF(E203="","✖ Sem relação","✔ OK"))))</f>
        <v/>
      </c>
      <c r="J203" s="93" t="n"/>
    </row>
    <row r="204" ht="15" customHeight="1" s="50">
      <c r="A204" s="93" t="n"/>
      <c r="B204" s="93" t="n"/>
      <c r="C204" s="95">
        <f>IF(B204="","",IFERROR(INDEX('Constants &amp; Enums'!$B$5:$B$200,MATCH(B204,'Constants &amp; Enums'!$A$5:$A$200,0)),IFERROR(INDEX('Metrics &amp; Formulas'!$B$5:$B$200,MATCH(B204,'Metrics &amp; Formulas'!$A$5:$A$200,0)),IFERROR(INDEX('Projections &amp; Dashboards'!$B$5:$B$200,MATCH(B204,'Projections &amp; Dashboards'!$A$5:$A$200,0)),IFERROR(INDEX(Funções!$O$5:$O$300,MATCH(B204,Funções!$A$5:$A$300,0)),IFERROR(INDEX(Telas!$C$5:$C$400,MATCH(B204,Telas!$A$5:$A$400,0)),IFERROR(INDEX(Roadmap!$D$6:$D$200,MATCH(B204,Roadmap!$A$6:$A$200,0)),IFERROR(INDEX(Modules!$C$5:$C$100,MATCH(B204,Modules!$A$5:$A$100,0)),"NOT FOUND"))))))))</f>
        <v/>
      </c>
      <c r="D204" s="95">
        <f>IF(B204="","",IF(C204="NOT FOUND","—",IFERROR(INDEX(Listas!$J$5:$J$13,MATCH(LEFT(B204,FIND("-",B204)-1),Listas!$I$5:$I$13,0)),"Module / area")))</f>
        <v/>
      </c>
      <c r="E204" s="93" t="n"/>
      <c r="F204" s="93" t="n"/>
      <c r="G204" s="95">
        <f>IF(F204="","",IFERROR(INDEX('Constants &amp; Enums'!$B$5:$B$200,MATCH(F204,'Constants &amp; Enums'!$A$5:$A$200,0)),IFERROR(INDEX('Metrics &amp; Formulas'!$B$5:$B$200,MATCH(F204,'Metrics &amp; Formulas'!$A$5:$A$200,0)),IFERROR(INDEX('Projections &amp; Dashboards'!$B$5:$B$200,MATCH(F204,'Projections &amp; Dashboards'!$A$5:$A$200,0)),IFERROR(INDEX(Funções!$O$5:$O$300,MATCH(F204,Funções!$A$5:$A$300,0)),IFERROR(INDEX(Telas!$C$5:$C$400,MATCH(F204,Telas!$A$5:$A$400,0)),IFERROR(INDEX(Roadmap!$D$6:$D$200,MATCH(F204,Roadmap!$A$6:$A$200,0)),IFERROR(INDEX(Modules!$C$5:$C$100,MATCH(F204,Modules!$A$5:$A$100,0)),"NOT FOUND"))))))))</f>
        <v/>
      </c>
      <c r="H204" s="95">
        <f>IF(F204="","",IF(G204="NOT FOUND","—",IFERROR(INDEX(Listas!$J$5:$J$13,MATCH(LEFT(F204,FIND("-",F204)-1),Listas!$I$5:$I$13,0)),"Module / area")))</f>
        <v/>
      </c>
      <c r="I204" s="95">
        <f>IF(AND(B204="",F204=""),"",IF(OR(C204="NOT FOUND",G204="NOT FOUND"),"✖ ID inexistente",IF(B204=F204,"✖ Autorreferência",IF(E204="","✖ Sem relação","✔ OK"))))</f>
        <v/>
      </c>
      <c r="J204" s="93" t="n"/>
    </row>
    <row r="205" ht="15" customHeight="1" s="50">
      <c r="A205" s="93" t="n"/>
      <c r="B205" s="93" t="n"/>
      <c r="C205" s="95">
        <f>IF(B205="","",IFERROR(INDEX('Constants &amp; Enums'!$B$5:$B$200,MATCH(B205,'Constants &amp; Enums'!$A$5:$A$200,0)),IFERROR(INDEX('Metrics &amp; Formulas'!$B$5:$B$200,MATCH(B205,'Metrics &amp; Formulas'!$A$5:$A$200,0)),IFERROR(INDEX('Projections &amp; Dashboards'!$B$5:$B$200,MATCH(B205,'Projections &amp; Dashboards'!$A$5:$A$200,0)),IFERROR(INDEX(Funções!$O$5:$O$300,MATCH(B205,Funções!$A$5:$A$300,0)),IFERROR(INDEX(Telas!$C$5:$C$400,MATCH(B205,Telas!$A$5:$A$400,0)),IFERROR(INDEX(Roadmap!$D$6:$D$200,MATCH(B205,Roadmap!$A$6:$A$200,0)),IFERROR(INDEX(Modules!$C$5:$C$100,MATCH(B205,Modules!$A$5:$A$100,0)),"NOT FOUND"))))))))</f>
        <v/>
      </c>
      <c r="D205" s="95">
        <f>IF(B205="","",IF(C205="NOT FOUND","—",IFERROR(INDEX(Listas!$J$5:$J$13,MATCH(LEFT(B205,FIND("-",B205)-1),Listas!$I$5:$I$13,0)),"Module / area")))</f>
        <v/>
      </c>
      <c r="E205" s="93" t="n"/>
      <c r="F205" s="93" t="n"/>
      <c r="G205" s="95">
        <f>IF(F205="","",IFERROR(INDEX('Constants &amp; Enums'!$B$5:$B$200,MATCH(F205,'Constants &amp; Enums'!$A$5:$A$200,0)),IFERROR(INDEX('Metrics &amp; Formulas'!$B$5:$B$200,MATCH(F205,'Metrics &amp; Formulas'!$A$5:$A$200,0)),IFERROR(INDEX('Projections &amp; Dashboards'!$B$5:$B$200,MATCH(F205,'Projections &amp; Dashboards'!$A$5:$A$200,0)),IFERROR(INDEX(Funções!$O$5:$O$300,MATCH(F205,Funções!$A$5:$A$300,0)),IFERROR(INDEX(Telas!$C$5:$C$400,MATCH(F205,Telas!$A$5:$A$400,0)),IFERROR(INDEX(Roadmap!$D$6:$D$200,MATCH(F205,Roadmap!$A$6:$A$200,0)),IFERROR(INDEX(Modules!$C$5:$C$100,MATCH(F205,Modules!$A$5:$A$100,0)),"NOT FOUND"))))))))</f>
        <v/>
      </c>
      <c r="H205" s="95">
        <f>IF(F205="","",IF(G205="NOT FOUND","—",IFERROR(INDEX(Listas!$J$5:$J$13,MATCH(LEFT(F205,FIND("-",F205)-1),Listas!$I$5:$I$13,0)),"Module / area")))</f>
        <v/>
      </c>
      <c r="I205" s="95">
        <f>IF(AND(B205="",F205=""),"",IF(OR(C205="NOT FOUND",G205="NOT FOUND"),"✖ ID inexistente",IF(B205=F205,"✖ Autorreferência",IF(E205="","✖ Sem relação","✔ OK"))))</f>
        <v/>
      </c>
      <c r="J205" s="93" t="n"/>
    </row>
    <row r="206" ht="15" customHeight="1" s="50">
      <c r="A206" s="93" t="n"/>
      <c r="B206" s="93" t="n"/>
      <c r="C206" s="95">
        <f>IF(B206="","",IFERROR(INDEX('Constants &amp; Enums'!$B$5:$B$200,MATCH(B206,'Constants &amp; Enums'!$A$5:$A$200,0)),IFERROR(INDEX('Metrics &amp; Formulas'!$B$5:$B$200,MATCH(B206,'Metrics &amp; Formulas'!$A$5:$A$200,0)),IFERROR(INDEX('Projections &amp; Dashboards'!$B$5:$B$200,MATCH(B206,'Projections &amp; Dashboards'!$A$5:$A$200,0)),IFERROR(INDEX(Funções!$O$5:$O$300,MATCH(B206,Funções!$A$5:$A$300,0)),IFERROR(INDEX(Telas!$C$5:$C$400,MATCH(B206,Telas!$A$5:$A$400,0)),IFERROR(INDEX(Roadmap!$D$6:$D$200,MATCH(B206,Roadmap!$A$6:$A$200,0)),IFERROR(INDEX(Modules!$C$5:$C$100,MATCH(B206,Modules!$A$5:$A$100,0)),"NOT FOUND"))))))))</f>
        <v/>
      </c>
      <c r="D206" s="95">
        <f>IF(B206="","",IF(C206="NOT FOUND","—",IFERROR(INDEX(Listas!$J$5:$J$13,MATCH(LEFT(B206,FIND("-",B206)-1),Listas!$I$5:$I$13,0)),"Module / area")))</f>
        <v/>
      </c>
      <c r="E206" s="93" t="n"/>
      <c r="F206" s="93" t="n"/>
      <c r="G206" s="95">
        <f>IF(F206="","",IFERROR(INDEX('Constants &amp; Enums'!$B$5:$B$200,MATCH(F206,'Constants &amp; Enums'!$A$5:$A$200,0)),IFERROR(INDEX('Metrics &amp; Formulas'!$B$5:$B$200,MATCH(F206,'Metrics &amp; Formulas'!$A$5:$A$200,0)),IFERROR(INDEX('Projections &amp; Dashboards'!$B$5:$B$200,MATCH(F206,'Projections &amp; Dashboards'!$A$5:$A$200,0)),IFERROR(INDEX(Funções!$O$5:$O$300,MATCH(F206,Funções!$A$5:$A$300,0)),IFERROR(INDEX(Telas!$C$5:$C$400,MATCH(F206,Telas!$A$5:$A$400,0)),IFERROR(INDEX(Roadmap!$D$6:$D$200,MATCH(F206,Roadmap!$A$6:$A$200,0)),IFERROR(INDEX(Modules!$C$5:$C$100,MATCH(F206,Modules!$A$5:$A$100,0)),"NOT FOUND"))))))))</f>
        <v/>
      </c>
      <c r="H206" s="95">
        <f>IF(F206="","",IF(G206="NOT FOUND","—",IFERROR(INDEX(Listas!$J$5:$J$13,MATCH(LEFT(F206,FIND("-",F206)-1),Listas!$I$5:$I$13,0)),"Module / area")))</f>
        <v/>
      </c>
      <c r="I206" s="95">
        <f>IF(AND(B206="",F206=""),"",IF(OR(C206="NOT FOUND",G206="NOT FOUND"),"✖ ID inexistente",IF(B206=F206,"✖ Autorreferência",IF(E206="","✖ Sem relação","✔ OK"))))</f>
        <v/>
      </c>
      <c r="J206" s="93" t="n"/>
    </row>
    <row r="207" ht="15" customHeight="1" s="50">
      <c r="A207" s="93" t="n"/>
      <c r="B207" s="93" t="n"/>
      <c r="C207" s="95">
        <f>IF(B207="","",IFERROR(INDEX('Constants &amp; Enums'!$B$5:$B$200,MATCH(B207,'Constants &amp; Enums'!$A$5:$A$200,0)),IFERROR(INDEX('Metrics &amp; Formulas'!$B$5:$B$200,MATCH(B207,'Metrics &amp; Formulas'!$A$5:$A$200,0)),IFERROR(INDEX('Projections &amp; Dashboards'!$B$5:$B$200,MATCH(B207,'Projections &amp; Dashboards'!$A$5:$A$200,0)),IFERROR(INDEX(Funções!$O$5:$O$300,MATCH(B207,Funções!$A$5:$A$300,0)),IFERROR(INDEX(Telas!$C$5:$C$400,MATCH(B207,Telas!$A$5:$A$400,0)),IFERROR(INDEX(Roadmap!$D$6:$D$200,MATCH(B207,Roadmap!$A$6:$A$200,0)),IFERROR(INDEX(Modules!$C$5:$C$100,MATCH(B207,Modules!$A$5:$A$100,0)),"NOT FOUND"))))))))</f>
        <v/>
      </c>
      <c r="D207" s="95">
        <f>IF(B207="","",IF(C207="NOT FOUND","—",IFERROR(INDEX(Listas!$J$5:$J$13,MATCH(LEFT(B207,FIND("-",B207)-1),Listas!$I$5:$I$13,0)),"Module / area")))</f>
        <v/>
      </c>
      <c r="E207" s="93" t="n"/>
      <c r="F207" s="93" t="n"/>
      <c r="G207" s="95">
        <f>IF(F207="","",IFERROR(INDEX('Constants &amp; Enums'!$B$5:$B$200,MATCH(F207,'Constants &amp; Enums'!$A$5:$A$200,0)),IFERROR(INDEX('Metrics &amp; Formulas'!$B$5:$B$200,MATCH(F207,'Metrics &amp; Formulas'!$A$5:$A$200,0)),IFERROR(INDEX('Projections &amp; Dashboards'!$B$5:$B$200,MATCH(F207,'Projections &amp; Dashboards'!$A$5:$A$200,0)),IFERROR(INDEX(Funções!$O$5:$O$300,MATCH(F207,Funções!$A$5:$A$300,0)),IFERROR(INDEX(Telas!$C$5:$C$400,MATCH(F207,Telas!$A$5:$A$400,0)),IFERROR(INDEX(Roadmap!$D$6:$D$200,MATCH(F207,Roadmap!$A$6:$A$200,0)),IFERROR(INDEX(Modules!$C$5:$C$100,MATCH(F207,Modules!$A$5:$A$100,0)),"NOT FOUND"))))))))</f>
        <v/>
      </c>
      <c r="H207" s="95">
        <f>IF(F207="","",IF(G207="NOT FOUND","—",IFERROR(INDEX(Listas!$J$5:$J$13,MATCH(LEFT(F207,FIND("-",F207)-1),Listas!$I$5:$I$13,0)),"Module / area")))</f>
        <v/>
      </c>
      <c r="I207" s="95">
        <f>IF(AND(B207="",F207=""),"",IF(OR(C207="NOT FOUND",G207="NOT FOUND"),"✖ ID inexistente",IF(B207=F207,"✖ Autorreferência",IF(E207="","✖ Sem relação","✔ OK"))))</f>
        <v/>
      </c>
      <c r="J207" s="93" t="n"/>
    </row>
    <row r="208" ht="15" customHeight="1" s="50">
      <c r="A208" s="93" t="n"/>
      <c r="B208" s="93" t="n"/>
      <c r="C208" s="95">
        <f>IF(B208="","",IFERROR(INDEX('Constants &amp; Enums'!$B$5:$B$200,MATCH(B208,'Constants &amp; Enums'!$A$5:$A$200,0)),IFERROR(INDEX('Metrics &amp; Formulas'!$B$5:$B$200,MATCH(B208,'Metrics &amp; Formulas'!$A$5:$A$200,0)),IFERROR(INDEX('Projections &amp; Dashboards'!$B$5:$B$200,MATCH(B208,'Projections &amp; Dashboards'!$A$5:$A$200,0)),IFERROR(INDEX(Funções!$O$5:$O$300,MATCH(B208,Funções!$A$5:$A$300,0)),IFERROR(INDEX(Telas!$C$5:$C$400,MATCH(B208,Telas!$A$5:$A$400,0)),IFERROR(INDEX(Roadmap!$D$6:$D$200,MATCH(B208,Roadmap!$A$6:$A$200,0)),IFERROR(INDEX(Modules!$C$5:$C$100,MATCH(B208,Modules!$A$5:$A$100,0)),"NOT FOUND"))))))))</f>
        <v/>
      </c>
      <c r="D208" s="95">
        <f>IF(B208="","",IF(C208="NOT FOUND","—",IFERROR(INDEX(Listas!$J$5:$J$13,MATCH(LEFT(B208,FIND("-",B208)-1),Listas!$I$5:$I$13,0)),"Module / area")))</f>
        <v/>
      </c>
      <c r="E208" s="93" t="n"/>
      <c r="F208" s="93" t="n"/>
      <c r="G208" s="95">
        <f>IF(F208="","",IFERROR(INDEX('Constants &amp; Enums'!$B$5:$B$200,MATCH(F208,'Constants &amp; Enums'!$A$5:$A$200,0)),IFERROR(INDEX('Metrics &amp; Formulas'!$B$5:$B$200,MATCH(F208,'Metrics &amp; Formulas'!$A$5:$A$200,0)),IFERROR(INDEX('Projections &amp; Dashboards'!$B$5:$B$200,MATCH(F208,'Projections &amp; Dashboards'!$A$5:$A$200,0)),IFERROR(INDEX(Funções!$O$5:$O$300,MATCH(F208,Funções!$A$5:$A$300,0)),IFERROR(INDEX(Telas!$C$5:$C$400,MATCH(F208,Telas!$A$5:$A$400,0)),IFERROR(INDEX(Roadmap!$D$6:$D$200,MATCH(F208,Roadmap!$A$6:$A$200,0)),IFERROR(INDEX(Modules!$C$5:$C$100,MATCH(F208,Modules!$A$5:$A$100,0)),"NOT FOUND"))))))))</f>
        <v/>
      </c>
      <c r="H208" s="95">
        <f>IF(F208="","",IF(G208="NOT FOUND","—",IFERROR(INDEX(Listas!$J$5:$J$13,MATCH(LEFT(F208,FIND("-",F208)-1),Listas!$I$5:$I$13,0)),"Module / area")))</f>
        <v/>
      </c>
      <c r="I208" s="95">
        <f>IF(AND(B208="",F208=""),"",IF(OR(C208="NOT FOUND",G208="NOT FOUND"),"✖ ID inexistente",IF(B208=F208,"✖ Autorreferência",IF(E208="","✖ Sem relação","✔ OK"))))</f>
        <v/>
      </c>
      <c r="J208" s="93" t="n"/>
    </row>
    <row r="209" ht="15" customHeight="1" s="50">
      <c r="A209" s="93" t="n"/>
      <c r="B209" s="93" t="n"/>
      <c r="C209" s="95">
        <f>IF(B209="","",IFERROR(INDEX('Constants &amp; Enums'!$B$5:$B$200,MATCH(B209,'Constants &amp; Enums'!$A$5:$A$200,0)),IFERROR(INDEX('Metrics &amp; Formulas'!$B$5:$B$200,MATCH(B209,'Metrics &amp; Formulas'!$A$5:$A$200,0)),IFERROR(INDEX('Projections &amp; Dashboards'!$B$5:$B$200,MATCH(B209,'Projections &amp; Dashboards'!$A$5:$A$200,0)),IFERROR(INDEX(Funções!$O$5:$O$300,MATCH(B209,Funções!$A$5:$A$300,0)),IFERROR(INDEX(Telas!$C$5:$C$400,MATCH(B209,Telas!$A$5:$A$400,0)),IFERROR(INDEX(Roadmap!$D$6:$D$200,MATCH(B209,Roadmap!$A$6:$A$200,0)),IFERROR(INDEX(Modules!$C$5:$C$100,MATCH(B209,Modules!$A$5:$A$100,0)),"NOT FOUND"))))))))</f>
        <v/>
      </c>
      <c r="D209" s="95">
        <f>IF(B209="","",IF(C209="NOT FOUND","—",IFERROR(INDEX(Listas!$J$5:$J$13,MATCH(LEFT(B209,FIND("-",B209)-1),Listas!$I$5:$I$13,0)),"Module / area")))</f>
        <v/>
      </c>
      <c r="E209" s="93" t="n"/>
      <c r="F209" s="93" t="n"/>
      <c r="G209" s="95">
        <f>IF(F209="","",IFERROR(INDEX('Constants &amp; Enums'!$B$5:$B$200,MATCH(F209,'Constants &amp; Enums'!$A$5:$A$200,0)),IFERROR(INDEX('Metrics &amp; Formulas'!$B$5:$B$200,MATCH(F209,'Metrics &amp; Formulas'!$A$5:$A$200,0)),IFERROR(INDEX('Projections &amp; Dashboards'!$B$5:$B$200,MATCH(F209,'Projections &amp; Dashboards'!$A$5:$A$200,0)),IFERROR(INDEX(Funções!$O$5:$O$300,MATCH(F209,Funções!$A$5:$A$300,0)),IFERROR(INDEX(Telas!$C$5:$C$400,MATCH(F209,Telas!$A$5:$A$400,0)),IFERROR(INDEX(Roadmap!$D$6:$D$200,MATCH(F209,Roadmap!$A$6:$A$200,0)),IFERROR(INDEX(Modules!$C$5:$C$100,MATCH(F209,Modules!$A$5:$A$100,0)),"NOT FOUND"))))))))</f>
        <v/>
      </c>
      <c r="H209" s="95">
        <f>IF(F209="","",IF(G209="NOT FOUND","—",IFERROR(INDEX(Listas!$J$5:$J$13,MATCH(LEFT(F209,FIND("-",F209)-1),Listas!$I$5:$I$13,0)),"Module / area")))</f>
        <v/>
      </c>
      <c r="I209" s="95">
        <f>IF(AND(B209="",F209=""),"",IF(OR(C209="NOT FOUND",G209="NOT FOUND"),"✖ ID inexistente",IF(B209=F209,"✖ Autorreferência",IF(E209="","✖ Sem relação","✔ OK"))))</f>
        <v/>
      </c>
      <c r="J209" s="93" t="n"/>
    </row>
    <row r="210" ht="15" customHeight="1" s="50">
      <c r="A210" s="93" t="n"/>
      <c r="B210" s="93" t="n"/>
      <c r="C210" s="95">
        <f>IF(B210="","",IFERROR(INDEX('Constants &amp; Enums'!$B$5:$B$200,MATCH(B210,'Constants &amp; Enums'!$A$5:$A$200,0)),IFERROR(INDEX('Metrics &amp; Formulas'!$B$5:$B$200,MATCH(B210,'Metrics &amp; Formulas'!$A$5:$A$200,0)),IFERROR(INDEX('Projections &amp; Dashboards'!$B$5:$B$200,MATCH(B210,'Projections &amp; Dashboards'!$A$5:$A$200,0)),IFERROR(INDEX(Funções!$O$5:$O$300,MATCH(B210,Funções!$A$5:$A$300,0)),IFERROR(INDEX(Telas!$C$5:$C$400,MATCH(B210,Telas!$A$5:$A$400,0)),IFERROR(INDEX(Roadmap!$D$6:$D$200,MATCH(B210,Roadmap!$A$6:$A$200,0)),IFERROR(INDEX(Modules!$C$5:$C$100,MATCH(B210,Modules!$A$5:$A$100,0)),"NOT FOUND"))))))))</f>
        <v/>
      </c>
      <c r="D210" s="95">
        <f>IF(B210="","",IF(C210="NOT FOUND","—",IFERROR(INDEX(Listas!$J$5:$J$13,MATCH(LEFT(B210,FIND("-",B210)-1),Listas!$I$5:$I$13,0)),"Module / area")))</f>
        <v/>
      </c>
      <c r="E210" s="93" t="n"/>
      <c r="F210" s="93" t="n"/>
      <c r="G210" s="95">
        <f>IF(F210="","",IFERROR(INDEX('Constants &amp; Enums'!$B$5:$B$200,MATCH(F210,'Constants &amp; Enums'!$A$5:$A$200,0)),IFERROR(INDEX('Metrics &amp; Formulas'!$B$5:$B$200,MATCH(F210,'Metrics &amp; Formulas'!$A$5:$A$200,0)),IFERROR(INDEX('Projections &amp; Dashboards'!$B$5:$B$200,MATCH(F210,'Projections &amp; Dashboards'!$A$5:$A$200,0)),IFERROR(INDEX(Funções!$O$5:$O$300,MATCH(F210,Funções!$A$5:$A$300,0)),IFERROR(INDEX(Telas!$C$5:$C$400,MATCH(F210,Telas!$A$5:$A$400,0)),IFERROR(INDEX(Roadmap!$D$6:$D$200,MATCH(F210,Roadmap!$A$6:$A$200,0)),IFERROR(INDEX(Modules!$C$5:$C$100,MATCH(F210,Modules!$A$5:$A$100,0)),"NOT FOUND"))))))))</f>
        <v/>
      </c>
      <c r="H210" s="95">
        <f>IF(F210="","",IF(G210="NOT FOUND","—",IFERROR(INDEX(Listas!$J$5:$J$13,MATCH(LEFT(F210,FIND("-",F210)-1),Listas!$I$5:$I$13,0)),"Module / area")))</f>
        <v/>
      </c>
      <c r="I210" s="95">
        <f>IF(AND(B210="",F210=""),"",IF(OR(C210="NOT FOUND",G210="NOT FOUND"),"✖ ID inexistente",IF(B210=F210,"✖ Autorreferência",IF(E210="","✖ Sem relação","✔ OK"))))</f>
        <v/>
      </c>
      <c r="J210" s="93" t="n"/>
    </row>
    <row r="211" ht="15" customHeight="1" s="50">
      <c r="A211" s="93" t="n"/>
      <c r="B211" s="93" t="n"/>
      <c r="C211" s="95">
        <f>IF(B211="","",IFERROR(INDEX('Constants &amp; Enums'!$B$5:$B$200,MATCH(B211,'Constants &amp; Enums'!$A$5:$A$200,0)),IFERROR(INDEX('Metrics &amp; Formulas'!$B$5:$B$200,MATCH(B211,'Metrics &amp; Formulas'!$A$5:$A$200,0)),IFERROR(INDEX('Projections &amp; Dashboards'!$B$5:$B$200,MATCH(B211,'Projections &amp; Dashboards'!$A$5:$A$200,0)),IFERROR(INDEX(Funções!$O$5:$O$300,MATCH(B211,Funções!$A$5:$A$300,0)),IFERROR(INDEX(Telas!$C$5:$C$400,MATCH(B211,Telas!$A$5:$A$400,0)),IFERROR(INDEX(Roadmap!$D$6:$D$200,MATCH(B211,Roadmap!$A$6:$A$200,0)),IFERROR(INDEX(Modules!$C$5:$C$100,MATCH(B211,Modules!$A$5:$A$100,0)),"NOT FOUND"))))))))</f>
        <v/>
      </c>
      <c r="D211" s="95">
        <f>IF(B211="","",IF(C211="NOT FOUND","—",IFERROR(INDEX(Listas!$J$5:$J$13,MATCH(LEFT(B211,FIND("-",B211)-1),Listas!$I$5:$I$13,0)),"Module / area")))</f>
        <v/>
      </c>
      <c r="E211" s="93" t="n"/>
      <c r="F211" s="93" t="n"/>
      <c r="G211" s="95">
        <f>IF(F211="","",IFERROR(INDEX('Constants &amp; Enums'!$B$5:$B$200,MATCH(F211,'Constants &amp; Enums'!$A$5:$A$200,0)),IFERROR(INDEX('Metrics &amp; Formulas'!$B$5:$B$200,MATCH(F211,'Metrics &amp; Formulas'!$A$5:$A$200,0)),IFERROR(INDEX('Projections &amp; Dashboards'!$B$5:$B$200,MATCH(F211,'Projections &amp; Dashboards'!$A$5:$A$200,0)),IFERROR(INDEX(Funções!$O$5:$O$300,MATCH(F211,Funções!$A$5:$A$300,0)),IFERROR(INDEX(Telas!$C$5:$C$400,MATCH(F211,Telas!$A$5:$A$400,0)),IFERROR(INDEX(Roadmap!$D$6:$D$200,MATCH(F211,Roadmap!$A$6:$A$200,0)),IFERROR(INDEX(Modules!$C$5:$C$100,MATCH(F211,Modules!$A$5:$A$100,0)),"NOT FOUND"))))))))</f>
        <v/>
      </c>
      <c r="H211" s="95">
        <f>IF(F211="","",IF(G211="NOT FOUND","—",IFERROR(INDEX(Listas!$J$5:$J$13,MATCH(LEFT(F211,FIND("-",F211)-1),Listas!$I$5:$I$13,0)),"Module / area")))</f>
        <v/>
      </c>
      <c r="I211" s="95">
        <f>IF(AND(B211="",F211=""),"",IF(OR(C211="NOT FOUND",G211="NOT FOUND"),"✖ ID inexistente",IF(B211=F211,"✖ Autorreferência",IF(E211="","✖ Sem relação","✔ OK"))))</f>
        <v/>
      </c>
      <c r="J211" s="93" t="n"/>
    </row>
    <row r="212" ht="15" customHeight="1" s="50">
      <c r="A212" s="93" t="n"/>
      <c r="B212" s="93" t="n"/>
      <c r="C212" s="95">
        <f>IF(B212="","",IFERROR(INDEX('Constants &amp; Enums'!$B$5:$B$200,MATCH(B212,'Constants &amp; Enums'!$A$5:$A$200,0)),IFERROR(INDEX('Metrics &amp; Formulas'!$B$5:$B$200,MATCH(B212,'Metrics &amp; Formulas'!$A$5:$A$200,0)),IFERROR(INDEX('Projections &amp; Dashboards'!$B$5:$B$200,MATCH(B212,'Projections &amp; Dashboards'!$A$5:$A$200,0)),IFERROR(INDEX(Funções!$O$5:$O$300,MATCH(B212,Funções!$A$5:$A$300,0)),IFERROR(INDEX(Telas!$C$5:$C$400,MATCH(B212,Telas!$A$5:$A$400,0)),IFERROR(INDEX(Roadmap!$D$6:$D$200,MATCH(B212,Roadmap!$A$6:$A$200,0)),IFERROR(INDEX(Modules!$C$5:$C$100,MATCH(B212,Modules!$A$5:$A$100,0)),"NOT FOUND"))))))))</f>
        <v/>
      </c>
      <c r="D212" s="95">
        <f>IF(B212="","",IF(C212="NOT FOUND","—",IFERROR(INDEX(Listas!$J$5:$J$13,MATCH(LEFT(B212,FIND("-",B212)-1),Listas!$I$5:$I$13,0)),"Module / area")))</f>
        <v/>
      </c>
      <c r="E212" s="93" t="n"/>
      <c r="F212" s="93" t="n"/>
      <c r="G212" s="95">
        <f>IF(F212="","",IFERROR(INDEX('Constants &amp; Enums'!$B$5:$B$200,MATCH(F212,'Constants &amp; Enums'!$A$5:$A$200,0)),IFERROR(INDEX('Metrics &amp; Formulas'!$B$5:$B$200,MATCH(F212,'Metrics &amp; Formulas'!$A$5:$A$200,0)),IFERROR(INDEX('Projections &amp; Dashboards'!$B$5:$B$200,MATCH(F212,'Projections &amp; Dashboards'!$A$5:$A$200,0)),IFERROR(INDEX(Funções!$O$5:$O$300,MATCH(F212,Funções!$A$5:$A$300,0)),IFERROR(INDEX(Telas!$C$5:$C$400,MATCH(F212,Telas!$A$5:$A$400,0)),IFERROR(INDEX(Roadmap!$D$6:$D$200,MATCH(F212,Roadmap!$A$6:$A$200,0)),IFERROR(INDEX(Modules!$C$5:$C$100,MATCH(F212,Modules!$A$5:$A$100,0)),"NOT FOUND"))))))))</f>
        <v/>
      </c>
      <c r="H212" s="95">
        <f>IF(F212="","",IF(G212="NOT FOUND","—",IFERROR(INDEX(Listas!$J$5:$J$13,MATCH(LEFT(F212,FIND("-",F212)-1),Listas!$I$5:$I$13,0)),"Module / area")))</f>
        <v/>
      </c>
      <c r="I212" s="95">
        <f>IF(AND(B212="",F212=""),"",IF(OR(C212="NOT FOUND",G212="NOT FOUND"),"✖ ID inexistente",IF(B212=F212,"✖ Autorreferência",IF(E212="","✖ Sem relação","✔ OK"))))</f>
        <v/>
      </c>
      <c r="J212" s="93" t="n"/>
    </row>
    <row r="213" ht="15" customHeight="1" s="50">
      <c r="A213" s="93" t="n"/>
      <c r="B213" s="93" t="n"/>
      <c r="C213" s="95">
        <f>IF(B213="","",IFERROR(INDEX('Constants &amp; Enums'!$B$5:$B$200,MATCH(B213,'Constants &amp; Enums'!$A$5:$A$200,0)),IFERROR(INDEX('Metrics &amp; Formulas'!$B$5:$B$200,MATCH(B213,'Metrics &amp; Formulas'!$A$5:$A$200,0)),IFERROR(INDEX('Projections &amp; Dashboards'!$B$5:$B$200,MATCH(B213,'Projections &amp; Dashboards'!$A$5:$A$200,0)),IFERROR(INDEX(Funções!$O$5:$O$300,MATCH(B213,Funções!$A$5:$A$300,0)),IFERROR(INDEX(Telas!$C$5:$C$400,MATCH(B213,Telas!$A$5:$A$400,0)),IFERROR(INDEX(Roadmap!$D$6:$D$200,MATCH(B213,Roadmap!$A$6:$A$200,0)),IFERROR(INDEX(Modules!$C$5:$C$100,MATCH(B213,Modules!$A$5:$A$100,0)),"NOT FOUND"))))))))</f>
        <v/>
      </c>
      <c r="D213" s="95">
        <f>IF(B213="","",IF(C213="NOT FOUND","—",IFERROR(INDEX(Listas!$J$5:$J$13,MATCH(LEFT(B213,FIND("-",B213)-1),Listas!$I$5:$I$13,0)),"Module / area")))</f>
        <v/>
      </c>
      <c r="E213" s="93" t="n"/>
      <c r="F213" s="93" t="n"/>
      <c r="G213" s="95">
        <f>IF(F213="","",IFERROR(INDEX('Constants &amp; Enums'!$B$5:$B$200,MATCH(F213,'Constants &amp; Enums'!$A$5:$A$200,0)),IFERROR(INDEX('Metrics &amp; Formulas'!$B$5:$B$200,MATCH(F213,'Metrics &amp; Formulas'!$A$5:$A$200,0)),IFERROR(INDEX('Projections &amp; Dashboards'!$B$5:$B$200,MATCH(F213,'Projections &amp; Dashboards'!$A$5:$A$200,0)),IFERROR(INDEX(Funções!$O$5:$O$300,MATCH(F213,Funções!$A$5:$A$300,0)),IFERROR(INDEX(Telas!$C$5:$C$400,MATCH(F213,Telas!$A$5:$A$400,0)),IFERROR(INDEX(Roadmap!$D$6:$D$200,MATCH(F213,Roadmap!$A$6:$A$200,0)),IFERROR(INDEX(Modules!$C$5:$C$100,MATCH(F213,Modules!$A$5:$A$100,0)),"NOT FOUND"))))))))</f>
        <v/>
      </c>
      <c r="H213" s="95">
        <f>IF(F213="","",IF(G213="NOT FOUND","—",IFERROR(INDEX(Listas!$J$5:$J$13,MATCH(LEFT(F213,FIND("-",F213)-1),Listas!$I$5:$I$13,0)),"Module / area")))</f>
        <v/>
      </c>
      <c r="I213" s="95">
        <f>IF(AND(B213="",F213=""),"",IF(OR(C213="NOT FOUND",G213="NOT FOUND"),"✖ ID inexistente",IF(B213=F213,"✖ Autorreferência",IF(E213="","✖ Sem relação","✔ OK"))))</f>
        <v/>
      </c>
      <c r="J213" s="93" t="n"/>
    </row>
    <row r="214" ht="15" customHeight="1" s="50">
      <c r="A214" s="93" t="n"/>
      <c r="B214" s="93" t="n"/>
      <c r="C214" s="95">
        <f>IF(B214="","",IFERROR(INDEX('Constants &amp; Enums'!$B$5:$B$200,MATCH(B214,'Constants &amp; Enums'!$A$5:$A$200,0)),IFERROR(INDEX('Metrics &amp; Formulas'!$B$5:$B$200,MATCH(B214,'Metrics &amp; Formulas'!$A$5:$A$200,0)),IFERROR(INDEX('Projections &amp; Dashboards'!$B$5:$B$200,MATCH(B214,'Projections &amp; Dashboards'!$A$5:$A$200,0)),IFERROR(INDEX(Funções!$O$5:$O$300,MATCH(B214,Funções!$A$5:$A$300,0)),IFERROR(INDEX(Telas!$C$5:$C$400,MATCH(B214,Telas!$A$5:$A$400,0)),IFERROR(INDEX(Roadmap!$D$6:$D$200,MATCH(B214,Roadmap!$A$6:$A$200,0)),IFERROR(INDEX(Modules!$C$5:$C$100,MATCH(B214,Modules!$A$5:$A$100,0)),"NOT FOUND"))))))))</f>
        <v/>
      </c>
      <c r="D214" s="95">
        <f>IF(B214="","",IF(C214="NOT FOUND","—",IFERROR(INDEX(Listas!$J$5:$J$13,MATCH(LEFT(B214,FIND("-",B214)-1),Listas!$I$5:$I$13,0)),"Module / area")))</f>
        <v/>
      </c>
      <c r="E214" s="93" t="n"/>
      <c r="F214" s="93" t="n"/>
      <c r="G214" s="95">
        <f>IF(F214="","",IFERROR(INDEX('Constants &amp; Enums'!$B$5:$B$200,MATCH(F214,'Constants &amp; Enums'!$A$5:$A$200,0)),IFERROR(INDEX('Metrics &amp; Formulas'!$B$5:$B$200,MATCH(F214,'Metrics &amp; Formulas'!$A$5:$A$200,0)),IFERROR(INDEX('Projections &amp; Dashboards'!$B$5:$B$200,MATCH(F214,'Projections &amp; Dashboards'!$A$5:$A$200,0)),IFERROR(INDEX(Funções!$O$5:$O$300,MATCH(F214,Funções!$A$5:$A$300,0)),IFERROR(INDEX(Telas!$C$5:$C$400,MATCH(F214,Telas!$A$5:$A$400,0)),IFERROR(INDEX(Roadmap!$D$6:$D$200,MATCH(F214,Roadmap!$A$6:$A$200,0)),IFERROR(INDEX(Modules!$C$5:$C$100,MATCH(F214,Modules!$A$5:$A$100,0)),"NOT FOUND"))))))))</f>
        <v/>
      </c>
      <c r="H214" s="95">
        <f>IF(F214="","",IF(G214="NOT FOUND","—",IFERROR(INDEX(Listas!$J$5:$J$13,MATCH(LEFT(F214,FIND("-",F214)-1),Listas!$I$5:$I$13,0)),"Module / area")))</f>
        <v/>
      </c>
      <c r="I214" s="95">
        <f>IF(AND(B214="",F214=""),"",IF(OR(C214="NOT FOUND",G214="NOT FOUND"),"✖ ID inexistente",IF(B214=F214,"✖ Autorreferência",IF(E214="","✖ Sem relação","✔ OK"))))</f>
        <v/>
      </c>
      <c r="J214" s="93" t="n"/>
    </row>
    <row r="215" ht="15" customHeight="1" s="50">
      <c r="A215" s="93" t="n"/>
      <c r="B215" s="93" t="n"/>
      <c r="C215" s="95">
        <f>IF(B215="","",IFERROR(INDEX('Constants &amp; Enums'!$B$5:$B$200,MATCH(B215,'Constants &amp; Enums'!$A$5:$A$200,0)),IFERROR(INDEX('Metrics &amp; Formulas'!$B$5:$B$200,MATCH(B215,'Metrics &amp; Formulas'!$A$5:$A$200,0)),IFERROR(INDEX('Projections &amp; Dashboards'!$B$5:$B$200,MATCH(B215,'Projections &amp; Dashboards'!$A$5:$A$200,0)),IFERROR(INDEX(Funções!$O$5:$O$300,MATCH(B215,Funções!$A$5:$A$300,0)),IFERROR(INDEX(Telas!$C$5:$C$400,MATCH(B215,Telas!$A$5:$A$400,0)),IFERROR(INDEX(Roadmap!$D$6:$D$200,MATCH(B215,Roadmap!$A$6:$A$200,0)),IFERROR(INDEX(Modules!$C$5:$C$100,MATCH(B215,Modules!$A$5:$A$100,0)),"NOT FOUND"))))))))</f>
        <v/>
      </c>
      <c r="D215" s="95">
        <f>IF(B215="","",IF(C215="NOT FOUND","—",IFERROR(INDEX(Listas!$J$5:$J$13,MATCH(LEFT(B215,FIND("-",B215)-1),Listas!$I$5:$I$13,0)),"Module / area")))</f>
        <v/>
      </c>
      <c r="E215" s="93" t="n"/>
      <c r="F215" s="93" t="n"/>
      <c r="G215" s="95">
        <f>IF(F215="","",IFERROR(INDEX('Constants &amp; Enums'!$B$5:$B$200,MATCH(F215,'Constants &amp; Enums'!$A$5:$A$200,0)),IFERROR(INDEX('Metrics &amp; Formulas'!$B$5:$B$200,MATCH(F215,'Metrics &amp; Formulas'!$A$5:$A$200,0)),IFERROR(INDEX('Projections &amp; Dashboards'!$B$5:$B$200,MATCH(F215,'Projections &amp; Dashboards'!$A$5:$A$200,0)),IFERROR(INDEX(Funções!$O$5:$O$300,MATCH(F215,Funções!$A$5:$A$300,0)),IFERROR(INDEX(Telas!$C$5:$C$400,MATCH(F215,Telas!$A$5:$A$400,0)),IFERROR(INDEX(Roadmap!$D$6:$D$200,MATCH(F215,Roadmap!$A$6:$A$200,0)),IFERROR(INDEX(Modules!$C$5:$C$100,MATCH(F215,Modules!$A$5:$A$100,0)),"NOT FOUND"))))))))</f>
        <v/>
      </c>
      <c r="H215" s="95">
        <f>IF(F215="","",IF(G215="NOT FOUND","—",IFERROR(INDEX(Listas!$J$5:$J$13,MATCH(LEFT(F215,FIND("-",F215)-1),Listas!$I$5:$I$13,0)),"Module / area")))</f>
        <v/>
      </c>
      <c r="I215" s="95">
        <f>IF(AND(B215="",F215=""),"",IF(OR(C215="NOT FOUND",G215="NOT FOUND"),"✖ ID inexistente",IF(B215=F215,"✖ Autorreferência",IF(E215="","✖ Sem relação","✔ OK"))))</f>
        <v/>
      </c>
      <c r="J215" s="93" t="n"/>
    </row>
    <row r="216" ht="15" customHeight="1" s="50">
      <c r="A216" s="93" t="n"/>
      <c r="B216" s="93" t="n"/>
      <c r="C216" s="95">
        <f>IF(B216="","",IFERROR(INDEX('Constants &amp; Enums'!$B$5:$B$200,MATCH(B216,'Constants &amp; Enums'!$A$5:$A$200,0)),IFERROR(INDEX('Metrics &amp; Formulas'!$B$5:$B$200,MATCH(B216,'Metrics &amp; Formulas'!$A$5:$A$200,0)),IFERROR(INDEX('Projections &amp; Dashboards'!$B$5:$B$200,MATCH(B216,'Projections &amp; Dashboards'!$A$5:$A$200,0)),IFERROR(INDEX(Funções!$O$5:$O$300,MATCH(B216,Funções!$A$5:$A$300,0)),IFERROR(INDEX(Telas!$C$5:$C$400,MATCH(B216,Telas!$A$5:$A$400,0)),IFERROR(INDEX(Roadmap!$D$6:$D$200,MATCH(B216,Roadmap!$A$6:$A$200,0)),IFERROR(INDEX(Modules!$C$5:$C$100,MATCH(B216,Modules!$A$5:$A$100,0)),"NOT FOUND"))))))))</f>
        <v/>
      </c>
      <c r="D216" s="95">
        <f>IF(B216="","",IF(C216="NOT FOUND","—",IFERROR(INDEX(Listas!$J$5:$J$13,MATCH(LEFT(B216,FIND("-",B216)-1),Listas!$I$5:$I$13,0)),"Module / area")))</f>
        <v/>
      </c>
      <c r="E216" s="93" t="n"/>
      <c r="F216" s="93" t="n"/>
      <c r="G216" s="95">
        <f>IF(F216="","",IFERROR(INDEX('Constants &amp; Enums'!$B$5:$B$200,MATCH(F216,'Constants &amp; Enums'!$A$5:$A$200,0)),IFERROR(INDEX('Metrics &amp; Formulas'!$B$5:$B$200,MATCH(F216,'Metrics &amp; Formulas'!$A$5:$A$200,0)),IFERROR(INDEX('Projections &amp; Dashboards'!$B$5:$B$200,MATCH(F216,'Projections &amp; Dashboards'!$A$5:$A$200,0)),IFERROR(INDEX(Funções!$O$5:$O$300,MATCH(F216,Funções!$A$5:$A$300,0)),IFERROR(INDEX(Telas!$C$5:$C$400,MATCH(F216,Telas!$A$5:$A$400,0)),IFERROR(INDEX(Roadmap!$D$6:$D$200,MATCH(F216,Roadmap!$A$6:$A$200,0)),IFERROR(INDEX(Modules!$C$5:$C$100,MATCH(F216,Modules!$A$5:$A$100,0)),"NOT FOUND"))))))))</f>
        <v/>
      </c>
      <c r="H216" s="95">
        <f>IF(F216="","",IF(G216="NOT FOUND","—",IFERROR(INDEX(Listas!$J$5:$J$13,MATCH(LEFT(F216,FIND("-",F216)-1),Listas!$I$5:$I$13,0)),"Module / area")))</f>
        <v/>
      </c>
      <c r="I216" s="95">
        <f>IF(AND(B216="",F216=""),"",IF(OR(C216="NOT FOUND",G216="NOT FOUND"),"✖ ID inexistente",IF(B216=F216,"✖ Autorreferência",IF(E216="","✖ Sem relação","✔ OK"))))</f>
        <v/>
      </c>
      <c r="J216" s="93" t="n"/>
    </row>
    <row r="217" ht="15" customHeight="1" s="50">
      <c r="A217" s="93" t="n"/>
      <c r="B217" s="93" t="n"/>
      <c r="C217" s="95">
        <f>IF(B217="","",IFERROR(INDEX('Constants &amp; Enums'!$B$5:$B$200,MATCH(B217,'Constants &amp; Enums'!$A$5:$A$200,0)),IFERROR(INDEX('Metrics &amp; Formulas'!$B$5:$B$200,MATCH(B217,'Metrics &amp; Formulas'!$A$5:$A$200,0)),IFERROR(INDEX('Projections &amp; Dashboards'!$B$5:$B$200,MATCH(B217,'Projections &amp; Dashboards'!$A$5:$A$200,0)),IFERROR(INDEX(Funções!$O$5:$O$300,MATCH(B217,Funções!$A$5:$A$300,0)),IFERROR(INDEX(Telas!$C$5:$C$400,MATCH(B217,Telas!$A$5:$A$400,0)),IFERROR(INDEX(Roadmap!$D$6:$D$200,MATCH(B217,Roadmap!$A$6:$A$200,0)),IFERROR(INDEX(Modules!$C$5:$C$100,MATCH(B217,Modules!$A$5:$A$100,0)),"NOT FOUND"))))))))</f>
        <v/>
      </c>
      <c r="D217" s="95">
        <f>IF(B217="","",IF(C217="NOT FOUND","—",IFERROR(INDEX(Listas!$J$5:$J$13,MATCH(LEFT(B217,FIND("-",B217)-1),Listas!$I$5:$I$13,0)),"Module / area")))</f>
        <v/>
      </c>
      <c r="E217" s="93" t="n"/>
      <c r="F217" s="93" t="n"/>
      <c r="G217" s="95">
        <f>IF(F217="","",IFERROR(INDEX('Constants &amp; Enums'!$B$5:$B$200,MATCH(F217,'Constants &amp; Enums'!$A$5:$A$200,0)),IFERROR(INDEX('Metrics &amp; Formulas'!$B$5:$B$200,MATCH(F217,'Metrics &amp; Formulas'!$A$5:$A$200,0)),IFERROR(INDEX('Projections &amp; Dashboards'!$B$5:$B$200,MATCH(F217,'Projections &amp; Dashboards'!$A$5:$A$200,0)),IFERROR(INDEX(Funções!$O$5:$O$300,MATCH(F217,Funções!$A$5:$A$300,0)),IFERROR(INDEX(Telas!$C$5:$C$400,MATCH(F217,Telas!$A$5:$A$400,0)),IFERROR(INDEX(Roadmap!$D$6:$D$200,MATCH(F217,Roadmap!$A$6:$A$200,0)),IFERROR(INDEX(Modules!$C$5:$C$100,MATCH(F217,Modules!$A$5:$A$100,0)),"NOT FOUND"))))))))</f>
        <v/>
      </c>
      <c r="H217" s="95">
        <f>IF(F217="","",IF(G217="NOT FOUND","—",IFERROR(INDEX(Listas!$J$5:$J$13,MATCH(LEFT(F217,FIND("-",F217)-1),Listas!$I$5:$I$13,0)),"Module / area")))</f>
        <v/>
      </c>
      <c r="I217" s="95">
        <f>IF(AND(B217="",F217=""),"",IF(OR(C217="NOT FOUND",G217="NOT FOUND"),"✖ ID inexistente",IF(B217=F217,"✖ Autorreferência",IF(E217="","✖ Sem relação","✔ OK"))))</f>
        <v/>
      </c>
      <c r="J217" s="93" t="n"/>
    </row>
    <row r="218" ht="15" customHeight="1" s="50">
      <c r="A218" s="93" t="n"/>
      <c r="B218" s="93" t="n"/>
      <c r="C218" s="95">
        <f>IF(B218="","",IFERROR(INDEX('Constants &amp; Enums'!$B$5:$B$200,MATCH(B218,'Constants &amp; Enums'!$A$5:$A$200,0)),IFERROR(INDEX('Metrics &amp; Formulas'!$B$5:$B$200,MATCH(B218,'Metrics &amp; Formulas'!$A$5:$A$200,0)),IFERROR(INDEX('Projections &amp; Dashboards'!$B$5:$B$200,MATCH(B218,'Projections &amp; Dashboards'!$A$5:$A$200,0)),IFERROR(INDEX(Funções!$O$5:$O$300,MATCH(B218,Funções!$A$5:$A$300,0)),IFERROR(INDEX(Telas!$C$5:$C$400,MATCH(B218,Telas!$A$5:$A$400,0)),IFERROR(INDEX(Roadmap!$D$6:$D$200,MATCH(B218,Roadmap!$A$6:$A$200,0)),IFERROR(INDEX(Modules!$C$5:$C$100,MATCH(B218,Modules!$A$5:$A$100,0)),"NOT FOUND"))))))))</f>
        <v/>
      </c>
      <c r="D218" s="95">
        <f>IF(B218="","",IF(C218="NOT FOUND","—",IFERROR(INDEX(Listas!$J$5:$J$13,MATCH(LEFT(B218,FIND("-",B218)-1),Listas!$I$5:$I$13,0)),"Module / area")))</f>
        <v/>
      </c>
      <c r="E218" s="93" t="n"/>
      <c r="F218" s="93" t="n"/>
      <c r="G218" s="95">
        <f>IF(F218="","",IFERROR(INDEX('Constants &amp; Enums'!$B$5:$B$200,MATCH(F218,'Constants &amp; Enums'!$A$5:$A$200,0)),IFERROR(INDEX('Metrics &amp; Formulas'!$B$5:$B$200,MATCH(F218,'Metrics &amp; Formulas'!$A$5:$A$200,0)),IFERROR(INDEX('Projections &amp; Dashboards'!$B$5:$B$200,MATCH(F218,'Projections &amp; Dashboards'!$A$5:$A$200,0)),IFERROR(INDEX(Funções!$O$5:$O$300,MATCH(F218,Funções!$A$5:$A$300,0)),IFERROR(INDEX(Telas!$C$5:$C$400,MATCH(F218,Telas!$A$5:$A$400,0)),IFERROR(INDEX(Roadmap!$D$6:$D$200,MATCH(F218,Roadmap!$A$6:$A$200,0)),IFERROR(INDEX(Modules!$C$5:$C$100,MATCH(F218,Modules!$A$5:$A$100,0)),"NOT FOUND"))))))))</f>
        <v/>
      </c>
      <c r="H218" s="95">
        <f>IF(F218="","",IF(G218="NOT FOUND","—",IFERROR(INDEX(Listas!$J$5:$J$13,MATCH(LEFT(F218,FIND("-",F218)-1),Listas!$I$5:$I$13,0)),"Module / area")))</f>
        <v/>
      </c>
      <c r="I218" s="95">
        <f>IF(AND(B218="",F218=""),"",IF(OR(C218="NOT FOUND",G218="NOT FOUND"),"✖ ID inexistente",IF(B218=F218,"✖ Autorreferência",IF(E218="","✖ Sem relação","✔ OK"))))</f>
        <v/>
      </c>
      <c r="J218" s="93" t="n"/>
    </row>
    <row r="219" ht="15" customHeight="1" s="50">
      <c r="A219" s="93" t="n"/>
      <c r="B219" s="93" t="n"/>
      <c r="C219" s="95">
        <f>IF(B219="","",IFERROR(INDEX('Constants &amp; Enums'!$B$5:$B$200,MATCH(B219,'Constants &amp; Enums'!$A$5:$A$200,0)),IFERROR(INDEX('Metrics &amp; Formulas'!$B$5:$B$200,MATCH(B219,'Metrics &amp; Formulas'!$A$5:$A$200,0)),IFERROR(INDEX('Projections &amp; Dashboards'!$B$5:$B$200,MATCH(B219,'Projections &amp; Dashboards'!$A$5:$A$200,0)),IFERROR(INDEX(Funções!$O$5:$O$300,MATCH(B219,Funções!$A$5:$A$300,0)),IFERROR(INDEX(Telas!$C$5:$C$400,MATCH(B219,Telas!$A$5:$A$400,0)),IFERROR(INDEX(Roadmap!$D$6:$D$200,MATCH(B219,Roadmap!$A$6:$A$200,0)),IFERROR(INDEX(Modules!$C$5:$C$100,MATCH(B219,Modules!$A$5:$A$100,0)),"NOT FOUND"))))))))</f>
        <v/>
      </c>
      <c r="D219" s="95">
        <f>IF(B219="","",IF(C219="NOT FOUND","—",IFERROR(INDEX(Listas!$J$5:$J$13,MATCH(LEFT(B219,FIND("-",B219)-1),Listas!$I$5:$I$13,0)),"Module / area")))</f>
        <v/>
      </c>
      <c r="E219" s="93" t="n"/>
      <c r="F219" s="93" t="n"/>
      <c r="G219" s="95">
        <f>IF(F219="","",IFERROR(INDEX('Constants &amp; Enums'!$B$5:$B$200,MATCH(F219,'Constants &amp; Enums'!$A$5:$A$200,0)),IFERROR(INDEX('Metrics &amp; Formulas'!$B$5:$B$200,MATCH(F219,'Metrics &amp; Formulas'!$A$5:$A$200,0)),IFERROR(INDEX('Projections &amp; Dashboards'!$B$5:$B$200,MATCH(F219,'Projections &amp; Dashboards'!$A$5:$A$200,0)),IFERROR(INDEX(Funções!$O$5:$O$300,MATCH(F219,Funções!$A$5:$A$300,0)),IFERROR(INDEX(Telas!$C$5:$C$400,MATCH(F219,Telas!$A$5:$A$400,0)),IFERROR(INDEX(Roadmap!$D$6:$D$200,MATCH(F219,Roadmap!$A$6:$A$200,0)),IFERROR(INDEX(Modules!$C$5:$C$100,MATCH(F219,Modules!$A$5:$A$100,0)),"NOT FOUND"))))))))</f>
        <v/>
      </c>
      <c r="H219" s="95">
        <f>IF(F219="","",IF(G219="NOT FOUND","—",IFERROR(INDEX(Listas!$J$5:$J$13,MATCH(LEFT(F219,FIND("-",F219)-1),Listas!$I$5:$I$13,0)),"Module / area")))</f>
        <v/>
      </c>
      <c r="I219" s="95">
        <f>IF(AND(B219="",F219=""),"",IF(OR(C219="NOT FOUND",G219="NOT FOUND"),"✖ ID inexistente",IF(B219=F219,"✖ Autorreferência",IF(E219="","✖ Sem relação","✔ OK"))))</f>
        <v/>
      </c>
      <c r="J219" s="93" t="n"/>
    </row>
    <row r="220" ht="15" customHeight="1" s="50">
      <c r="A220" s="93" t="n"/>
      <c r="B220" s="93" t="n"/>
      <c r="C220" s="95">
        <f>IF(B220="","",IFERROR(INDEX('Constants &amp; Enums'!$B$5:$B$200,MATCH(B220,'Constants &amp; Enums'!$A$5:$A$200,0)),IFERROR(INDEX('Metrics &amp; Formulas'!$B$5:$B$200,MATCH(B220,'Metrics &amp; Formulas'!$A$5:$A$200,0)),IFERROR(INDEX('Projections &amp; Dashboards'!$B$5:$B$200,MATCH(B220,'Projections &amp; Dashboards'!$A$5:$A$200,0)),IFERROR(INDEX(Funções!$O$5:$O$300,MATCH(B220,Funções!$A$5:$A$300,0)),IFERROR(INDEX(Telas!$C$5:$C$400,MATCH(B220,Telas!$A$5:$A$400,0)),IFERROR(INDEX(Roadmap!$D$6:$D$200,MATCH(B220,Roadmap!$A$6:$A$200,0)),IFERROR(INDEX(Modules!$C$5:$C$100,MATCH(B220,Modules!$A$5:$A$100,0)),"NOT FOUND"))))))))</f>
        <v/>
      </c>
      <c r="D220" s="95">
        <f>IF(B220="","",IF(C220="NOT FOUND","—",IFERROR(INDEX(Listas!$J$5:$J$13,MATCH(LEFT(B220,FIND("-",B220)-1),Listas!$I$5:$I$13,0)),"Module / area")))</f>
        <v/>
      </c>
      <c r="E220" s="93" t="n"/>
      <c r="F220" s="93" t="n"/>
      <c r="G220" s="95">
        <f>IF(F220="","",IFERROR(INDEX('Constants &amp; Enums'!$B$5:$B$200,MATCH(F220,'Constants &amp; Enums'!$A$5:$A$200,0)),IFERROR(INDEX('Metrics &amp; Formulas'!$B$5:$B$200,MATCH(F220,'Metrics &amp; Formulas'!$A$5:$A$200,0)),IFERROR(INDEX('Projections &amp; Dashboards'!$B$5:$B$200,MATCH(F220,'Projections &amp; Dashboards'!$A$5:$A$200,0)),IFERROR(INDEX(Funções!$O$5:$O$300,MATCH(F220,Funções!$A$5:$A$300,0)),IFERROR(INDEX(Telas!$C$5:$C$400,MATCH(F220,Telas!$A$5:$A$400,0)),IFERROR(INDEX(Roadmap!$D$6:$D$200,MATCH(F220,Roadmap!$A$6:$A$200,0)),IFERROR(INDEX(Modules!$C$5:$C$100,MATCH(F220,Modules!$A$5:$A$100,0)),"NOT FOUND"))))))))</f>
        <v/>
      </c>
      <c r="H220" s="95">
        <f>IF(F220="","",IF(G220="NOT FOUND","—",IFERROR(INDEX(Listas!$J$5:$J$13,MATCH(LEFT(F220,FIND("-",F220)-1),Listas!$I$5:$I$13,0)),"Module / area")))</f>
        <v/>
      </c>
      <c r="I220" s="95">
        <f>IF(AND(B220="",F220=""),"",IF(OR(C220="NOT FOUND",G220="NOT FOUND"),"✖ ID inexistente",IF(B220=F220,"✖ Autorreferência",IF(E220="","✖ Sem relação","✔ OK"))))</f>
        <v/>
      </c>
      <c r="J220" s="93" t="n"/>
    </row>
    <row r="221" ht="15" customHeight="1" s="50">
      <c r="A221" s="93" t="n"/>
      <c r="B221" s="93" t="n"/>
      <c r="C221" s="95">
        <f>IF(B221="","",IFERROR(INDEX('Constants &amp; Enums'!$B$5:$B$200,MATCH(B221,'Constants &amp; Enums'!$A$5:$A$200,0)),IFERROR(INDEX('Metrics &amp; Formulas'!$B$5:$B$200,MATCH(B221,'Metrics &amp; Formulas'!$A$5:$A$200,0)),IFERROR(INDEX('Projections &amp; Dashboards'!$B$5:$B$200,MATCH(B221,'Projections &amp; Dashboards'!$A$5:$A$200,0)),IFERROR(INDEX(Funções!$O$5:$O$300,MATCH(B221,Funções!$A$5:$A$300,0)),IFERROR(INDEX(Telas!$C$5:$C$400,MATCH(B221,Telas!$A$5:$A$400,0)),IFERROR(INDEX(Roadmap!$D$6:$D$200,MATCH(B221,Roadmap!$A$6:$A$200,0)),IFERROR(INDEX(Modules!$C$5:$C$100,MATCH(B221,Modules!$A$5:$A$100,0)),"NOT FOUND"))))))))</f>
        <v/>
      </c>
      <c r="D221" s="95">
        <f>IF(B221="","",IF(C221="NOT FOUND","—",IFERROR(INDEX(Listas!$J$5:$J$13,MATCH(LEFT(B221,FIND("-",B221)-1),Listas!$I$5:$I$13,0)),"Module / area")))</f>
        <v/>
      </c>
      <c r="E221" s="93" t="n"/>
      <c r="F221" s="93" t="n"/>
      <c r="G221" s="95">
        <f>IF(F221="","",IFERROR(INDEX('Constants &amp; Enums'!$B$5:$B$200,MATCH(F221,'Constants &amp; Enums'!$A$5:$A$200,0)),IFERROR(INDEX('Metrics &amp; Formulas'!$B$5:$B$200,MATCH(F221,'Metrics &amp; Formulas'!$A$5:$A$200,0)),IFERROR(INDEX('Projections &amp; Dashboards'!$B$5:$B$200,MATCH(F221,'Projections &amp; Dashboards'!$A$5:$A$200,0)),IFERROR(INDEX(Funções!$O$5:$O$300,MATCH(F221,Funções!$A$5:$A$300,0)),IFERROR(INDEX(Telas!$C$5:$C$400,MATCH(F221,Telas!$A$5:$A$400,0)),IFERROR(INDEX(Roadmap!$D$6:$D$200,MATCH(F221,Roadmap!$A$6:$A$200,0)),IFERROR(INDEX(Modules!$C$5:$C$100,MATCH(F221,Modules!$A$5:$A$100,0)),"NOT FOUND"))))))))</f>
        <v/>
      </c>
      <c r="H221" s="95">
        <f>IF(F221="","",IF(G221="NOT FOUND","—",IFERROR(INDEX(Listas!$J$5:$J$13,MATCH(LEFT(F221,FIND("-",F221)-1),Listas!$I$5:$I$13,0)),"Module / area")))</f>
        <v/>
      </c>
      <c r="I221" s="95">
        <f>IF(AND(B221="",F221=""),"",IF(OR(C221="NOT FOUND",G221="NOT FOUND"),"✖ ID inexistente",IF(B221=F221,"✖ Autorreferência",IF(E221="","✖ Sem relação","✔ OK"))))</f>
        <v/>
      </c>
      <c r="J221" s="93" t="n"/>
    </row>
    <row r="222" ht="15" customHeight="1" s="50">
      <c r="A222" s="93" t="n"/>
      <c r="B222" s="93" t="n"/>
      <c r="C222" s="95">
        <f>IF(B222="","",IFERROR(INDEX('Constants &amp; Enums'!$B$5:$B$200,MATCH(B222,'Constants &amp; Enums'!$A$5:$A$200,0)),IFERROR(INDEX('Metrics &amp; Formulas'!$B$5:$B$200,MATCH(B222,'Metrics &amp; Formulas'!$A$5:$A$200,0)),IFERROR(INDEX('Projections &amp; Dashboards'!$B$5:$B$200,MATCH(B222,'Projections &amp; Dashboards'!$A$5:$A$200,0)),IFERROR(INDEX(Funções!$O$5:$O$300,MATCH(B222,Funções!$A$5:$A$300,0)),IFERROR(INDEX(Telas!$C$5:$C$400,MATCH(B222,Telas!$A$5:$A$400,0)),IFERROR(INDEX(Roadmap!$D$6:$D$200,MATCH(B222,Roadmap!$A$6:$A$200,0)),IFERROR(INDEX(Modules!$C$5:$C$100,MATCH(B222,Modules!$A$5:$A$100,0)),"NOT FOUND"))))))))</f>
        <v/>
      </c>
      <c r="D222" s="95">
        <f>IF(B222="","",IF(C222="NOT FOUND","—",IFERROR(INDEX(Listas!$J$5:$J$13,MATCH(LEFT(B222,FIND("-",B222)-1),Listas!$I$5:$I$13,0)),"Module / area")))</f>
        <v/>
      </c>
      <c r="E222" s="93" t="n"/>
      <c r="F222" s="93" t="n"/>
      <c r="G222" s="95">
        <f>IF(F222="","",IFERROR(INDEX('Constants &amp; Enums'!$B$5:$B$200,MATCH(F222,'Constants &amp; Enums'!$A$5:$A$200,0)),IFERROR(INDEX('Metrics &amp; Formulas'!$B$5:$B$200,MATCH(F222,'Metrics &amp; Formulas'!$A$5:$A$200,0)),IFERROR(INDEX('Projections &amp; Dashboards'!$B$5:$B$200,MATCH(F222,'Projections &amp; Dashboards'!$A$5:$A$200,0)),IFERROR(INDEX(Funções!$O$5:$O$300,MATCH(F222,Funções!$A$5:$A$300,0)),IFERROR(INDEX(Telas!$C$5:$C$400,MATCH(F222,Telas!$A$5:$A$400,0)),IFERROR(INDEX(Roadmap!$D$6:$D$200,MATCH(F222,Roadmap!$A$6:$A$200,0)),IFERROR(INDEX(Modules!$C$5:$C$100,MATCH(F222,Modules!$A$5:$A$100,0)),"NOT FOUND"))))))))</f>
        <v/>
      </c>
      <c r="H222" s="95">
        <f>IF(F222="","",IF(G222="NOT FOUND","—",IFERROR(INDEX(Listas!$J$5:$J$13,MATCH(LEFT(F222,FIND("-",F222)-1),Listas!$I$5:$I$13,0)),"Module / area")))</f>
        <v/>
      </c>
      <c r="I222" s="95">
        <f>IF(AND(B222="",F222=""),"",IF(OR(C222="NOT FOUND",G222="NOT FOUND"),"✖ ID inexistente",IF(B222=F222,"✖ Autorreferência",IF(E222="","✖ Sem relação","✔ OK"))))</f>
        <v/>
      </c>
      <c r="J222" s="93" t="n"/>
    </row>
    <row r="223" ht="15" customHeight="1" s="50">
      <c r="A223" s="93" t="n"/>
      <c r="B223" s="93" t="n"/>
      <c r="C223" s="95">
        <f>IF(B223="","",IFERROR(INDEX('Constants &amp; Enums'!$B$5:$B$200,MATCH(B223,'Constants &amp; Enums'!$A$5:$A$200,0)),IFERROR(INDEX('Metrics &amp; Formulas'!$B$5:$B$200,MATCH(B223,'Metrics &amp; Formulas'!$A$5:$A$200,0)),IFERROR(INDEX('Projections &amp; Dashboards'!$B$5:$B$200,MATCH(B223,'Projections &amp; Dashboards'!$A$5:$A$200,0)),IFERROR(INDEX(Funções!$O$5:$O$300,MATCH(B223,Funções!$A$5:$A$300,0)),IFERROR(INDEX(Telas!$C$5:$C$400,MATCH(B223,Telas!$A$5:$A$400,0)),IFERROR(INDEX(Roadmap!$D$6:$D$200,MATCH(B223,Roadmap!$A$6:$A$200,0)),IFERROR(INDEX(Modules!$C$5:$C$100,MATCH(B223,Modules!$A$5:$A$100,0)),"NOT FOUND"))))))))</f>
        <v/>
      </c>
      <c r="D223" s="95">
        <f>IF(B223="","",IF(C223="NOT FOUND","—",IFERROR(INDEX(Listas!$J$5:$J$13,MATCH(LEFT(B223,FIND("-",B223)-1),Listas!$I$5:$I$13,0)),"Module / area")))</f>
        <v/>
      </c>
      <c r="E223" s="93" t="n"/>
      <c r="F223" s="93" t="n"/>
      <c r="G223" s="95">
        <f>IF(F223="","",IFERROR(INDEX('Constants &amp; Enums'!$B$5:$B$200,MATCH(F223,'Constants &amp; Enums'!$A$5:$A$200,0)),IFERROR(INDEX('Metrics &amp; Formulas'!$B$5:$B$200,MATCH(F223,'Metrics &amp; Formulas'!$A$5:$A$200,0)),IFERROR(INDEX('Projections &amp; Dashboards'!$B$5:$B$200,MATCH(F223,'Projections &amp; Dashboards'!$A$5:$A$200,0)),IFERROR(INDEX(Funções!$O$5:$O$300,MATCH(F223,Funções!$A$5:$A$300,0)),IFERROR(INDEX(Telas!$C$5:$C$400,MATCH(F223,Telas!$A$5:$A$400,0)),IFERROR(INDEX(Roadmap!$D$6:$D$200,MATCH(F223,Roadmap!$A$6:$A$200,0)),IFERROR(INDEX(Modules!$C$5:$C$100,MATCH(F223,Modules!$A$5:$A$100,0)),"NOT FOUND"))))))))</f>
        <v/>
      </c>
      <c r="H223" s="95">
        <f>IF(F223="","",IF(G223="NOT FOUND","—",IFERROR(INDEX(Listas!$J$5:$J$13,MATCH(LEFT(F223,FIND("-",F223)-1),Listas!$I$5:$I$13,0)),"Module / area")))</f>
        <v/>
      </c>
      <c r="I223" s="95">
        <f>IF(AND(B223="",F223=""),"",IF(OR(C223="NOT FOUND",G223="NOT FOUND"),"✖ ID inexistente",IF(B223=F223,"✖ Autorreferência",IF(E223="","✖ Sem relação","✔ OK"))))</f>
        <v/>
      </c>
      <c r="J223" s="93" t="n"/>
    </row>
    <row r="224" ht="15" customHeight="1" s="50">
      <c r="A224" s="93" t="n"/>
      <c r="B224" s="93" t="n"/>
      <c r="C224" s="95">
        <f>IF(B224="","",IFERROR(INDEX('Constants &amp; Enums'!$B$5:$B$200,MATCH(B224,'Constants &amp; Enums'!$A$5:$A$200,0)),IFERROR(INDEX('Metrics &amp; Formulas'!$B$5:$B$200,MATCH(B224,'Metrics &amp; Formulas'!$A$5:$A$200,0)),IFERROR(INDEX('Projections &amp; Dashboards'!$B$5:$B$200,MATCH(B224,'Projections &amp; Dashboards'!$A$5:$A$200,0)),IFERROR(INDEX(Funções!$O$5:$O$300,MATCH(B224,Funções!$A$5:$A$300,0)),IFERROR(INDEX(Telas!$C$5:$C$400,MATCH(B224,Telas!$A$5:$A$400,0)),IFERROR(INDEX(Roadmap!$D$6:$D$200,MATCH(B224,Roadmap!$A$6:$A$200,0)),IFERROR(INDEX(Modules!$C$5:$C$100,MATCH(B224,Modules!$A$5:$A$100,0)),"NOT FOUND"))))))))</f>
        <v/>
      </c>
      <c r="D224" s="95">
        <f>IF(B224="","",IF(C224="NOT FOUND","—",IFERROR(INDEX(Listas!$J$5:$J$13,MATCH(LEFT(B224,FIND("-",B224)-1),Listas!$I$5:$I$13,0)),"Module / area")))</f>
        <v/>
      </c>
      <c r="E224" s="93" t="n"/>
      <c r="F224" s="93" t="n"/>
      <c r="G224" s="95">
        <f>IF(F224="","",IFERROR(INDEX('Constants &amp; Enums'!$B$5:$B$200,MATCH(F224,'Constants &amp; Enums'!$A$5:$A$200,0)),IFERROR(INDEX('Metrics &amp; Formulas'!$B$5:$B$200,MATCH(F224,'Metrics &amp; Formulas'!$A$5:$A$200,0)),IFERROR(INDEX('Projections &amp; Dashboards'!$B$5:$B$200,MATCH(F224,'Projections &amp; Dashboards'!$A$5:$A$200,0)),IFERROR(INDEX(Funções!$O$5:$O$300,MATCH(F224,Funções!$A$5:$A$300,0)),IFERROR(INDEX(Telas!$C$5:$C$400,MATCH(F224,Telas!$A$5:$A$400,0)),IFERROR(INDEX(Roadmap!$D$6:$D$200,MATCH(F224,Roadmap!$A$6:$A$200,0)),IFERROR(INDEX(Modules!$C$5:$C$100,MATCH(F224,Modules!$A$5:$A$100,0)),"NOT FOUND"))))))))</f>
        <v/>
      </c>
      <c r="H224" s="95">
        <f>IF(F224="","",IF(G224="NOT FOUND","—",IFERROR(INDEX(Listas!$J$5:$J$13,MATCH(LEFT(F224,FIND("-",F224)-1),Listas!$I$5:$I$13,0)),"Module / area")))</f>
        <v/>
      </c>
      <c r="I224" s="95">
        <f>IF(AND(B224="",F224=""),"",IF(OR(C224="NOT FOUND",G224="NOT FOUND"),"✖ ID inexistente",IF(B224=F224,"✖ Autorreferência",IF(E224="","✖ Sem relação","✔ OK"))))</f>
        <v/>
      </c>
      <c r="J224" s="93" t="n"/>
    </row>
    <row r="225" ht="15" customHeight="1" s="50">
      <c r="A225" s="93" t="n"/>
      <c r="B225" s="93" t="n"/>
      <c r="C225" s="95">
        <f>IF(B225="","",IFERROR(INDEX('Constants &amp; Enums'!$B$5:$B$200,MATCH(B225,'Constants &amp; Enums'!$A$5:$A$200,0)),IFERROR(INDEX('Metrics &amp; Formulas'!$B$5:$B$200,MATCH(B225,'Metrics &amp; Formulas'!$A$5:$A$200,0)),IFERROR(INDEX('Projections &amp; Dashboards'!$B$5:$B$200,MATCH(B225,'Projections &amp; Dashboards'!$A$5:$A$200,0)),IFERROR(INDEX(Funções!$O$5:$O$300,MATCH(B225,Funções!$A$5:$A$300,0)),IFERROR(INDEX(Telas!$C$5:$C$400,MATCH(B225,Telas!$A$5:$A$400,0)),IFERROR(INDEX(Roadmap!$D$6:$D$200,MATCH(B225,Roadmap!$A$6:$A$200,0)),IFERROR(INDEX(Modules!$C$5:$C$100,MATCH(B225,Modules!$A$5:$A$100,0)),"NOT FOUND"))))))))</f>
        <v/>
      </c>
      <c r="D225" s="95">
        <f>IF(B225="","",IF(C225="NOT FOUND","—",IFERROR(INDEX(Listas!$J$5:$J$13,MATCH(LEFT(B225,FIND("-",B225)-1),Listas!$I$5:$I$13,0)),"Module / area")))</f>
        <v/>
      </c>
      <c r="E225" s="93" t="n"/>
      <c r="F225" s="93" t="n"/>
      <c r="G225" s="95">
        <f>IF(F225="","",IFERROR(INDEX('Constants &amp; Enums'!$B$5:$B$200,MATCH(F225,'Constants &amp; Enums'!$A$5:$A$200,0)),IFERROR(INDEX('Metrics &amp; Formulas'!$B$5:$B$200,MATCH(F225,'Metrics &amp; Formulas'!$A$5:$A$200,0)),IFERROR(INDEX('Projections &amp; Dashboards'!$B$5:$B$200,MATCH(F225,'Projections &amp; Dashboards'!$A$5:$A$200,0)),IFERROR(INDEX(Funções!$O$5:$O$300,MATCH(F225,Funções!$A$5:$A$300,0)),IFERROR(INDEX(Telas!$C$5:$C$400,MATCH(F225,Telas!$A$5:$A$400,0)),IFERROR(INDEX(Roadmap!$D$6:$D$200,MATCH(F225,Roadmap!$A$6:$A$200,0)),IFERROR(INDEX(Modules!$C$5:$C$100,MATCH(F225,Modules!$A$5:$A$100,0)),"NOT FOUND"))))))))</f>
        <v/>
      </c>
      <c r="H225" s="95">
        <f>IF(F225="","",IF(G225="NOT FOUND","—",IFERROR(INDEX(Listas!$J$5:$J$13,MATCH(LEFT(F225,FIND("-",F225)-1),Listas!$I$5:$I$13,0)),"Module / area")))</f>
        <v/>
      </c>
      <c r="I225" s="95">
        <f>IF(AND(B225="",F225=""),"",IF(OR(C225="NOT FOUND",G225="NOT FOUND"),"✖ ID inexistente",IF(B225=F225,"✖ Autorreferência",IF(E225="","✖ Sem relação","✔ OK"))))</f>
        <v/>
      </c>
      <c r="J225" s="93" t="n"/>
    </row>
    <row r="226" ht="15" customHeight="1" s="50">
      <c r="A226" s="93" t="n"/>
      <c r="B226" s="93" t="n"/>
      <c r="C226" s="95">
        <f>IF(B226="","",IFERROR(INDEX('Constants &amp; Enums'!$B$5:$B$200,MATCH(B226,'Constants &amp; Enums'!$A$5:$A$200,0)),IFERROR(INDEX('Metrics &amp; Formulas'!$B$5:$B$200,MATCH(B226,'Metrics &amp; Formulas'!$A$5:$A$200,0)),IFERROR(INDEX('Projections &amp; Dashboards'!$B$5:$B$200,MATCH(B226,'Projections &amp; Dashboards'!$A$5:$A$200,0)),IFERROR(INDEX(Funções!$O$5:$O$300,MATCH(B226,Funções!$A$5:$A$300,0)),IFERROR(INDEX(Telas!$C$5:$C$400,MATCH(B226,Telas!$A$5:$A$400,0)),IFERROR(INDEX(Roadmap!$D$6:$D$200,MATCH(B226,Roadmap!$A$6:$A$200,0)),IFERROR(INDEX(Modules!$C$5:$C$100,MATCH(B226,Modules!$A$5:$A$100,0)),"NOT FOUND"))))))))</f>
        <v/>
      </c>
      <c r="D226" s="95">
        <f>IF(B226="","",IF(C226="NOT FOUND","—",IFERROR(INDEX(Listas!$J$5:$J$13,MATCH(LEFT(B226,FIND("-",B226)-1),Listas!$I$5:$I$13,0)),"Module / area")))</f>
        <v/>
      </c>
      <c r="E226" s="93" t="n"/>
      <c r="F226" s="93" t="n"/>
      <c r="G226" s="95">
        <f>IF(F226="","",IFERROR(INDEX('Constants &amp; Enums'!$B$5:$B$200,MATCH(F226,'Constants &amp; Enums'!$A$5:$A$200,0)),IFERROR(INDEX('Metrics &amp; Formulas'!$B$5:$B$200,MATCH(F226,'Metrics &amp; Formulas'!$A$5:$A$200,0)),IFERROR(INDEX('Projections &amp; Dashboards'!$B$5:$B$200,MATCH(F226,'Projections &amp; Dashboards'!$A$5:$A$200,0)),IFERROR(INDEX(Funções!$O$5:$O$300,MATCH(F226,Funções!$A$5:$A$300,0)),IFERROR(INDEX(Telas!$C$5:$C$400,MATCH(F226,Telas!$A$5:$A$400,0)),IFERROR(INDEX(Roadmap!$D$6:$D$200,MATCH(F226,Roadmap!$A$6:$A$200,0)),IFERROR(INDEX(Modules!$C$5:$C$100,MATCH(F226,Modules!$A$5:$A$100,0)),"NOT FOUND"))))))))</f>
        <v/>
      </c>
      <c r="H226" s="95">
        <f>IF(F226="","",IF(G226="NOT FOUND","—",IFERROR(INDEX(Listas!$J$5:$J$13,MATCH(LEFT(F226,FIND("-",F226)-1),Listas!$I$5:$I$13,0)),"Module / area")))</f>
        <v/>
      </c>
      <c r="I226" s="95">
        <f>IF(AND(B226="",F226=""),"",IF(OR(C226="NOT FOUND",G226="NOT FOUND"),"✖ ID inexistente",IF(B226=F226,"✖ Autorreferência",IF(E226="","✖ Sem relação","✔ OK"))))</f>
        <v/>
      </c>
      <c r="J226" s="93" t="n"/>
    </row>
    <row r="227" ht="15" customHeight="1" s="50">
      <c r="A227" s="93" t="n"/>
      <c r="B227" s="93" t="n"/>
      <c r="C227" s="95">
        <f>IF(B227="","",IFERROR(INDEX('Constants &amp; Enums'!$B$5:$B$200,MATCH(B227,'Constants &amp; Enums'!$A$5:$A$200,0)),IFERROR(INDEX('Metrics &amp; Formulas'!$B$5:$B$200,MATCH(B227,'Metrics &amp; Formulas'!$A$5:$A$200,0)),IFERROR(INDEX('Projections &amp; Dashboards'!$B$5:$B$200,MATCH(B227,'Projections &amp; Dashboards'!$A$5:$A$200,0)),IFERROR(INDEX(Funções!$O$5:$O$300,MATCH(B227,Funções!$A$5:$A$300,0)),IFERROR(INDEX(Telas!$C$5:$C$400,MATCH(B227,Telas!$A$5:$A$400,0)),IFERROR(INDEX(Roadmap!$D$6:$D$200,MATCH(B227,Roadmap!$A$6:$A$200,0)),IFERROR(INDEX(Modules!$C$5:$C$100,MATCH(B227,Modules!$A$5:$A$100,0)),"NOT FOUND"))))))))</f>
        <v/>
      </c>
      <c r="D227" s="95">
        <f>IF(B227="","",IF(C227="NOT FOUND","—",IFERROR(INDEX(Listas!$J$5:$J$13,MATCH(LEFT(B227,FIND("-",B227)-1),Listas!$I$5:$I$13,0)),"Module / area")))</f>
        <v/>
      </c>
      <c r="E227" s="93" t="n"/>
      <c r="F227" s="93" t="n"/>
      <c r="G227" s="95">
        <f>IF(F227="","",IFERROR(INDEX('Constants &amp; Enums'!$B$5:$B$200,MATCH(F227,'Constants &amp; Enums'!$A$5:$A$200,0)),IFERROR(INDEX('Metrics &amp; Formulas'!$B$5:$B$200,MATCH(F227,'Metrics &amp; Formulas'!$A$5:$A$200,0)),IFERROR(INDEX('Projections &amp; Dashboards'!$B$5:$B$200,MATCH(F227,'Projections &amp; Dashboards'!$A$5:$A$200,0)),IFERROR(INDEX(Funções!$O$5:$O$300,MATCH(F227,Funções!$A$5:$A$300,0)),IFERROR(INDEX(Telas!$C$5:$C$400,MATCH(F227,Telas!$A$5:$A$400,0)),IFERROR(INDEX(Roadmap!$D$6:$D$200,MATCH(F227,Roadmap!$A$6:$A$200,0)),IFERROR(INDEX(Modules!$C$5:$C$100,MATCH(F227,Modules!$A$5:$A$100,0)),"NOT FOUND"))))))))</f>
        <v/>
      </c>
      <c r="H227" s="95">
        <f>IF(F227="","",IF(G227="NOT FOUND","—",IFERROR(INDEX(Listas!$J$5:$J$13,MATCH(LEFT(F227,FIND("-",F227)-1),Listas!$I$5:$I$13,0)),"Module / area")))</f>
        <v/>
      </c>
      <c r="I227" s="95">
        <f>IF(AND(B227="",F227=""),"",IF(OR(C227="NOT FOUND",G227="NOT FOUND"),"✖ ID inexistente",IF(B227=F227,"✖ Autorreferência",IF(E227="","✖ Sem relação","✔ OK"))))</f>
        <v/>
      </c>
      <c r="J227" s="93" t="n"/>
    </row>
    <row r="228" ht="15" customHeight="1" s="50">
      <c r="A228" s="93" t="n"/>
      <c r="B228" s="93" t="n"/>
      <c r="C228" s="95">
        <f>IF(B228="","",IFERROR(INDEX('Constants &amp; Enums'!$B$5:$B$200,MATCH(B228,'Constants &amp; Enums'!$A$5:$A$200,0)),IFERROR(INDEX('Metrics &amp; Formulas'!$B$5:$B$200,MATCH(B228,'Metrics &amp; Formulas'!$A$5:$A$200,0)),IFERROR(INDEX('Projections &amp; Dashboards'!$B$5:$B$200,MATCH(B228,'Projections &amp; Dashboards'!$A$5:$A$200,0)),IFERROR(INDEX(Funções!$O$5:$O$300,MATCH(B228,Funções!$A$5:$A$300,0)),IFERROR(INDEX(Telas!$C$5:$C$400,MATCH(B228,Telas!$A$5:$A$400,0)),IFERROR(INDEX(Roadmap!$D$6:$D$200,MATCH(B228,Roadmap!$A$6:$A$200,0)),IFERROR(INDEX(Modules!$C$5:$C$100,MATCH(B228,Modules!$A$5:$A$100,0)),"NOT FOUND"))))))))</f>
        <v/>
      </c>
      <c r="D228" s="95">
        <f>IF(B228="","",IF(C228="NOT FOUND","—",IFERROR(INDEX(Listas!$J$5:$J$13,MATCH(LEFT(B228,FIND("-",B228)-1),Listas!$I$5:$I$13,0)),"Module / area")))</f>
        <v/>
      </c>
      <c r="E228" s="93" t="n"/>
      <c r="F228" s="93" t="n"/>
      <c r="G228" s="95">
        <f>IF(F228="","",IFERROR(INDEX('Constants &amp; Enums'!$B$5:$B$200,MATCH(F228,'Constants &amp; Enums'!$A$5:$A$200,0)),IFERROR(INDEX('Metrics &amp; Formulas'!$B$5:$B$200,MATCH(F228,'Metrics &amp; Formulas'!$A$5:$A$200,0)),IFERROR(INDEX('Projections &amp; Dashboards'!$B$5:$B$200,MATCH(F228,'Projections &amp; Dashboards'!$A$5:$A$200,0)),IFERROR(INDEX(Funções!$O$5:$O$300,MATCH(F228,Funções!$A$5:$A$300,0)),IFERROR(INDEX(Telas!$C$5:$C$400,MATCH(F228,Telas!$A$5:$A$400,0)),IFERROR(INDEX(Roadmap!$D$6:$D$200,MATCH(F228,Roadmap!$A$6:$A$200,0)),IFERROR(INDEX(Modules!$C$5:$C$100,MATCH(F228,Modules!$A$5:$A$100,0)),"NOT FOUND"))))))))</f>
        <v/>
      </c>
      <c r="H228" s="95">
        <f>IF(F228="","",IF(G228="NOT FOUND","—",IFERROR(INDEX(Listas!$J$5:$J$13,MATCH(LEFT(F228,FIND("-",F228)-1),Listas!$I$5:$I$13,0)),"Module / area")))</f>
        <v/>
      </c>
      <c r="I228" s="95">
        <f>IF(AND(B228="",F228=""),"",IF(OR(C228="NOT FOUND",G228="NOT FOUND"),"✖ ID inexistente",IF(B228=F228,"✖ Autorreferência",IF(E228="","✖ Sem relação","✔ OK"))))</f>
        <v/>
      </c>
      <c r="J228" s="93" t="n"/>
    </row>
    <row r="229" ht="15" customHeight="1" s="50">
      <c r="A229" s="93" t="n"/>
      <c r="B229" s="93" t="n"/>
      <c r="C229" s="95">
        <f>IF(B229="","",IFERROR(INDEX('Constants &amp; Enums'!$B$5:$B$200,MATCH(B229,'Constants &amp; Enums'!$A$5:$A$200,0)),IFERROR(INDEX('Metrics &amp; Formulas'!$B$5:$B$200,MATCH(B229,'Metrics &amp; Formulas'!$A$5:$A$200,0)),IFERROR(INDEX('Projections &amp; Dashboards'!$B$5:$B$200,MATCH(B229,'Projections &amp; Dashboards'!$A$5:$A$200,0)),IFERROR(INDEX(Funções!$O$5:$O$300,MATCH(B229,Funções!$A$5:$A$300,0)),IFERROR(INDEX(Telas!$C$5:$C$400,MATCH(B229,Telas!$A$5:$A$400,0)),IFERROR(INDEX(Roadmap!$D$6:$D$200,MATCH(B229,Roadmap!$A$6:$A$200,0)),IFERROR(INDEX(Modules!$C$5:$C$100,MATCH(B229,Modules!$A$5:$A$100,0)),"NOT FOUND"))))))))</f>
        <v/>
      </c>
      <c r="D229" s="95">
        <f>IF(B229="","",IF(C229="NOT FOUND","—",IFERROR(INDEX(Listas!$J$5:$J$13,MATCH(LEFT(B229,FIND("-",B229)-1),Listas!$I$5:$I$13,0)),"Module / area")))</f>
        <v/>
      </c>
      <c r="E229" s="93" t="n"/>
      <c r="F229" s="93" t="n"/>
      <c r="G229" s="95">
        <f>IF(F229="","",IFERROR(INDEX('Constants &amp; Enums'!$B$5:$B$200,MATCH(F229,'Constants &amp; Enums'!$A$5:$A$200,0)),IFERROR(INDEX('Metrics &amp; Formulas'!$B$5:$B$200,MATCH(F229,'Metrics &amp; Formulas'!$A$5:$A$200,0)),IFERROR(INDEX('Projections &amp; Dashboards'!$B$5:$B$200,MATCH(F229,'Projections &amp; Dashboards'!$A$5:$A$200,0)),IFERROR(INDEX(Funções!$O$5:$O$300,MATCH(F229,Funções!$A$5:$A$300,0)),IFERROR(INDEX(Telas!$C$5:$C$400,MATCH(F229,Telas!$A$5:$A$400,0)),IFERROR(INDEX(Roadmap!$D$6:$D$200,MATCH(F229,Roadmap!$A$6:$A$200,0)),IFERROR(INDEX(Modules!$C$5:$C$100,MATCH(F229,Modules!$A$5:$A$100,0)),"NOT FOUND"))))))))</f>
        <v/>
      </c>
      <c r="H229" s="95">
        <f>IF(F229="","",IF(G229="NOT FOUND","—",IFERROR(INDEX(Listas!$J$5:$J$13,MATCH(LEFT(F229,FIND("-",F229)-1),Listas!$I$5:$I$13,0)),"Module / area")))</f>
        <v/>
      </c>
      <c r="I229" s="95">
        <f>IF(AND(B229="",F229=""),"",IF(OR(C229="NOT FOUND",G229="NOT FOUND"),"✖ ID inexistente",IF(B229=F229,"✖ Autorreferência",IF(E229="","✖ Sem relação","✔ OK"))))</f>
        <v/>
      </c>
      <c r="J229" s="93" t="n"/>
    </row>
    <row r="230" ht="15" customHeight="1" s="50">
      <c r="A230" s="93" t="n"/>
      <c r="B230" s="93" t="n"/>
      <c r="C230" s="95">
        <f>IF(B230="","",IFERROR(INDEX('Constants &amp; Enums'!$B$5:$B$200,MATCH(B230,'Constants &amp; Enums'!$A$5:$A$200,0)),IFERROR(INDEX('Metrics &amp; Formulas'!$B$5:$B$200,MATCH(B230,'Metrics &amp; Formulas'!$A$5:$A$200,0)),IFERROR(INDEX('Projections &amp; Dashboards'!$B$5:$B$200,MATCH(B230,'Projections &amp; Dashboards'!$A$5:$A$200,0)),IFERROR(INDEX(Funções!$O$5:$O$300,MATCH(B230,Funções!$A$5:$A$300,0)),IFERROR(INDEX(Telas!$C$5:$C$400,MATCH(B230,Telas!$A$5:$A$400,0)),IFERROR(INDEX(Roadmap!$D$6:$D$200,MATCH(B230,Roadmap!$A$6:$A$200,0)),IFERROR(INDEX(Modules!$C$5:$C$100,MATCH(B230,Modules!$A$5:$A$100,0)),"NOT FOUND"))))))))</f>
        <v/>
      </c>
      <c r="D230" s="95">
        <f>IF(B230="","",IF(C230="NOT FOUND","—",IFERROR(INDEX(Listas!$J$5:$J$13,MATCH(LEFT(B230,FIND("-",B230)-1),Listas!$I$5:$I$13,0)),"Module / area")))</f>
        <v/>
      </c>
      <c r="E230" s="93" t="n"/>
      <c r="F230" s="93" t="n"/>
      <c r="G230" s="95">
        <f>IF(F230="","",IFERROR(INDEX('Constants &amp; Enums'!$B$5:$B$200,MATCH(F230,'Constants &amp; Enums'!$A$5:$A$200,0)),IFERROR(INDEX('Metrics &amp; Formulas'!$B$5:$B$200,MATCH(F230,'Metrics &amp; Formulas'!$A$5:$A$200,0)),IFERROR(INDEX('Projections &amp; Dashboards'!$B$5:$B$200,MATCH(F230,'Projections &amp; Dashboards'!$A$5:$A$200,0)),IFERROR(INDEX(Funções!$O$5:$O$300,MATCH(F230,Funções!$A$5:$A$300,0)),IFERROR(INDEX(Telas!$C$5:$C$400,MATCH(F230,Telas!$A$5:$A$400,0)),IFERROR(INDEX(Roadmap!$D$6:$D$200,MATCH(F230,Roadmap!$A$6:$A$200,0)),IFERROR(INDEX(Modules!$C$5:$C$100,MATCH(F230,Modules!$A$5:$A$100,0)),"NOT FOUND"))))))))</f>
        <v/>
      </c>
      <c r="H230" s="95">
        <f>IF(F230="","",IF(G230="NOT FOUND","—",IFERROR(INDEX(Listas!$J$5:$J$13,MATCH(LEFT(F230,FIND("-",F230)-1),Listas!$I$5:$I$13,0)),"Module / area")))</f>
        <v/>
      </c>
      <c r="I230" s="95">
        <f>IF(AND(B230="",F230=""),"",IF(OR(C230="NOT FOUND",G230="NOT FOUND"),"✖ ID inexistente",IF(B230=F230,"✖ Autorreferência",IF(E230="","✖ Sem relação","✔ OK"))))</f>
        <v/>
      </c>
      <c r="J230" s="93" t="n"/>
    </row>
    <row r="231" ht="15" customHeight="1" s="50">
      <c r="A231" s="93" t="n"/>
      <c r="B231" s="93" t="n"/>
      <c r="C231" s="95">
        <f>IF(B231="","",IFERROR(INDEX('Constants &amp; Enums'!$B$5:$B$200,MATCH(B231,'Constants &amp; Enums'!$A$5:$A$200,0)),IFERROR(INDEX('Metrics &amp; Formulas'!$B$5:$B$200,MATCH(B231,'Metrics &amp; Formulas'!$A$5:$A$200,0)),IFERROR(INDEX('Projections &amp; Dashboards'!$B$5:$B$200,MATCH(B231,'Projections &amp; Dashboards'!$A$5:$A$200,0)),IFERROR(INDEX(Funções!$O$5:$O$300,MATCH(B231,Funções!$A$5:$A$300,0)),IFERROR(INDEX(Telas!$C$5:$C$400,MATCH(B231,Telas!$A$5:$A$400,0)),IFERROR(INDEX(Roadmap!$D$6:$D$200,MATCH(B231,Roadmap!$A$6:$A$200,0)),IFERROR(INDEX(Modules!$C$5:$C$100,MATCH(B231,Modules!$A$5:$A$100,0)),"NOT FOUND"))))))))</f>
        <v/>
      </c>
      <c r="D231" s="95">
        <f>IF(B231="","",IF(C231="NOT FOUND","—",IFERROR(INDEX(Listas!$J$5:$J$13,MATCH(LEFT(B231,FIND("-",B231)-1),Listas!$I$5:$I$13,0)),"Module / area")))</f>
        <v/>
      </c>
      <c r="E231" s="93" t="n"/>
      <c r="F231" s="93" t="n"/>
      <c r="G231" s="95">
        <f>IF(F231="","",IFERROR(INDEX('Constants &amp; Enums'!$B$5:$B$200,MATCH(F231,'Constants &amp; Enums'!$A$5:$A$200,0)),IFERROR(INDEX('Metrics &amp; Formulas'!$B$5:$B$200,MATCH(F231,'Metrics &amp; Formulas'!$A$5:$A$200,0)),IFERROR(INDEX('Projections &amp; Dashboards'!$B$5:$B$200,MATCH(F231,'Projections &amp; Dashboards'!$A$5:$A$200,0)),IFERROR(INDEX(Funções!$O$5:$O$300,MATCH(F231,Funções!$A$5:$A$300,0)),IFERROR(INDEX(Telas!$C$5:$C$400,MATCH(F231,Telas!$A$5:$A$400,0)),IFERROR(INDEX(Roadmap!$D$6:$D$200,MATCH(F231,Roadmap!$A$6:$A$200,0)),IFERROR(INDEX(Modules!$C$5:$C$100,MATCH(F231,Modules!$A$5:$A$100,0)),"NOT FOUND"))))))))</f>
        <v/>
      </c>
      <c r="H231" s="95">
        <f>IF(F231="","",IF(G231="NOT FOUND","—",IFERROR(INDEX(Listas!$J$5:$J$13,MATCH(LEFT(F231,FIND("-",F231)-1),Listas!$I$5:$I$13,0)),"Module / area")))</f>
        <v/>
      </c>
      <c r="I231" s="95">
        <f>IF(AND(B231="",F231=""),"",IF(OR(C231="NOT FOUND",G231="NOT FOUND"),"✖ ID inexistente",IF(B231=F231,"✖ Autorreferência",IF(E231="","✖ Sem relação","✔ OK"))))</f>
        <v/>
      </c>
      <c r="J231" s="93" t="n"/>
    </row>
    <row r="232" ht="15" customHeight="1" s="50">
      <c r="A232" s="93" t="n"/>
      <c r="B232" s="93" t="n"/>
      <c r="C232" s="95">
        <f>IF(B232="","",IFERROR(INDEX('Constants &amp; Enums'!$B$5:$B$200,MATCH(B232,'Constants &amp; Enums'!$A$5:$A$200,0)),IFERROR(INDEX('Metrics &amp; Formulas'!$B$5:$B$200,MATCH(B232,'Metrics &amp; Formulas'!$A$5:$A$200,0)),IFERROR(INDEX('Projections &amp; Dashboards'!$B$5:$B$200,MATCH(B232,'Projections &amp; Dashboards'!$A$5:$A$200,0)),IFERROR(INDEX(Funções!$O$5:$O$300,MATCH(B232,Funções!$A$5:$A$300,0)),IFERROR(INDEX(Telas!$C$5:$C$400,MATCH(B232,Telas!$A$5:$A$400,0)),IFERROR(INDEX(Roadmap!$D$6:$D$200,MATCH(B232,Roadmap!$A$6:$A$200,0)),IFERROR(INDEX(Modules!$C$5:$C$100,MATCH(B232,Modules!$A$5:$A$100,0)),"NOT FOUND"))))))))</f>
        <v/>
      </c>
      <c r="D232" s="95">
        <f>IF(B232="","",IF(C232="NOT FOUND","—",IFERROR(INDEX(Listas!$J$5:$J$13,MATCH(LEFT(B232,FIND("-",B232)-1),Listas!$I$5:$I$13,0)),"Module / area")))</f>
        <v/>
      </c>
      <c r="E232" s="93" t="n"/>
      <c r="F232" s="93" t="n"/>
      <c r="G232" s="95">
        <f>IF(F232="","",IFERROR(INDEX('Constants &amp; Enums'!$B$5:$B$200,MATCH(F232,'Constants &amp; Enums'!$A$5:$A$200,0)),IFERROR(INDEX('Metrics &amp; Formulas'!$B$5:$B$200,MATCH(F232,'Metrics &amp; Formulas'!$A$5:$A$200,0)),IFERROR(INDEX('Projections &amp; Dashboards'!$B$5:$B$200,MATCH(F232,'Projections &amp; Dashboards'!$A$5:$A$200,0)),IFERROR(INDEX(Funções!$O$5:$O$300,MATCH(F232,Funções!$A$5:$A$300,0)),IFERROR(INDEX(Telas!$C$5:$C$400,MATCH(F232,Telas!$A$5:$A$400,0)),IFERROR(INDEX(Roadmap!$D$6:$D$200,MATCH(F232,Roadmap!$A$6:$A$200,0)),IFERROR(INDEX(Modules!$C$5:$C$100,MATCH(F232,Modules!$A$5:$A$100,0)),"NOT FOUND"))))))))</f>
        <v/>
      </c>
      <c r="H232" s="95">
        <f>IF(F232="","",IF(G232="NOT FOUND","—",IFERROR(INDEX(Listas!$J$5:$J$13,MATCH(LEFT(F232,FIND("-",F232)-1),Listas!$I$5:$I$13,0)),"Module / area")))</f>
        <v/>
      </c>
      <c r="I232" s="95">
        <f>IF(AND(B232="",F232=""),"",IF(OR(C232="NOT FOUND",G232="NOT FOUND"),"✖ ID inexistente",IF(B232=F232,"✖ Autorreferência",IF(E232="","✖ Sem relação","✔ OK"))))</f>
        <v/>
      </c>
      <c r="J232" s="93" t="n"/>
    </row>
    <row r="233" ht="15" customHeight="1" s="50">
      <c r="A233" s="93" t="n"/>
      <c r="B233" s="93" t="n"/>
      <c r="C233" s="95">
        <f>IF(B233="","",IFERROR(INDEX('Constants &amp; Enums'!$B$5:$B$200,MATCH(B233,'Constants &amp; Enums'!$A$5:$A$200,0)),IFERROR(INDEX('Metrics &amp; Formulas'!$B$5:$B$200,MATCH(B233,'Metrics &amp; Formulas'!$A$5:$A$200,0)),IFERROR(INDEX('Projections &amp; Dashboards'!$B$5:$B$200,MATCH(B233,'Projections &amp; Dashboards'!$A$5:$A$200,0)),IFERROR(INDEX(Funções!$O$5:$O$300,MATCH(B233,Funções!$A$5:$A$300,0)),IFERROR(INDEX(Telas!$C$5:$C$400,MATCH(B233,Telas!$A$5:$A$400,0)),IFERROR(INDEX(Roadmap!$D$6:$D$200,MATCH(B233,Roadmap!$A$6:$A$200,0)),IFERROR(INDEX(Modules!$C$5:$C$100,MATCH(B233,Modules!$A$5:$A$100,0)),"NOT FOUND"))))))))</f>
        <v/>
      </c>
      <c r="D233" s="95">
        <f>IF(B233="","",IF(C233="NOT FOUND","—",IFERROR(INDEX(Listas!$J$5:$J$13,MATCH(LEFT(B233,FIND("-",B233)-1),Listas!$I$5:$I$13,0)),"Module / area")))</f>
        <v/>
      </c>
      <c r="E233" s="93" t="n"/>
      <c r="F233" s="93" t="n"/>
      <c r="G233" s="95">
        <f>IF(F233="","",IFERROR(INDEX('Constants &amp; Enums'!$B$5:$B$200,MATCH(F233,'Constants &amp; Enums'!$A$5:$A$200,0)),IFERROR(INDEX('Metrics &amp; Formulas'!$B$5:$B$200,MATCH(F233,'Metrics &amp; Formulas'!$A$5:$A$200,0)),IFERROR(INDEX('Projections &amp; Dashboards'!$B$5:$B$200,MATCH(F233,'Projections &amp; Dashboards'!$A$5:$A$200,0)),IFERROR(INDEX(Funções!$O$5:$O$300,MATCH(F233,Funções!$A$5:$A$300,0)),IFERROR(INDEX(Telas!$C$5:$C$400,MATCH(F233,Telas!$A$5:$A$400,0)),IFERROR(INDEX(Roadmap!$D$6:$D$200,MATCH(F233,Roadmap!$A$6:$A$200,0)),IFERROR(INDEX(Modules!$C$5:$C$100,MATCH(F233,Modules!$A$5:$A$100,0)),"NOT FOUND"))))))))</f>
        <v/>
      </c>
      <c r="H233" s="95">
        <f>IF(F233="","",IF(G233="NOT FOUND","—",IFERROR(INDEX(Listas!$J$5:$J$13,MATCH(LEFT(F233,FIND("-",F233)-1),Listas!$I$5:$I$13,0)),"Module / area")))</f>
        <v/>
      </c>
      <c r="I233" s="95">
        <f>IF(AND(B233="",F233=""),"",IF(OR(C233="NOT FOUND",G233="NOT FOUND"),"✖ ID inexistente",IF(B233=F233,"✖ Autorreferência",IF(E233="","✖ Sem relação","✔ OK"))))</f>
        <v/>
      </c>
      <c r="J233" s="93" t="n"/>
    </row>
    <row r="234" ht="15" customHeight="1" s="50">
      <c r="A234" s="93" t="n"/>
      <c r="B234" s="93" t="n"/>
      <c r="C234" s="95">
        <f>IF(B234="","",IFERROR(INDEX('Constants &amp; Enums'!$B$5:$B$200,MATCH(B234,'Constants &amp; Enums'!$A$5:$A$200,0)),IFERROR(INDEX('Metrics &amp; Formulas'!$B$5:$B$200,MATCH(B234,'Metrics &amp; Formulas'!$A$5:$A$200,0)),IFERROR(INDEX('Projections &amp; Dashboards'!$B$5:$B$200,MATCH(B234,'Projections &amp; Dashboards'!$A$5:$A$200,0)),IFERROR(INDEX(Funções!$O$5:$O$300,MATCH(B234,Funções!$A$5:$A$300,0)),IFERROR(INDEX(Telas!$C$5:$C$400,MATCH(B234,Telas!$A$5:$A$400,0)),IFERROR(INDEX(Roadmap!$D$6:$D$200,MATCH(B234,Roadmap!$A$6:$A$200,0)),IFERROR(INDEX(Modules!$C$5:$C$100,MATCH(B234,Modules!$A$5:$A$100,0)),"NOT FOUND"))))))))</f>
        <v/>
      </c>
      <c r="D234" s="95">
        <f>IF(B234="","",IF(C234="NOT FOUND","—",IFERROR(INDEX(Listas!$J$5:$J$13,MATCH(LEFT(B234,FIND("-",B234)-1),Listas!$I$5:$I$13,0)),"Module / area")))</f>
        <v/>
      </c>
      <c r="E234" s="93" t="n"/>
      <c r="F234" s="93" t="n"/>
      <c r="G234" s="95">
        <f>IF(F234="","",IFERROR(INDEX('Constants &amp; Enums'!$B$5:$B$200,MATCH(F234,'Constants &amp; Enums'!$A$5:$A$200,0)),IFERROR(INDEX('Metrics &amp; Formulas'!$B$5:$B$200,MATCH(F234,'Metrics &amp; Formulas'!$A$5:$A$200,0)),IFERROR(INDEX('Projections &amp; Dashboards'!$B$5:$B$200,MATCH(F234,'Projections &amp; Dashboards'!$A$5:$A$200,0)),IFERROR(INDEX(Funções!$O$5:$O$300,MATCH(F234,Funções!$A$5:$A$300,0)),IFERROR(INDEX(Telas!$C$5:$C$400,MATCH(F234,Telas!$A$5:$A$400,0)),IFERROR(INDEX(Roadmap!$D$6:$D$200,MATCH(F234,Roadmap!$A$6:$A$200,0)),IFERROR(INDEX(Modules!$C$5:$C$100,MATCH(F234,Modules!$A$5:$A$100,0)),"NOT FOUND"))))))))</f>
        <v/>
      </c>
      <c r="H234" s="95">
        <f>IF(F234="","",IF(G234="NOT FOUND","—",IFERROR(INDEX(Listas!$J$5:$J$13,MATCH(LEFT(F234,FIND("-",F234)-1),Listas!$I$5:$I$13,0)),"Module / area")))</f>
        <v/>
      </c>
      <c r="I234" s="95">
        <f>IF(AND(B234="",F234=""),"",IF(OR(C234="NOT FOUND",G234="NOT FOUND"),"✖ ID inexistente",IF(B234=F234,"✖ Autorreferência",IF(E234="","✖ Sem relação","✔ OK"))))</f>
        <v/>
      </c>
      <c r="J234" s="93" t="n"/>
    </row>
    <row r="235" ht="15" customHeight="1" s="50">
      <c r="A235" s="93" t="n"/>
      <c r="B235" s="93" t="n"/>
      <c r="C235" s="95">
        <f>IF(B235="","",IFERROR(INDEX('Constants &amp; Enums'!$B$5:$B$200,MATCH(B235,'Constants &amp; Enums'!$A$5:$A$200,0)),IFERROR(INDEX('Metrics &amp; Formulas'!$B$5:$B$200,MATCH(B235,'Metrics &amp; Formulas'!$A$5:$A$200,0)),IFERROR(INDEX('Projections &amp; Dashboards'!$B$5:$B$200,MATCH(B235,'Projections &amp; Dashboards'!$A$5:$A$200,0)),IFERROR(INDEX(Funções!$O$5:$O$300,MATCH(B235,Funções!$A$5:$A$300,0)),IFERROR(INDEX(Telas!$C$5:$C$400,MATCH(B235,Telas!$A$5:$A$400,0)),IFERROR(INDEX(Roadmap!$D$6:$D$200,MATCH(B235,Roadmap!$A$6:$A$200,0)),IFERROR(INDEX(Modules!$C$5:$C$100,MATCH(B235,Modules!$A$5:$A$100,0)),"NOT FOUND"))))))))</f>
        <v/>
      </c>
      <c r="D235" s="95">
        <f>IF(B235="","",IF(C235="NOT FOUND","—",IFERROR(INDEX(Listas!$J$5:$J$13,MATCH(LEFT(B235,FIND("-",B235)-1),Listas!$I$5:$I$13,0)),"Module / area")))</f>
        <v/>
      </c>
      <c r="E235" s="93" t="n"/>
      <c r="F235" s="93" t="n"/>
      <c r="G235" s="95">
        <f>IF(F235="","",IFERROR(INDEX('Constants &amp; Enums'!$B$5:$B$200,MATCH(F235,'Constants &amp; Enums'!$A$5:$A$200,0)),IFERROR(INDEX('Metrics &amp; Formulas'!$B$5:$B$200,MATCH(F235,'Metrics &amp; Formulas'!$A$5:$A$200,0)),IFERROR(INDEX('Projections &amp; Dashboards'!$B$5:$B$200,MATCH(F235,'Projections &amp; Dashboards'!$A$5:$A$200,0)),IFERROR(INDEX(Funções!$O$5:$O$300,MATCH(F235,Funções!$A$5:$A$300,0)),IFERROR(INDEX(Telas!$C$5:$C$400,MATCH(F235,Telas!$A$5:$A$400,0)),IFERROR(INDEX(Roadmap!$D$6:$D$200,MATCH(F235,Roadmap!$A$6:$A$200,0)),IFERROR(INDEX(Modules!$C$5:$C$100,MATCH(F235,Modules!$A$5:$A$100,0)),"NOT FOUND"))))))))</f>
        <v/>
      </c>
      <c r="H235" s="95">
        <f>IF(F235="","",IF(G235="NOT FOUND","—",IFERROR(INDEX(Listas!$J$5:$J$13,MATCH(LEFT(F235,FIND("-",F235)-1),Listas!$I$5:$I$13,0)),"Module / area")))</f>
        <v/>
      </c>
      <c r="I235" s="95">
        <f>IF(AND(B235="",F235=""),"",IF(OR(C235="NOT FOUND",G235="NOT FOUND"),"✖ ID inexistente",IF(B235=F235,"✖ Autorreferência",IF(E235="","✖ Sem relação","✔ OK"))))</f>
        <v/>
      </c>
      <c r="J235" s="93" t="n"/>
    </row>
    <row r="236" ht="15" customHeight="1" s="50">
      <c r="A236" s="93" t="n"/>
      <c r="B236" s="93" t="n"/>
      <c r="C236" s="95">
        <f>IF(B236="","",IFERROR(INDEX('Constants &amp; Enums'!$B$5:$B$200,MATCH(B236,'Constants &amp; Enums'!$A$5:$A$200,0)),IFERROR(INDEX('Metrics &amp; Formulas'!$B$5:$B$200,MATCH(B236,'Metrics &amp; Formulas'!$A$5:$A$200,0)),IFERROR(INDEX('Projections &amp; Dashboards'!$B$5:$B$200,MATCH(B236,'Projections &amp; Dashboards'!$A$5:$A$200,0)),IFERROR(INDEX(Funções!$O$5:$O$300,MATCH(B236,Funções!$A$5:$A$300,0)),IFERROR(INDEX(Telas!$C$5:$C$400,MATCH(B236,Telas!$A$5:$A$400,0)),IFERROR(INDEX(Roadmap!$D$6:$D$200,MATCH(B236,Roadmap!$A$6:$A$200,0)),IFERROR(INDEX(Modules!$C$5:$C$100,MATCH(B236,Modules!$A$5:$A$100,0)),"NOT FOUND"))))))))</f>
        <v/>
      </c>
      <c r="D236" s="95">
        <f>IF(B236="","",IF(C236="NOT FOUND","—",IFERROR(INDEX(Listas!$J$5:$J$13,MATCH(LEFT(B236,FIND("-",B236)-1),Listas!$I$5:$I$13,0)),"Module / area")))</f>
        <v/>
      </c>
      <c r="E236" s="93" t="n"/>
      <c r="F236" s="93" t="n"/>
      <c r="G236" s="95">
        <f>IF(F236="","",IFERROR(INDEX('Constants &amp; Enums'!$B$5:$B$200,MATCH(F236,'Constants &amp; Enums'!$A$5:$A$200,0)),IFERROR(INDEX('Metrics &amp; Formulas'!$B$5:$B$200,MATCH(F236,'Metrics &amp; Formulas'!$A$5:$A$200,0)),IFERROR(INDEX('Projections &amp; Dashboards'!$B$5:$B$200,MATCH(F236,'Projections &amp; Dashboards'!$A$5:$A$200,0)),IFERROR(INDEX(Funções!$O$5:$O$300,MATCH(F236,Funções!$A$5:$A$300,0)),IFERROR(INDEX(Telas!$C$5:$C$400,MATCH(F236,Telas!$A$5:$A$400,0)),IFERROR(INDEX(Roadmap!$D$6:$D$200,MATCH(F236,Roadmap!$A$6:$A$200,0)),IFERROR(INDEX(Modules!$C$5:$C$100,MATCH(F236,Modules!$A$5:$A$100,0)),"NOT FOUND"))))))))</f>
        <v/>
      </c>
      <c r="H236" s="95">
        <f>IF(F236="","",IF(G236="NOT FOUND","—",IFERROR(INDEX(Listas!$J$5:$J$13,MATCH(LEFT(F236,FIND("-",F236)-1),Listas!$I$5:$I$13,0)),"Module / area")))</f>
        <v/>
      </c>
      <c r="I236" s="95">
        <f>IF(AND(B236="",F236=""),"",IF(OR(C236="NOT FOUND",G236="NOT FOUND"),"✖ ID inexistente",IF(B236=F236,"✖ Autorreferência",IF(E236="","✖ Sem relação","✔ OK"))))</f>
        <v/>
      </c>
      <c r="J236" s="93" t="n"/>
    </row>
    <row r="237" ht="15" customHeight="1" s="50">
      <c r="A237" s="93" t="n"/>
      <c r="B237" s="93" t="n"/>
      <c r="C237" s="95">
        <f>IF(B237="","",IFERROR(INDEX('Constants &amp; Enums'!$B$5:$B$200,MATCH(B237,'Constants &amp; Enums'!$A$5:$A$200,0)),IFERROR(INDEX('Metrics &amp; Formulas'!$B$5:$B$200,MATCH(B237,'Metrics &amp; Formulas'!$A$5:$A$200,0)),IFERROR(INDEX('Projections &amp; Dashboards'!$B$5:$B$200,MATCH(B237,'Projections &amp; Dashboards'!$A$5:$A$200,0)),IFERROR(INDEX(Funções!$O$5:$O$300,MATCH(B237,Funções!$A$5:$A$300,0)),IFERROR(INDEX(Telas!$C$5:$C$400,MATCH(B237,Telas!$A$5:$A$400,0)),IFERROR(INDEX(Roadmap!$D$6:$D$200,MATCH(B237,Roadmap!$A$6:$A$200,0)),IFERROR(INDEX(Modules!$C$5:$C$100,MATCH(B237,Modules!$A$5:$A$100,0)),"NOT FOUND"))))))))</f>
        <v/>
      </c>
      <c r="D237" s="95">
        <f>IF(B237="","",IF(C237="NOT FOUND","—",IFERROR(INDEX(Listas!$J$5:$J$13,MATCH(LEFT(B237,FIND("-",B237)-1),Listas!$I$5:$I$13,0)),"Module / area")))</f>
        <v/>
      </c>
      <c r="E237" s="93" t="n"/>
      <c r="F237" s="93" t="n"/>
      <c r="G237" s="95">
        <f>IF(F237="","",IFERROR(INDEX('Constants &amp; Enums'!$B$5:$B$200,MATCH(F237,'Constants &amp; Enums'!$A$5:$A$200,0)),IFERROR(INDEX('Metrics &amp; Formulas'!$B$5:$B$200,MATCH(F237,'Metrics &amp; Formulas'!$A$5:$A$200,0)),IFERROR(INDEX('Projections &amp; Dashboards'!$B$5:$B$200,MATCH(F237,'Projections &amp; Dashboards'!$A$5:$A$200,0)),IFERROR(INDEX(Funções!$O$5:$O$300,MATCH(F237,Funções!$A$5:$A$300,0)),IFERROR(INDEX(Telas!$C$5:$C$400,MATCH(F237,Telas!$A$5:$A$400,0)),IFERROR(INDEX(Roadmap!$D$6:$D$200,MATCH(F237,Roadmap!$A$6:$A$200,0)),IFERROR(INDEX(Modules!$C$5:$C$100,MATCH(F237,Modules!$A$5:$A$100,0)),"NOT FOUND"))))))))</f>
        <v/>
      </c>
      <c r="H237" s="95">
        <f>IF(F237="","",IF(G237="NOT FOUND","—",IFERROR(INDEX(Listas!$J$5:$J$13,MATCH(LEFT(F237,FIND("-",F237)-1),Listas!$I$5:$I$13,0)),"Module / area")))</f>
        <v/>
      </c>
      <c r="I237" s="95">
        <f>IF(AND(B237="",F237=""),"",IF(OR(C237="NOT FOUND",G237="NOT FOUND"),"✖ ID inexistente",IF(B237=F237,"✖ Autorreferência",IF(E237="","✖ Sem relação","✔ OK"))))</f>
        <v/>
      </c>
      <c r="J237" s="93" t="n"/>
    </row>
    <row r="238" ht="15" customHeight="1" s="50">
      <c r="A238" s="93" t="n"/>
      <c r="B238" s="93" t="n"/>
      <c r="C238" s="95">
        <f>IF(B238="","",IFERROR(INDEX('Constants &amp; Enums'!$B$5:$B$200,MATCH(B238,'Constants &amp; Enums'!$A$5:$A$200,0)),IFERROR(INDEX('Metrics &amp; Formulas'!$B$5:$B$200,MATCH(B238,'Metrics &amp; Formulas'!$A$5:$A$200,0)),IFERROR(INDEX('Projections &amp; Dashboards'!$B$5:$B$200,MATCH(B238,'Projections &amp; Dashboards'!$A$5:$A$200,0)),IFERROR(INDEX(Funções!$O$5:$O$300,MATCH(B238,Funções!$A$5:$A$300,0)),IFERROR(INDEX(Telas!$C$5:$C$400,MATCH(B238,Telas!$A$5:$A$400,0)),IFERROR(INDEX(Roadmap!$D$6:$D$200,MATCH(B238,Roadmap!$A$6:$A$200,0)),IFERROR(INDEX(Modules!$C$5:$C$100,MATCH(B238,Modules!$A$5:$A$100,0)),"NOT FOUND"))))))))</f>
        <v/>
      </c>
      <c r="D238" s="95">
        <f>IF(B238="","",IF(C238="NOT FOUND","—",IFERROR(INDEX(Listas!$J$5:$J$13,MATCH(LEFT(B238,FIND("-",B238)-1),Listas!$I$5:$I$13,0)),"Module / area")))</f>
        <v/>
      </c>
      <c r="E238" s="93" t="n"/>
      <c r="F238" s="93" t="n"/>
      <c r="G238" s="95">
        <f>IF(F238="","",IFERROR(INDEX('Constants &amp; Enums'!$B$5:$B$200,MATCH(F238,'Constants &amp; Enums'!$A$5:$A$200,0)),IFERROR(INDEX('Metrics &amp; Formulas'!$B$5:$B$200,MATCH(F238,'Metrics &amp; Formulas'!$A$5:$A$200,0)),IFERROR(INDEX('Projections &amp; Dashboards'!$B$5:$B$200,MATCH(F238,'Projections &amp; Dashboards'!$A$5:$A$200,0)),IFERROR(INDEX(Funções!$O$5:$O$300,MATCH(F238,Funções!$A$5:$A$300,0)),IFERROR(INDEX(Telas!$C$5:$C$400,MATCH(F238,Telas!$A$5:$A$400,0)),IFERROR(INDEX(Roadmap!$D$6:$D$200,MATCH(F238,Roadmap!$A$6:$A$200,0)),IFERROR(INDEX(Modules!$C$5:$C$100,MATCH(F238,Modules!$A$5:$A$100,0)),"NOT FOUND"))))))))</f>
        <v/>
      </c>
      <c r="H238" s="95">
        <f>IF(F238="","",IF(G238="NOT FOUND","—",IFERROR(INDEX(Listas!$J$5:$J$13,MATCH(LEFT(F238,FIND("-",F238)-1),Listas!$I$5:$I$13,0)),"Module / area")))</f>
        <v/>
      </c>
      <c r="I238" s="95">
        <f>IF(AND(B238="",F238=""),"",IF(OR(C238="NOT FOUND",G238="NOT FOUND"),"✖ ID inexistente",IF(B238=F238,"✖ Autorreferência",IF(E238="","✖ Sem relação","✔ OK"))))</f>
        <v/>
      </c>
      <c r="J238" s="93" t="n"/>
    </row>
    <row r="239" ht="15" customHeight="1" s="50">
      <c r="A239" s="93" t="n"/>
      <c r="B239" s="93" t="n"/>
      <c r="C239" s="95">
        <f>IF(B239="","",IFERROR(INDEX('Constants &amp; Enums'!$B$5:$B$200,MATCH(B239,'Constants &amp; Enums'!$A$5:$A$200,0)),IFERROR(INDEX('Metrics &amp; Formulas'!$B$5:$B$200,MATCH(B239,'Metrics &amp; Formulas'!$A$5:$A$200,0)),IFERROR(INDEX('Projections &amp; Dashboards'!$B$5:$B$200,MATCH(B239,'Projections &amp; Dashboards'!$A$5:$A$200,0)),IFERROR(INDEX(Funções!$O$5:$O$300,MATCH(B239,Funções!$A$5:$A$300,0)),IFERROR(INDEX(Telas!$C$5:$C$400,MATCH(B239,Telas!$A$5:$A$400,0)),IFERROR(INDEX(Roadmap!$D$6:$D$200,MATCH(B239,Roadmap!$A$6:$A$200,0)),IFERROR(INDEX(Modules!$C$5:$C$100,MATCH(B239,Modules!$A$5:$A$100,0)),"NOT FOUND"))))))))</f>
        <v/>
      </c>
      <c r="D239" s="95">
        <f>IF(B239="","",IF(C239="NOT FOUND","—",IFERROR(INDEX(Listas!$J$5:$J$13,MATCH(LEFT(B239,FIND("-",B239)-1),Listas!$I$5:$I$13,0)),"Module / area")))</f>
        <v/>
      </c>
      <c r="E239" s="93" t="n"/>
      <c r="F239" s="93" t="n"/>
      <c r="G239" s="95">
        <f>IF(F239="","",IFERROR(INDEX('Constants &amp; Enums'!$B$5:$B$200,MATCH(F239,'Constants &amp; Enums'!$A$5:$A$200,0)),IFERROR(INDEX('Metrics &amp; Formulas'!$B$5:$B$200,MATCH(F239,'Metrics &amp; Formulas'!$A$5:$A$200,0)),IFERROR(INDEX('Projections &amp; Dashboards'!$B$5:$B$200,MATCH(F239,'Projections &amp; Dashboards'!$A$5:$A$200,0)),IFERROR(INDEX(Funções!$O$5:$O$300,MATCH(F239,Funções!$A$5:$A$300,0)),IFERROR(INDEX(Telas!$C$5:$C$400,MATCH(F239,Telas!$A$5:$A$400,0)),IFERROR(INDEX(Roadmap!$D$6:$D$200,MATCH(F239,Roadmap!$A$6:$A$200,0)),IFERROR(INDEX(Modules!$C$5:$C$100,MATCH(F239,Modules!$A$5:$A$100,0)),"NOT FOUND"))))))))</f>
        <v/>
      </c>
      <c r="H239" s="95">
        <f>IF(F239="","",IF(G239="NOT FOUND","—",IFERROR(INDEX(Listas!$J$5:$J$13,MATCH(LEFT(F239,FIND("-",F239)-1),Listas!$I$5:$I$13,0)),"Module / area")))</f>
        <v/>
      </c>
      <c r="I239" s="95">
        <f>IF(AND(B239="",F239=""),"",IF(OR(C239="NOT FOUND",G239="NOT FOUND"),"✖ ID inexistente",IF(B239=F239,"✖ Autorreferência",IF(E239="","✖ Sem relação","✔ OK"))))</f>
        <v/>
      </c>
      <c r="J239" s="93" t="n"/>
    </row>
    <row r="240" ht="15" customHeight="1" s="50">
      <c r="A240" s="93" t="n"/>
      <c r="B240" s="93" t="n"/>
      <c r="C240" s="95">
        <f>IF(B240="","",IFERROR(INDEX('Constants &amp; Enums'!$B$5:$B$200,MATCH(B240,'Constants &amp; Enums'!$A$5:$A$200,0)),IFERROR(INDEX('Metrics &amp; Formulas'!$B$5:$B$200,MATCH(B240,'Metrics &amp; Formulas'!$A$5:$A$200,0)),IFERROR(INDEX('Projections &amp; Dashboards'!$B$5:$B$200,MATCH(B240,'Projections &amp; Dashboards'!$A$5:$A$200,0)),IFERROR(INDEX(Funções!$O$5:$O$300,MATCH(B240,Funções!$A$5:$A$300,0)),IFERROR(INDEX(Telas!$C$5:$C$400,MATCH(B240,Telas!$A$5:$A$400,0)),IFERROR(INDEX(Roadmap!$D$6:$D$200,MATCH(B240,Roadmap!$A$6:$A$200,0)),IFERROR(INDEX(Modules!$C$5:$C$100,MATCH(B240,Modules!$A$5:$A$100,0)),"NOT FOUND"))))))))</f>
        <v/>
      </c>
      <c r="D240" s="95">
        <f>IF(B240="","",IF(C240="NOT FOUND","—",IFERROR(INDEX(Listas!$J$5:$J$13,MATCH(LEFT(B240,FIND("-",B240)-1),Listas!$I$5:$I$13,0)),"Module / area")))</f>
        <v/>
      </c>
      <c r="E240" s="93" t="n"/>
      <c r="F240" s="93" t="n"/>
      <c r="G240" s="95">
        <f>IF(F240="","",IFERROR(INDEX('Constants &amp; Enums'!$B$5:$B$200,MATCH(F240,'Constants &amp; Enums'!$A$5:$A$200,0)),IFERROR(INDEX('Metrics &amp; Formulas'!$B$5:$B$200,MATCH(F240,'Metrics &amp; Formulas'!$A$5:$A$200,0)),IFERROR(INDEX('Projections &amp; Dashboards'!$B$5:$B$200,MATCH(F240,'Projections &amp; Dashboards'!$A$5:$A$200,0)),IFERROR(INDEX(Funções!$O$5:$O$300,MATCH(F240,Funções!$A$5:$A$300,0)),IFERROR(INDEX(Telas!$C$5:$C$400,MATCH(F240,Telas!$A$5:$A$400,0)),IFERROR(INDEX(Roadmap!$D$6:$D$200,MATCH(F240,Roadmap!$A$6:$A$200,0)),IFERROR(INDEX(Modules!$C$5:$C$100,MATCH(F240,Modules!$A$5:$A$100,0)),"NOT FOUND"))))))))</f>
        <v/>
      </c>
      <c r="H240" s="95">
        <f>IF(F240="","",IF(G240="NOT FOUND","—",IFERROR(INDEX(Listas!$J$5:$J$13,MATCH(LEFT(F240,FIND("-",F240)-1),Listas!$I$5:$I$13,0)),"Module / area")))</f>
        <v/>
      </c>
      <c r="I240" s="95">
        <f>IF(AND(B240="",F240=""),"",IF(OR(C240="NOT FOUND",G240="NOT FOUND"),"✖ ID inexistente",IF(B240=F240,"✖ Autorreferência",IF(E240="","✖ Sem relação","✔ OK"))))</f>
        <v/>
      </c>
      <c r="J240" s="93" t="n"/>
    </row>
    <row r="241" ht="15" customHeight="1" s="50">
      <c r="A241" s="93" t="n"/>
      <c r="B241" s="93" t="n"/>
      <c r="C241" s="95">
        <f>IF(B241="","",IFERROR(INDEX('Constants &amp; Enums'!$B$5:$B$200,MATCH(B241,'Constants &amp; Enums'!$A$5:$A$200,0)),IFERROR(INDEX('Metrics &amp; Formulas'!$B$5:$B$200,MATCH(B241,'Metrics &amp; Formulas'!$A$5:$A$200,0)),IFERROR(INDEX('Projections &amp; Dashboards'!$B$5:$B$200,MATCH(B241,'Projections &amp; Dashboards'!$A$5:$A$200,0)),IFERROR(INDEX(Funções!$O$5:$O$300,MATCH(B241,Funções!$A$5:$A$300,0)),IFERROR(INDEX(Telas!$C$5:$C$400,MATCH(B241,Telas!$A$5:$A$400,0)),IFERROR(INDEX(Roadmap!$D$6:$D$200,MATCH(B241,Roadmap!$A$6:$A$200,0)),IFERROR(INDEX(Modules!$C$5:$C$100,MATCH(B241,Modules!$A$5:$A$100,0)),"NOT FOUND"))))))))</f>
        <v/>
      </c>
      <c r="D241" s="95">
        <f>IF(B241="","",IF(C241="NOT FOUND","—",IFERROR(INDEX(Listas!$J$5:$J$13,MATCH(LEFT(B241,FIND("-",B241)-1),Listas!$I$5:$I$13,0)),"Module / area")))</f>
        <v/>
      </c>
      <c r="E241" s="93" t="n"/>
      <c r="F241" s="93" t="n"/>
      <c r="G241" s="95">
        <f>IF(F241="","",IFERROR(INDEX('Constants &amp; Enums'!$B$5:$B$200,MATCH(F241,'Constants &amp; Enums'!$A$5:$A$200,0)),IFERROR(INDEX('Metrics &amp; Formulas'!$B$5:$B$200,MATCH(F241,'Metrics &amp; Formulas'!$A$5:$A$200,0)),IFERROR(INDEX('Projections &amp; Dashboards'!$B$5:$B$200,MATCH(F241,'Projections &amp; Dashboards'!$A$5:$A$200,0)),IFERROR(INDEX(Funções!$O$5:$O$300,MATCH(F241,Funções!$A$5:$A$300,0)),IFERROR(INDEX(Telas!$C$5:$C$400,MATCH(F241,Telas!$A$5:$A$400,0)),IFERROR(INDEX(Roadmap!$D$6:$D$200,MATCH(F241,Roadmap!$A$6:$A$200,0)),IFERROR(INDEX(Modules!$C$5:$C$100,MATCH(F241,Modules!$A$5:$A$100,0)),"NOT FOUND"))))))))</f>
        <v/>
      </c>
      <c r="H241" s="95">
        <f>IF(F241="","",IF(G241="NOT FOUND","—",IFERROR(INDEX(Listas!$J$5:$J$13,MATCH(LEFT(F241,FIND("-",F241)-1),Listas!$I$5:$I$13,0)),"Module / area")))</f>
        <v/>
      </c>
      <c r="I241" s="95">
        <f>IF(AND(B241="",F241=""),"",IF(OR(C241="NOT FOUND",G241="NOT FOUND"),"✖ ID inexistente",IF(B241=F241,"✖ Autorreferência",IF(E241="","✖ Sem relação","✔ OK"))))</f>
        <v/>
      </c>
      <c r="J241" s="93" t="n"/>
    </row>
    <row r="242" ht="15" customHeight="1" s="50">
      <c r="A242" s="93" t="n"/>
      <c r="B242" s="93" t="n"/>
      <c r="C242" s="95">
        <f>IF(B242="","",IFERROR(INDEX('Constants &amp; Enums'!$B$5:$B$200,MATCH(B242,'Constants &amp; Enums'!$A$5:$A$200,0)),IFERROR(INDEX('Metrics &amp; Formulas'!$B$5:$B$200,MATCH(B242,'Metrics &amp; Formulas'!$A$5:$A$200,0)),IFERROR(INDEX('Projections &amp; Dashboards'!$B$5:$B$200,MATCH(B242,'Projections &amp; Dashboards'!$A$5:$A$200,0)),IFERROR(INDEX(Funções!$O$5:$O$300,MATCH(B242,Funções!$A$5:$A$300,0)),IFERROR(INDEX(Telas!$C$5:$C$400,MATCH(B242,Telas!$A$5:$A$400,0)),IFERROR(INDEX(Roadmap!$D$6:$D$200,MATCH(B242,Roadmap!$A$6:$A$200,0)),IFERROR(INDEX(Modules!$C$5:$C$100,MATCH(B242,Modules!$A$5:$A$100,0)),"NOT FOUND"))))))))</f>
        <v/>
      </c>
      <c r="D242" s="95">
        <f>IF(B242="","",IF(C242="NOT FOUND","—",IFERROR(INDEX(Listas!$J$5:$J$13,MATCH(LEFT(B242,FIND("-",B242)-1),Listas!$I$5:$I$13,0)),"Module / area")))</f>
        <v/>
      </c>
      <c r="E242" s="93" t="n"/>
      <c r="F242" s="93" t="n"/>
      <c r="G242" s="95">
        <f>IF(F242="","",IFERROR(INDEX('Constants &amp; Enums'!$B$5:$B$200,MATCH(F242,'Constants &amp; Enums'!$A$5:$A$200,0)),IFERROR(INDEX('Metrics &amp; Formulas'!$B$5:$B$200,MATCH(F242,'Metrics &amp; Formulas'!$A$5:$A$200,0)),IFERROR(INDEX('Projections &amp; Dashboards'!$B$5:$B$200,MATCH(F242,'Projections &amp; Dashboards'!$A$5:$A$200,0)),IFERROR(INDEX(Funções!$O$5:$O$300,MATCH(F242,Funções!$A$5:$A$300,0)),IFERROR(INDEX(Telas!$C$5:$C$400,MATCH(F242,Telas!$A$5:$A$400,0)),IFERROR(INDEX(Roadmap!$D$6:$D$200,MATCH(F242,Roadmap!$A$6:$A$200,0)),IFERROR(INDEX(Modules!$C$5:$C$100,MATCH(F242,Modules!$A$5:$A$100,0)),"NOT FOUND"))))))))</f>
        <v/>
      </c>
      <c r="H242" s="95">
        <f>IF(F242="","",IF(G242="NOT FOUND","—",IFERROR(INDEX(Listas!$J$5:$J$13,MATCH(LEFT(F242,FIND("-",F242)-1),Listas!$I$5:$I$13,0)),"Module / area")))</f>
        <v/>
      </c>
      <c r="I242" s="95">
        <f>IF(AND(B242="",F242=""),"",IF(OR(C242="NOT FOUND",G242="NOT FOUND"),"✖ ID inexistente",IF(B242=F242,"✖ Autorreferência",IF(E242="","✖ Sem relação","✔ OK"))))</f>
        <v/>
      </c>
      <c r="J242" s="93" t="n"/>
    </row>
    <row r="243" ht="15" customHeight="1" s="50">
      <c r="A243" s="93" t="n"/>
      <c r="B243" s="93" t="n"/>
      <c r="C243" s="95">
        <f>IF(B243="","",IFERROR(INDEX('Constants &amp; Enums'!$B$5:$B$200,MATCH(B243,'Constants &amp; Enums'!$A$5:$A$200,0)),IFERROR(INDEX('Metrics &amp; Formulas'!$B$5:$B$200,MATCH(B243,'Metrics &amp; Formulas'!$A$5:$A$200,0)),IFERROR(INDEX('Projections &amp; Dashboards'!$B$5:$B$200,MATCH(B243,'Projections &amp; Dashboards'!$A$5:$A$200,0)),IFERROR(INDEX(Funções!$O$5:$O$300,MATCH(B243,Funções!$A$5:$A$300,0)),IFERROR(INDEX(Telas!$C$5:$C$400,MATCH(B243,Telas!$A$5:$A$400,0)),IFERROR(INDEX(Roadmap!$D$6:$D$200,MATCH(B243,Roadmap!$A$6:$A$200,0)),IFERROR(INDEX(Modules!$C$5:$C$100,MATCH(B243,Modules!$A$5:$A$100,0)),"NOT FOUND"))))))))</f>
        <v/>
      </c>
      <c r="D243" s="95">
        <f>IF(B243="","",IF(C243="NOT FOUND","—",IFERROR(INDEX(Listas!$J$5:$J$13,MATCH(LEFT(B243,FIND("-",B243)-1),Listas!$I$5:$I$13,0)),"Module / area")))</f>
        <v/>
      </c>
      <c r="E243" s="93" t="n"/>
      <c r="F243" s="93" t="n"/>
      <c r="G243" s="95">
        <f>IF(F243="","",IFERROR(INDEX('Constants &amp; Enums'!$B$5:$B$200,MATCH(F243,'Constants &amp; Enums'!$A$5:$A$200,0)),IFERROR(INDEX('Metrics &amp; Formulas'!$B$5:$B$200,MATCH(F243,'Metrics &amp; Formulas'!$A$5:$A$200,0)),IFERROR(INDEX('Projections &amp; Dashboards'!$B$5:$B$200,MATCH(F243,'Projections &amp; Dashboards'!$A$5:$A$200,0)),IFERROR(INDEX(Funções!$O$5:$O$300,MATCH(F243,Funções!$A$5:$A$300,0)),IFERROR(INDEX(Telas!$C$5:$C$400,MATCH(F243,Telas!$A$5:$A$400,0)),IFERROR(INDEX(Roadmap!$D$6:$D$200,MATCH(F243,Roadmap!$A$6:$A$200,0)),IFERROR(INDEX(Modules!$C$5:$C$100,MATCH(F243,Modules!$A$5:$A$100,0)),"NOT FOUND"))))))))</f>
        <v/>
      </c>
      <c r="H243" s="95">
        <f>IF(F243="","",IF(G243="NOT FOUND","—",IFERROR(INDEX(Listas!$J$5:$J$13,MATCH(LEFT(F243,FIND("-",F243)-1),Listas!$I$5:$I$13,0)),"Module / area")))</f>
        <v/>
      </c>
      <c r="I243" s="95">
        <f>IF(AND(B243="",F243=""),"",IF(OR(C243="NOT FOUND",G243="NOT FOUND"),"✖ ID inexistente",IF(B243=F243,"✖ Autorreferência",IF(E243="","✖ Sem relação","✔ OK"))))</f>
        <v/>
      </c>
      <c r="J243" s="93" t="n"/>
    </row>
    <row r="244" ht="15" customHeight="1" s="50">
      <c r="A244" s="93" t="n"/>
      <c r="B244" s="93" t="n"/>
      <c r="C244" s="95">
        <f>IF(B244="","",IFERROR(INDEX('Constants &amp; Enums'!$B$5:$B$200,MATCH(B244,'Constants &amp; Enums'!$A$5:$A$200,0)),IFERROR(INDEX('Metrics &amp; Formulas'!$B$5:$B$200,MATCH(B244,'Metrics &amp; Formulas'!$A$5:$A$200,0)),IFERROR(INDEX('Projections &amp; Dashboards'!$B$5:$B$200,MATCH(B244,'Projections &amp; Dashboards'!$A$5:$A$200,0)),IFERROR(INDEX(Funções!$O$5:$O$300,MATCH(B244,Funções!$A$5:$A$300,0)),IFERROR(INDEX(Telas!$C$5:$C$400,MATCH(B244,Telas!$A$5:$A$400,0)),IFERROR(INDEX(Roadmap!$D$6:$D$200,MATCH(B244,Roadmap!$A$6:$A$200,0)),IFERROR(INDEX(Modules!$C$5:$C$100,MATCH(B244,Modules!$A$5:$A$100,0)),"NOT FOUND"))))))))</f>
        <v/>
      </c>
      <c r="D244" s="95">
        <f>IF(B244="","",IF(C244="NOT FOUND","—",IFERROR(INDEX(Listas!$J$5:$J$13,MATCH(LEFT(B244,FIND("-",B244)-1),Listas!$I$5:$I$13,0)),"Module / area")))</f>
        <v/>
      </c>
      <c r="E244" s="93" t="n"/>
      <c r="F244" s="93" t="n"/>
      <c r="G244" s="95">
        <f>IF(F244="","",IFERROR(INDEX('Constants &amp; Enums'!$B$5:$B$200,MATCH(F244,'Constants &amp; Enums'!$A$5:$A$200,0)),IFERROR(INDEX('Metrics &amp; Formulas'!$B$5:$B$200,MATCH(F244,'Metrics &amp; Formulas'!$A$5:$A$200,0)),IFERROR(INDEX('Projections &amp; Dashboards'!$B$5:$B$200,MATCH(F244,'Projections &amp; Dashboards'!$A$5:$A$200,0)),IFERROR(INDEX(Funções!$O$5:$O$300,MATCH(F244,Funções!$A$5:$A$300,0)),IFERROR(INDEX(Telas!$C$5:$C$400,MATCH(F244,Telas!$A$5:$A$400,0)),IFERROR(INDEX(Roadmap!$D$6:$D$200,MATCH(F244,Roadmap!$A$6:$A$200,0)),IFERROR(INDEX(Modules!$C$5:$C$100,MATCH(F244,Modules!$A$5:$A$100,0)),"NOT FOUND"))))))))</f>
        <v/>
      </c>
      <c r="H244" s="95">
        <f>IF(F244="","",IF(G244="NOT FOUND","—",IFERROR(INDEX(Listas!$J$5:$J$13,MATCH(LEFT(F244,FIND("-",F244)-1),Listas!$I$5:$I$13,0)),"Module / area")))</f>
        <v/>
      </c>
      <c r="I244" s="95">
        <f>IF(AND(B244="",F244=""),"",IF(OR(C244="NOT FOUND",G244="NOT FOUND"),"✖ ID inexistente",IF(B244=F244,"✖ Autorreferência",IF(E244="","✖ Sem relação","✔ OK"))))</f>
        <v/>
      </c>
      <c r="J244" s="93" t="n"/>
    </row>
    <row r="245" ht="15" customHeight="1" s="50">
      <c r="A245" s="93" t="n"/>
      <c r="B245" s="93" t="n"/>
      <c r="C245" s="95">
        <f>IF(B245="","",IFERROR(INDEX('Constants &amp; Enums'!$B$5:$B$200,MATCH(B245,'Constants &amp; Enums'!$A$5:$A$200,0)),IFERROR(INDEX('Metrics &amp; Formulas'!$B$5:$B$200,MATCH(B245,'Metrics &amp; Formulas'!$A$5:$A$200,0)),IFERROR(INDEX('Projections &amp; Dashboards'!$B$5:$B$200,MATCH(B245,'Projections &amp; Dashboards'!$A$5:$A$200,0)),IFERROR(INDEX(Funções!$O$5:$O$300,MATCH(B245,Funções!$A$5:$A$300,0)),IFERROR(INDEX(Telas!$C$5:$C$400,MATCH(B245,Telas!$A$5:$A$400,0)),IFERROR(INDEX(Roadmap!$D$6:$D$200,MATCH(B245,Roadmap!$A$6:$A$200,0)),IFERROR(INDEX(Modules!$C$5:$C$100,MATCH(B245,Modules!$A$5:$A$100,0)),"NOT FOUND"))))))))</f>
        <v/>
      </c>
      <c r="D245" s="95">
        <f>IF(B245="","",IF(C245="NOT FOUND","—",IFERROR(INDEX(Listas!$J$5:$J$13,MATCH(LEFT(B245,FIND("-",B245)-1),Listas!$I$5:$I$13,0)),"Module / area")))</f>
        <v/>
      </c>
      <c r="E245" s="93" t="n"/>
      <c r="F245" s="93" t="n"/>
      <c r="G245" s="95">
        <f>IF(F245="","",IFERROR(INDEX('Constants &amp; Enums'!$B$5:$B$200,MATCH(F245,'Constants &amp; Enums'!$A$5:$A$200,0)),IFERROR(INDEX('Metrics &amp; Formulas'!$B$5:$B$200,MATCH(F245,'Metrics &amp; Formulas'!$A$5:$A$200,0)),IFERROR(INDEX('Projections &amp; Dashboards'!$B$5:$B$200,MATCH(F245,'Projections &amp; Dashboards'!$A$5:$A$200,0)),IFERROR(INDEX(Funções!$O$5:$O$300,MATCH(F245,Funções!$A$5:$A$300,0)),IFERROR(INDEX(Telas!$C$5:$C$400,MATCH(F245,Telas!$A$5:$A$400,0)),IFERROR(INDEX(Roadmap!$D$6:$D$200,MATCH(F245,Roadmap!$A$6:$A$200,0)),IFERROR(INDEX(Modules!$C$5:$C$100,MATCH(F245,Modules!$A$5:$A$100,0)),"NOT FOUND"))))))))</f>
        <v/>
      </c>
      <c r="H245" s="95">
        <f>IF(F245="","",IF(G245="NOT FOUND","—",IFERROR(INDEX(Listas!$J$5:$J$13,MATCH(LEFT(F245,FIND("-",F245)-1),Listas!$I$5:$I$13,0)),"Module / area")))</f>
        <v/>
      </c>
      <c r="I245" s="95">
        <f>IF(AND(B245="",F245=""),"",IF(OR(C245="NOT FOUND",G245="NOT FOUND"),"✖ ID inexistente",IF(B245=F245,"✖ Autorreferência",IF(E245="","✖ Sem relação","✔ OK"))))</f>
        <v/>
      </c>
      <c r="J245" s="93" t="n"/>
    </row>
    <row r="246" ht="15" customHeight="1" s="50">
      <c r="A246" s="93" t="n"/>
      <c r="B246" s="93" t="n"/>
      <c r="C246" s="95">
        <f>IF(B246="","",IFERROR(INDEX('Constants &amp; Enums'!$B$5:$B$200,MATCH(B246,'Constants &amp; Enums'!$A$5:$A$200,0)),IFERROR(INDEX('Metrics &amp; Formulas'!$B$5:$B$200,MATCH(B246,'Metrics &amp; Formulas'!$A$5:$A$200,0)),IFERROR(INDEX('Projections &amp; Dashboards'!$B$5:$B$200,MATCH(B246,'Projections &amp; Dashboards'!$A$5:$A$200,0)),IFERROR(INDEX(Funções!$O$5:$O$300,MATCH(B246,Funções!$A$5:$A$300,0)),IFERROR(INDEX(Telas!$C$5:$C$400,MATCH(B246,Telas!$A$5:$A$400,0)),IFERROR(INDEX(Roadmap!$D$6:$D$200,MATCH(B246,Roadmap!$A$6:$A$200,0)),IFERROR(INDEX(Modules!$C$5:$C$100,MATCH(B246,Modules!$A$5:$A$100,0)),"NOT FOUND"))))))))</f>
        <v/>
      </c>
      <c r="D246" s="95">
        <f>IF(B246="","",IF(C246="NOT FOUND","—",IFERROR(INDEX(Listas!$J$5:$J$13,MATCH(LEFT(B246,FIND("-",B246)-1),Listas!$I$5:$I$13,0)),"Module / area")))</f>
        <v/>
      </c>
      <c r="E246" s="93" t="n"/>
      <c r="F246" s="93" t="n"/>
      <c r="G246" s="95">
        <f>IF(F246="","",IFERROR(INDEX('Constants &amp; Enums'!$B$5:$B$200,MATCH(F246,'Constants &amp; Enums'!$A$5:$A$200,0)),IFERROR(INDEX('Metrics &amp; Formulas'!$B$5:$B$200,MATCH(F246,'Metrics &amp; Formulas'!$A$5:$A$200,0)),IFERROR(INDEX('Projections &amp; Dashboards'!$B$5:$B$200,MATCH(F246,'Projections &amp; Dashboards'!$A$5:$A$200,0)),IFERROR(INDEX(Funções!$O$5:$O$300,MATCH(F246,Funções!$A$5:$A$300,0)),IFERROR(INDEX(Telas!$C$5:$C$400,MATCH(F246,Telas!$A$5:$A$400,0)),IFERROR(INDEX(Roadmap!$D$6:$D$200,MATCH(F246,Roadmap!$A$6:$A$200,0)),IFERROR(INDEX(Modules!$C$5:$C$100,MATCH(F246,Modules!$A$5:$A$100,0)),"NOT FOUND"))))))))</f>
        <v/>
      </c>
      <c r="H246" s="95">
        <f>IF(F246="","",IF(G246="NOT FOUND","—",IFERROR(INDEX(Listas!$J$5:$J$13,MATCH(LEFT(F246,FIND("-",F246)-1),Listas!$I$5:$I$13,0)),"Module / area")))</f>
        <v/>
      </c>
      <c r="I246" s="95">
        <f>IF(AND(B246="",F246=""),"",IF(OR(C246="NOT FOUND",G246="NOT FOUND"),"✖ ID inexistente",IF(B246=F246,"✖ Autorreferência",IF(E246="","✖ Sem relação","✔ OK"))))</f>
        <v/>
      </c>
      <c r="J246" s="93" t="n"/>
    </row>
    <row r="247" ht="15" customHeight="1" s="50">
      <c r="A247" s="93" t="n"/>
      <c r="B247" s="93" t="n"/>
      <c r="C247" s="95">
        <f>IF(B247="","",IFERROR(INDEX('Constants &amp; Enums'!$B$5:$B$200,MATCH(B247,'Constants &amp; Enums'!$A$5:$A$200,0)),IFERROR(INDEX('Metrics &amp; Formulas'!$B$5:$B$200,MATCH(B247,'Metrics &amp; Formulas'!$A$5:$A$200,0)),IFERROR(INDEX('Projections &amp; Dashboards'!$B$5:$B$200,MATCH(B247,'Projections &amp; Dashboards'!$A$5:$A$200,0)),IFERROR(INDEX(Funções!$O$5:$O$300,MATCH(B247,Funções!$A$5:$A$300,0)),IFERROR(INDEX(Telas!$C$5:$C$400,MATCH(B247,Telas!$A$5:$A$400,0)),IFERROR(INDEX(Roadmap!$D$6:$D$200,MATCH(B247,Roadmap!$A$6:$A$200,0)),IFERROR(INDEX(Modules!$C$5:$C$100,MATCH(B247,Modules!$A$5:$A$100,0)),"NOT FOUND"))))))))</f>
        <v/>
      </c>
      <c r="D247" s="95">
        <f>IF(B247="","",IF(C247="NOT FOUND","—",IFERROR(INDEX(Listas!$J$5:$J$13,MATCH(LEFT(B247,FIND("-",B247)-1),Listas!$I$5:$I$13,0)),"Module / area")))</f>
        <v/>
      </c>
      <c r="E247" s="93" t="n"/>
      <c r="F247" s="93" t="n"/>
      <c r="G247" s="95">
        <f>IF(F247="","",IFERROR(INDEX('Constants &amp; Enums'!$B$5:$B$200,MATCH(F247,'Constants &amp; Enums'!$A$5:$A$200,0)),IFERROR(INDEX('Metrics &amp; Formulas'!$B$5:$B$200,MATCH(F247,'Metrics &amp; Formulas'!$A$5:$A$200,0)),IFERROR(INDEX('Projections &amp; Dashboards'!$B$5:$B$200,MATCH(F247,'Projections &amp; Dashboards'!$A$5:$A$200,0)),IFERROR(INDEX(Funções!$O$5:$O$300,MATCH(F247,Funções!$A$5:$A$300,0)),IFERROR(INDEX(Telas!$C$5:$C$400,MATCH(F247,Telas!$A$5:$A$400,0)),IFERROR(INDEX(Roadmap!$D$6:$D$200,MATCH(F247,Roadmap!$A$6:$A$200,0)),IFERROR(INDEX(Modules!$C$5:$C$100,MATCH(F247,Modules!$A$5:$A$100,0)),"NOT FOUND"))))))))</f>
        <v/>
      </c>
      <c r="H247" s="95">
        <f>IF(F247="","",IF(G247="NOT FOUND","—",IFERROR(INDEX(Listas!$J$5:$J$13,MATCH(LEFT(F247,FIND("-",F247)-1),Listas!$I$5:$I$13,0)),"Module / area")))</f>
        <v/>
      </c>
      <c r="I247" s="95">
        <f>IF(AND(B247="",F247=""),"",IF(OR(C247="NOT FOUND",G247="NOT FOUND"),"✖ ID inexistente",IF(B247=F247,"✖ Autorreferência",IF(E247="","✖ Sem relação","✔ OK"))))</f>
        <v/>
      </c>
      <c r="J247" s="93" t="n"/>
    </row>
    <row r="248" ht="15" customHeight="1" s="50">
      <c r="A248" s="93" t="n"/>
      <c r="B248" s="93" t="n"/>
      <c r="C248" s="95">
        <f>IF(B248="","",IFERROR(INDEX('Constants &amp; Enums'!$B$5:$B$200,MATCH(B248,'Constants &amp; Enums'!$A$5:$A$200,0)),IFERROR(INDEX('Metrics &amp; Formulas'!$B$5:$B$200,MATCH(B248,'Metrics &amp; Formulas'!$A$5:$A$200,0)),IFERROR(INDEX('Projections &amp; Dashboards'!$B$5:$B$200,MATCH(B248,'Projections &amp; Dashboards'!$A$5:$A$200,0)),IFERROR(INDEX(Funções!$O$5:$O$300,MATCH(B248,Funções!$A$5:$A$300,0)),IFERROR(INDEX(Telas!$C$5:$C$400,MATCH(B248,Telas!$A$5:$A$400,0)),IFERROR(INDEX(Roadmap!$D$6:$D$200,MATCH(B248,Roadmap!$A$6:$A$200,0)),IFERROR(INDEX(Modules!$C$5:$C$100,MATCH(B248,Modules!$A$5:$A$100,0)),"NOT FOUND"))))))))</f>
        <v/>
      </c>
      <c r="D248" s="95">
        <f>IF(B248="","",IF(C248="NOT FOUND","—",IFERROR(INDEX(Listas!$J$5:$J$13,MATCH(LEFT(B248,FIND("-",B248)-1),Listas!$I$5:$I$13,0)),"Module / area")))</f>
        <v/>
      </c>
      <c r="E248" s="93" t="n"/>
      <c r="F248" s="93" t="n"/>
      <c r="G248" s="95">
        <f>IF(F248="","",IFERROR(INDEX('Constants &amp; Enums'!$B$5:$B$200,MATCH(F248,'Constants &amp; Enums'!$A$5:$A$200,0)),IFERROR(INDEX('Metrics &amp; Formulas'!$B$5:$B$200,MATCH(F248,'Metrics &amp; Formulas'!$A$5:$A$200,0)),IFERROR(INDEX('Projections &amp; Dashboards'!$B$5:$B$200,MATCH(F248,'Projections &amp; Dashboards'!$A$5:$A$200,0)),IFERROR(INDEX(Funções!$O$5:$O$300,MATCH(F248,Funções!$A$5:$A$300,0)),IFERROR(INDEX(Telas!$C$5:$C$400,MATCH(F248,Telas!$A$5:$A$400,0)),IFERROR(INDEX(Roadmap!$D$6:$D$200,MATCH(F248,Roadmap!$A$6:$A$200,0)),IFERROR(INDEX(Modules!$C$5:$C$100,MATCH(F248,Modules!$A$5:$A$100,0)),"NOT FOUND"))))))))</f>
        <v/>
      </c>
      <c r="H248" s="95">
        <f>IF(F248="","",IF(G248="NOT FOUND","—",IFERROR(INDEX(Listas!$J$5:$J$13,MATCH(LEFT(F248,FIND("-",F248)-1),Listas!$I$5:$I$13,0)),"Module / area")))</f>
        <v/>
      </c>
      <c r="I248" s="95">
        <f>IF(AND(B248="",F248=""),"",IF(OR(C248="NOT FOUND",G248="NOT FOUND"),"✖ ID inexistente",IF(B248=F248,"✖ Autorreferência",IF(E248="","✖ Sem relação","✔ OK"))))</f>
        <v/>
      </c>
      <c r="J248" s="93" t="n"/>
    </row>
    <row r="249" ht="15" customHeight="1" s="50">
      <c r="A249" s="93" t="n"/>
      <c r="B249" s="93" t="n"/>
      <c r="C249" s="95">
        <f>IF(B249="","",IFERROR(INDEX('Constants &amp; Enums'!$B$5:$B$200,MATCH(B249,'Constants &amp; Enums'!$A$5:$A$200,0)),IFERROR(INDEX('Metrics &amp; Formulas'!$B$5:$B$200,MATCH(B249,'Metrics &amp; Formulas'!$A$5:$A$200,0)),IFERROR(INDEX('Projections &amp; Dashboards'!$B$5:$B$200,MATCH(B249,'Projections &amp; Dashboards'!$A$5:$A$200,0)),IFERROR(INDEX(Funções!$O$5:$O$300,MATCH(B249,Funções!$A$5:$A$300,0)),IFERROR(INDEX(Telas!$C$5:$C$400,MATCH(B249,Telas!$A$5:$A$400,0)),IFERROR(INDEX(Roadmap!$D$6:$D$200,MATCH(B249,Roadmap!$A$6:$A$200,0)),IFERROR(INDEX(Modules!$C$5:$C$100,MATCH(B249,Modules!$A$5:$A$100,0)),"NOT FOUND"))))))))</f>
        <v/>
      </c>
      <c r="D249" s="95">
        <f>IF(B249="","",IF(C249="NOT FOUND","—",IFERROR(INDEX(Listas!$J$5:$J$13,MATCH(LEFT(B249,FIND("-",B249)-1),Listas!$I$5:$I$13,0)),"Module / area")))</f>
        <v/>
      </c>
      <c r="E249" s="93" t="n"/>
      <c r="F249" s="93" t="n"/>
      <c r="G249" s="95">
        <f>IF(F249="","",IFERROR(INDEX('Constants &amp; Enums'!$B$5:$B$200,MATCH(F249,'Constants &amp; Enums'!$A$5:$A$200,0)),IFERROR(INDEX('Metrics &amp; Formulas'!$B$5:$B$200,MATCH(F249,'Metrics &amp; Formulas'!$A$5:$A$200,0)),IFERROR(INDEX('Projections &amp; Dashboards'!$B$5:$B$200,MATCH(F249,'Projections &amp; Dashboards'!$A$5:$A$200,0)),IFERROR(INDEX(Funções!$O$5:$O$300,MATCH(F249,Funções!$A$5:$A$300,0)),IFERROR(INDEX(Telas!$C$5:$C$400,MATCH(F249,Telas!$A$5:$A$400,0)),IFERROR(INDEX(Roadmap!$D$6:$D$200,MATCH(F249,Roadmap!$A$6:$A$200,0)),IFERROR(INDEX(Modules!$C$5:$C$100,MATCH(F249,Modules!$A$5:$A$100,0)),"NOT FOUND"))))))))</f>
        <v/>
      </c>
      <c r="H249" s="95">
        <f>IF(F249="","",IF(G249="NOT FOUND","—",IFERROR(INDEX(Listas!$J$5:$J$13,MATCH(LEFT(F249,FIND("-",F249)-1),Listas!$I$5:$I$13,0)),"Module / area")))</f>
        <v/>
      </c>
      <c r="I249" s="95">
        <f>IF(AND(B249="",F249=""),"",IF(OR(C249="NOT FOUND",G249="NOT FOUND"),"✖ ID inexistente",IF(B249=F249,"✖ Autorreferência",IF(E249="","✖ Sem relação","✔ OK"))))</f>
        <v/>
      </c>
      <c r="J249" s="93" t="n"/>
    </row>
    <row r="250" ht="15" customHeight="1" s="50">
      <c r="A250" s="93" t="n"/>
      <c r="B250" s="93" t="n"/>
      <c r="C250" s="95">
        <f>IF(B250="","",IFERROR(INDEX('Constants &amp; Enums'!$B$5:$B$200,MATCH(B250,'Constants &amp; Enums'!$A$5:$A$200,0)),IFERROR(INDEX('Metrics &amp; Formulas'!$B$5:$B$200,MATCH(B250,'Metrics &amp; Formulas'!$A$5:$A$200,0)),IFERROR(INDEX('Projections &amp; Dashboards'!$B$5:$B$200,MATCH(B250,'Projections &amp; Dashboards'!$A$5:$A$200,0)),IFERROR(INDEX(Funções!$O$5:$O$300,MATCH(B250,Funções!$A$5:$A$300,0)),IFERROR(INDEX(Telas!$C$5:$C$400,MATCH(B250,Telas!$A$5:$A$400,0)),IFERROR(INDEX(Roadmap!$D$6:$D$200,MATCH(B250,Roadmap!$A$6:$A$200,0)),IFERROR(INDEX(Modules!$C$5:$C$100,MATCH(B250,Modules!$A$5:$A$100,0)),"NOT FOUND"))))))))</f>
        <v/>
      </c>
      <c r="D250" s="95">
        <f>IF(B250="","",IF(C250="NOT FOUND","—",IFERROR(INDEX(Listas!$J$5:$J$13,MATCH(LEFT(B250,FIND("-",B250)-1),Listas!$I$5:$I$13,0)),"Module / area")))</f>
        <v/>
      </c>
      <c r="E250" s="93" t="n"/>
      <c r="F250" s="93" t="n"/>
      <c r="G250" s="95">
        <f>IF(F250="","",IFERROR(INDEX('Constants &amp; Enums'!$B$5:$B$200,MATCH(F250,'Constants &amp; Enums'!$A$5:$A$200,0)),IFERROR(INDEX('Metrics &amp; Formulas'!$B$5:$B$200,MATCH(F250,'Metrics &amp; Formulas'!$A$5:$A$200,0)),IFERROR(INDEX('Projections &amp; Dashboards'!$B$5:$B$200,MATCH(F250,'Projections &amp; Dashboards'!$A$5:$A$200,0)),IFERROR(INDEX(Funções!$O$5:$O$300,MATCH(F250,Funções!$A$5:$A$300,0)),IFERROR(INDEX(Telas!$C$5:$C$400,MATCH(F250,Telas!$A$5:$A$400,0)),IFERROR(INDEX(Roadmap!$D$6:$D$200,MATCH(F250,Roadmap!$A$6:$A$200,0)),IFERROR(INDEX(Modules!$C$5:$C$100,MATCH(F250,Modules!$A$5:$A$100,0)),"NOT FOUND"))))))))</f>
        <v/>
      </c>
      <c r="H250" s="95">
        <f>IF(F250="","",IF(G250="NOT FOUND","—",IFERROR(INDEX(Listas!$J$5:$J$13,MATCH(LEFT(F250,FIND("-",F250)-1),Listas!$I$5:$I$13,0)),"Module / area")))</f>
        <v/>
      </c>
      <c r="I250" s="95">
        <f>IF(AND(B250="",F250=""),"",IF(OR(C250="NOT FOUND",G250="NOT FOUND"),"✖ ID inexistente",IF(B250=F250,"✖ Autorreferência",IF(E250="","✖ Sem relação","✔ OK"))))</f>
        <v/>
      </c>
      <c r="J250" s="93" t="n"/>
    </row>
    <row r="251" ht="15" customHeight="1" s="50">
      <c r="A251" s="93" t="n"/>
      <c r="B251" s="93" t="n"/>
      <c r="C251" s="95">
        <f>IF(B251="","",IFERROR(INDEX('Constants &amp; Enums'!$B$5:$B$200,MATCH(B251,'Constants &amp; Enums'!$A$5:$A$200,0)),IFERROR(INDEX('Metrics &amp; Formulas'!$B$5:$B$200,MATCH(B251,'Metrics &amp; Formulas'!$A$5:$A$200,0)),IFERROR(INDEX('Projections &amp; Dashboards'!$B$5:$B$200,MATCH(B251,'Projections &amp; Dashboards'!$A$5:$A$200,0)),IFERROR(INDEX(Funções!$O$5:$O$300,MATCH(B251,Funções!$A$5:$A$300,0)),IFERROR(INDEX(Telas!$C$5:$C$400,MATCH(B251,Telas!$A$5:$A$400,0)),IFERROR(INDEX(Roadmap!$D$6:$D$200,MATCH(B251,Roadmap!$A$6:$A$200,0)),IFERROR(INDEX(Modules!$C$5:$C$100,MATCH(B251,Modules!$A$5:$A$100,0)),"NOT FOUND"))))))))</f>
        <v/>
      </c>
      <c r="D251" s="95">
        <f>IF(B251="","",IF(C251="NOT FOUND","—",IFERROR(INDEX(Listas!$J$5:$J$13,MATCH(LEFT(B251,FIND("-",B251)-1),Listas!$I$5:$I$13,0)),"Module / area")))</f>
        <v/>
      </c>
      <c r="E251" s="93" t="n"/>
      <c r="F251" s="93" t="n"/>
      <c r="G251" s="95">
        <f>IF(F251="","",IFERROR(INDEX('Constants &amp; Enums'!$B$5:$B$200,MATCH(F251,'Constants &amp; Enums'!$A$5:$A$200,0)),IFERROR(INDEX('Metrics &amp; Formulas'!$B$5:$B$200,MATCH(F251,'Metrics &amp; Formulas'!$A$5:$A$200,0)),IFERROR(INDEX('Projections &amp; Dashboards'!$B$5:$B$200,MATCH(F251,'Projections &amp; Dashboards'!$A$5:$A$200,0)),IFERROR(INDEX(Funções!$O$5:$O$300,MATCH(F251,Funções!$A$5:$A$300,0)),IFERROR(INDEX(Telas!$C$5:$C$400,MATCH(F251,Telas!$A$5:$A$400,0)),IFERROR(INDEX(Roadmap!$D$6:$D$200,MATCH(F251,Roadmap!$A$6:$A$200,0)),IFERROR(INDEX(Modules!$C$5:$C$100,MATCH(F251,Modules!$A$5:$A$100,0)),"NOT FOUND"))))))))</f>
        <v/>
      </c>
      <c r="H251" s="95">
        <f>IF(F251="","",IF(G251="NOT FOUND","—",IFERROR(INDEX(Listas!$J$5:$J$13,MATCH(LEFT(F251,FIND("-",F251)-1),Listas!$I$5:$I$13,0)),"Module / area")))</f>
        <v/>
      </c>
      <c r="I251" s="95">
        <f>IF(AND(B251="",F251=""),"",IF(OR(C251="NOT FOUND",G251="NOT FOUND"),"✖ ID inexistente",IF(B251=F251,"✖ Autorreferência",IF(E251="","✖ Sem relação","✔ OK"))))</f>
        <v/>
      </c>
      <c r="J251" s="93" t="n"/>
    </row>
    <row r="252" ht="15" customHeight="1" s="50">
      <c r="A252" s="93" t="n"/>
      <c r="B252" s="93" t="n"/>
      <c r="C252" s="95">
        <f>IF(B252="","",IFERROR(INDEX('Constants &amp; Enums'!$B$5:$B$200,MATCH(B252,'Constants &amp; Enums'!$A$5:$A$200,0)),IFERROR(INDEX('Metrics &amp; Formulas'!$B$5:$B$200,MATCH(B252,'Metrics &amp; Formulas'!$A$5:$A$200,0)),IFERROR(INDEX('Projections &amp; Dashboards'!$B$5:$B$200,MATCH(B252,'Projections &amp; Dashboards'!$A$5:$A$200,0)),IFERROR(INDEX(Funções!$O$5:$O$300,MATCH(B252,Funções!$A$5:$A$300,0)),IFERROR(INDEX(Telas!$C$5:$C$400,MATCH(B252,Telas!$A$5:$A$400,0)),IFERROR(INDEX(Roadmap!$D$6:$D$200,MATCH(B252,Roadmap!$A$6:$A$200,0)),IFERROR(INDEX(Modules!$C$5:$C$100,MATCH(B252,Modules!$A$5:$A$100,0)),"NOT FOUND"))))))))</f>
        <v/>
      </c>
      <c r="D252" s="95">
        <f>IF(B252="","",IF(C252="NOT FOUND","—",IFERROR(INDEX(Listas!$J$5:$J$13,MATCH(LEFT(B252,FIND("-",B252)-1),Listas!$I$5:$I$13,0)),"Module / area")))</f>
        <v/>
      </c>
      <c r="E252" s="93" t="n"/>
      <c r="F252" s="93" t="n"/>
      <c r="G252" s="95">
        <f>IF(F252="","",IFERROR(INDEX('Constants &amp; Enums'!$B$5:$B$200,MATCH(F252,'Constants &amp; Enums'!$A$5:$A$200,0)),IFERROR(INDEX('Metrics &amp; Formulas'!$B$5:$B$200,MATCH(F252,'Metrics &amp; Formulas'!$A$5:$A$200,0)),IFERROR(INDEX('Projections &amp; Dashboards'!$B$5:$B$200,MATCH(F252,'Projections &amp; Dashboards'!$A$5:$A$200,0)),IFERROR(INDEX(Funções!$O$5:$O$300,MATCH(F252,Funções!$A$5:$A$300,0)),IFERROR(INDEX(Telas!$C$5:$C$400,MATCH(F252,Telas!$A$5:$A$400,0)),IFERROR(INDEX(Roadmap!$D$6:$D$200,MATCH(F252,Roadmap!$A$6:$A$200,0)),IFERROR(INDEX(Modules!$C$5:$C$100,MATCH(F252,Modules!$A$5:$A$100,0)),"NOT FOUND"))))))))</f>
        <v/>
      </c>
      <c r="H252" s="95">
        <f>IF(F252="","",IF(G252="NOT FOUND","—",IFERROR(INDEX(Listas!$J$5:$J$13,MATCH(LEFT(F252,FIND("-",F252)-1),Listas!$I$5:$I$13,0)),"Module / area")))</f>
        <v/>
      </c>
      <c r="I252" s="95">
        <f>IF(AND(B252="",F252=""),"",IF(OR(C252="NOT FOUND",G252="NOT FOUND"),"✖ ID inexistente",IF(B252=F252,"✖ Autorreferência",IF(E252="","✖ Sem relação","✔ OK"))))</f>
        <v/>
      </c>
      <c r="J252" s="93" t="n"/>
    </row>
    <row r="253" ht="15" customHeight="1" s="50">
      <c r="A253" s="93" t="n"/>
      <c r="B253" s="93" t="n"/>
      <c r="C253" s="95">
        <f>IF(B253="","",IFERROR(INDEX('Constants &amp; Enums'!$B$5:$B$200,MATCH(B253,'Constants &amp; Enums'!$A$5:$A$200,0)),IFERROR(INDEX('Metrics &amp; Formulas'!$B$5:$B$200,MATCH(B253,'Metrics &amp; Formulas'!$A$5:$A$200,0)),IFERROR(INDEX('Projections &amp; Dashboards'!$B$5:$B$200,MATCH(B253,'Projections &amp; Dashboards'!$A$5:$A$200,0)),IFERROR(INDEX(Funções!$O$5:$O$300,MATCH(B253,Funções!$A$5:$A$300,0)),IFERROR(INDEX(Telas!$C$5:$C$400,MATCH(B253,Telas!$A$5:$A$400,0)),IFERROR(INDEX(Roadmap!$D$6:$D$200,MATCH(B253,Roadmap!$A$6:$A$200,0)),IFERROR(INDEX(Modules!$C$5:$C$100,MATCH(B253,Modules!$A$5:$A$100,0)),"NOT FOUND"))))))))</f>
        <v/>
      </c>
      <c r="D253" s="95">
        <f>IF(B253="","",IF(C253="NOT FOUND","—",IFERROR(INDEX(Listas!$J$5:$J$13,MATCH(LEFT(B253,FIND("-",B253)-1),Listas!$I$5:$I$13,0)),"Module / area")))</f>
        <v/>
      </c>
      <c r="E253" s="93" t="n"/>
      <c r="F253" s="93" t="n"/>
      <c r="G253" s="95">
        <f>IF(F253="","",IFERROR(INDEX('Constants &amp; Enums'!$B$5:$B$200,MATCH(F253,'Constants &amp; Enums'!$A$5:$A$200,0)),IFERROR(INDEX('Metrics &amp; Formulas'!$B$5:$B$200,MATCH(F253,'Metrics &amp; Formulas'!$A$5:$A$200,0)),IFERROR(INDEX('Projections &amp; Dashboards'!$B$5:$B$200,MATCH(F253,'Projections &amp; Dashboards'!$A$5:$A$200,0)),IFERROR(INDEX(Funções!$O$5:$O$300,MATCH(F253,Funções!$A$5:$A$300,0)),IFERROR(INDEX(Telas!$C$5:$C$400,MATCH(F253,Telas!$A$5:$A$400,0)),IFERROR(INDEX(Roadmap!$D$6:$D$200,MATCH(F253,Roadmap!$A$6:$A$200,0)),IFERROR(INDEX(Modules!$C$5:$C$100,MATCH(F253,Modules!$A$5:$A$100,0)),"NOT FOUND"))))))))</f>
        <v/>
      </c>
      <c r="H253" s="95">
        <f>IF(F253="","",IF(G253="NOT FOUND","—",IFERROR(INDEX(Listas!$J$5:$J$13,MATCH(LEFT(F253,FIND("-",F253)-1),Listas!$I$5:$I$13,0)),"Module / area")))</f>
        <v/>
      </c>
      <c r="I253" s="95">
        <f>IF(AND(B253="",F253=""),"",IF(OR(C253="NOT FOUND",G253="NOT FOUND"),"✖ ID inexistente",IF(B253=F253,"✖ Autorreferência",IF(E253="","✖ Sem relação","✔ OK"))))</f>
        <v/>
      </c>
      <c r="J253" s="93" t="n"/>
    </row>
    <row r="254" ht="15" customHeight="1" s="50">
      <c r="A254" s="93" t="n"/>
      <c r="B254" s="93" t="n"/>
      <c r="C254" s="95">
        <f>IF(B254="","",IFERROR(INDEX('Constants &amp; Enums'!$B$5:$B$200,MATCH(B254,'Constants &amp; Enums'!$A$5:$A$200,0)),IFERROR(INDEX('Metrics &amp; Formulas'!$B$5:$B$200,MATCH(B254,'Metrics &amp; Formulas'!$A$5:$A$200,0)),IFERROR(INDEX('Projections &amp; Dashboards'!$B$5:$B$200,MATCH(B254,'Projections &amp; Dashboards'!$A$5:$A$200,0)),IFERROR(INDEX(Funções!$O$5:$O$300,MATCH(B254,Funções!$A$5:$A$300,0)),IFERROR(INDEX(Telas!$C$5:$C$400,MATCH(B254,Telas!$A$5:$A$400,0)),IFERROR(INDEX(Roadmap!$D$6:$D$200,MATCH(B254,Roadmap!$A$6:$A$200,0)),IFERROR(INDEX(Modules!$C$5:$C$100,MATCH(B254,Modules!$A$5:$A$100,0)),"NOT FOUND"))))))))</f>
        <v/>
      </c>
      <c r="D254" s="95">
        <f>IF(B254="","",IF(C254="NOT FOUND","—",IFERROR(INDEX(Listas!$J$5:$J$13,MATCH(LEFT(B254,FIND("-",B254)-1),Listas!$I$5:$I$13,0)),"Module / area")))</f>
        <v/>
      </c>
      <c r="E254" s="93" t="n"/>
      <c r="F254" s="93" t="n"/>
      <c r="G254" s="95">
        <f>IF(F254="","",IFERROR(INDEX('Constants &amp; Enums'!$B$5:$B$200,MATCH(F254,'Constants &amp; Enums'!$A$5:$A$200,0)),IFERROR(INDEX('Metrics &amp; Formulas'!$B$5:$B$200,MATCH(F254,'Metrics &amp; Formulas'!$A$5:$A$200,0)),IFERROR(INDEX('Projections &amp; Dashboards'!$B$5:$B$200,MATCH(F254,'Projections &amp; Dashboards'!$A$5:$A$200,0)),IFERROR(INDEX(Funções!$O$5:$O$300,MATCH(F254,Funções!$A$5:$A$300,0)),IFERROR(INDEX(Telas!$C$5:$C$400,MATCH(F254,Telas!$A$5:$A$400,0)),IFERROR(INDEX(Roadmap!$D$6:$D$200,MATCH(F254,Roadmap!$A$6:$A$200,0)),IFERROR(INDEX(Modules!$C$5:$C$100,MATCH(F254,Modules!$A$5:$A$100,0)),"NOT FOUND"))))))))</f>
        <v/>
      </c>
      <c r="H254" s="95">
        <f>IF(F254="","",IF(G254="NOT FOUND","—",IFERROR(INDEX(Listas!$J$5:$J$13,MATCH(LEFT(F254,FIND("-",F254)-1),Listas!$I$5:$I$13,0)),"Module / area")))</f>
        <v/>
      </c>
      <c r="I254" s="95">
        <f>IF(AND(B254="",F254=""),"",IF(OR(C254="NOT FOUND",G254="NOT FOUND"),"✖ ID inexistente",IF(B254=F254,"✖ Autorreferência",IF(E254="","✖ Sem relação","✔ OK"))))</f>
        <v/>
      </c>
      <c r="J254" s="93" t="n"/>
    </row>
    <row r="255" ht="15" customHeight="1" s="50">
      <c r="A255" s="93" t="n"/>
      <c r="B255" s="93" t="n"/>
      <c r="C255" s="95">
        <f>IF(B255="","",IFERROR(INDEX('Constants &amp; Enums'!$B$5:$B$200,MATCH(B255,'Constants &amp; Enums'!$A$5:$A$200,0)),IFERROR(INDEX('Metrics &amp; Formulas'!$B$5:$B$200,MATCH(B255,'Metrics &amp; Formulas'!$A$5:$A$200,0)),IFERROR(INDEX('Projections &amp; Dashboards'!$B$5:$B$200,MATCH(B255,'Projections &amp; Dashboards'!$A$5:$A$200,0)),IFERROR(INDEX(Funções!$O$5:$O$300,MATCH(B255,Funções!$A$5:$A$300,0)),IFERROR(INDEX(Telas!$C$5:$C$400,MATCH(B255,Telas!$A$5:$A$400,0)),IFERROR(INDEX(Roadmap!$D$6:$D$200,MATCH(B255,Roadmap!$A$6:$A$200,0)),IFERROR(INDEX(Modules!$C$5:$C$100,MATCH(B255,Modules!$A$5:$A$100,0)),"NOT FOUND"))))))))</f>
        <v/>
      </c>
      <c r="D255" s="95">
        <f>IF(B255="","",IF(C255="NOT FOUND","—",IFERROR(INDEX(Listas!$J$5:$J$13,MATCH(LEFT(B255,FIND("-",B255)-1),Listas!$I$5:$I$13,0)),"Module / area")))</f>
        <v/>
      </c>
      <c r="E255" s="93" t="n"/>
      <c r="F255" s="93" t="n"/>
      <c r="G255" s="95">
        <f>IF(F255="","",IFERROR(INDEX('Constants &amp; Enums'!$B$5:$B$200,MATCH(F255,'Constants &amp; Enums'!$A$5:$A$200,0)),IFERROR(INDEX('Metrics &amp; Formulas'!$B$5:$B$200,MATCH(F255,'Metrics &amp; Formulas'!$A$5:$A$200,0)),IFERROR(INDEX('Projections &amp; Dashboards'!$B$5:$B$200,MATCH(F255,'Projections &amp; Dashboards'!$A$5:$A$200,0)),IFERROR(INDEX(Funções!$O$5:$O$300,MATCH(F255,Funções!$A$5:$A$300,0)),IFERROR(INDEX(Telas!$C$5:$C$400,MATCH(F255,Telas!$A$5:$A$400,0)),IFERROR(INDEX(Roadmap!$D$6:$D$200,MATCH(F255,Roadmap!$A$6:$A$200,0)),IFERROR(INDEX(Modules!$C$5:$C$100,MATCH(F255,Modules!$A$5:$A$100,0)),"NOT FOUND"))))))))</f>
        <v/>
      </c>
      <c r="H255" s="95">
        <f>IF(F255="","",IF(G255="NOT FOUND","—",IFERROR(INDEX(Listas!$J$5:$J$13,MATCH(LEFT(F255,FIND("-",F255)-1),Listas!$I$5:$I$13,0)),"Module / area")))</f>
        <v/>
      </c>
      <c r="I255" s="95">
        <f>IF(AND(B255="",F255=""),"",IF(OR(C255="NOT FOUND",G255="NOT FOUND"),"✖ ID inexistente",IF(B255=F255,"✖ Autorreferência",IF(E255="","✖ Sem relação","✔ OK"))))</f>
        <v/>
      </c>
      <c r="J255" s="93" t="n"/>
    </row>
    <row r="256" ht="15" customHeight="1" s="50">
      <c r="A256" s="93" t="n"/>
      <c r="B256" s="93" t="n"/>
      <c r="C256" s="95">
        <f>IF(B256="","",IFERROR(INDEX('Constants &amp; Enums'!$B$5:$B$200,MATCH(B256,'Constants &amp; Enums'!$A$5:$A$200,0)),IFERROR(INDEX('Metrics &amp; Formulas'!$B$5:$B$200,MATCH(B256,'Metrics &amp; Formulas'!$A$5:$A$200,0)),IFERROR(INDEX('Projections &amp; Dashboards'!$B$5:$B$200,MATCH(B256,'Projections &amp; Dashboards'!$A$5:$A$200,0)),IFERROR(INDEX(Funções!$O$5:$O$300,MATCH(B256,Funções!$A$5:$A$300,0)),IFERROR(INDEX(Telas!$C$5:$C$400,MATCH(B256,Telas!$A$5:$A$400,0)),IFERROR(INDEX(Roadmap!$D$6:$D$200,MATCH(B256,Roadmap!$A$6:$A$200,0)),IFERROR(INDEX(Modules!$C$5:$C$100,MATCH(B256,Modules!$A$5:$A$100,0)),"NOT FOUND"))))))))</f>
        <v/>
      </c>
      <c r="D256" s="95">
        <f>IF(B256="","",IF(C256="NOT FOUND","—",IFERROR(INDEX(Listas!$J$5:$J$13,MATCH(LEFT(B256,FIND("-",B256)-1),Listas!$I$5:$I$13,0)),"Module / area")))</f>
        <v/>
      </c>
      <c r="E256" s="93" t="n"/>
      <c r="F256" s="93" t="n"/>
      <c r="G256" s="95">
        <f>IF(F256="","",IFERROR(INDEX('Constants &amp; Enums'!$B$5:$B$200,MATCH(F256,'Constants &amp; Enums'!$A$5:$A$200,0)),IFERROR(INDEX('Metrics &amp; Formulas'!$B$5:$B$200,MATCH(F256,'Metrics &amp; Formulas'!$A$5:$A$200,0)),IFERROR(INDEX('Projections &amp; Dashboards'!$B$5:$B$200,MATCH(F256,'Projections &amp; Dashboards'!$A$5:$A$200,0)),IFERROR(INDEX(Funções!$O$5:$O$300,MATCH(F256,Funções!$A$5:$A$300,0)),IFERROR(INDEX(Telas!$C$5:$C$400,MATCH(F256,Telas!$A$5:$A$400,0)),IFERROR(INDEX(Roadmap!$D$6:$D$200,MATCH(F256,Roadmap!$A$6:$A$200,0)),IFERROR(INDEX(Modules!$C$5:$C$100,MATCH(F256,Modules!$A$5:$A$100,0)),"NOT FOUND"))))))))</f>
        <v/>
      </c>
      <c r="H256" s="95">
        <f>IF(F256="","",IF(G256="NOT FOUND","—",IFERROR(INDEX(Listas!$J$5:$J$13,MATCH(LEFT(F256,FIND("-",F256)-1),Listas!$I$5:$I$13,0)),"Module / area")))</f>
        <v/>
      </c>
      <c r="I256" s="95">
        <f>IF(AND(B256="",F256=""),"",IF(OR(C256="NOT FOUND",G256="NOT FOUND"),"✖ ID inexistente",IF(B256=F256,"✖ Autorreferência",IF(E256="","✖ Sem relação","✔ OK"))))</f>
        <v/>
      </c>
      <c r="J256" s="93" t="n"/>
    </row>
    <row r="257" ht="15" customHeight="1" s="50">
      <c r="A257" s="93" t="n"/>
      <c r="B257" s="93" t="n"/>
      <c r="C257" s="95">
        <f>IF(B257="","",IFERROR(INDEX('Constants &amp; Enums'!$B$5:$B$200,MATCH(B257,'Constants &amp; Enums'!$A$5:$A$200,0)),IFERROR(INDEX('Metrics &amp; Formulas'!$B$5:$B$200,MATCH(B257,'Metrics &amp; Formulas'!$A$5:$A$200,0)),IFERROR(INDEX('Projections &amp; Dashboards'!$B$5:$B$200,MATCH(B257,'Projections &amp; Dashboards'!$A$5:$A$200,0)),IFERROR(INDEX(Funções!$O$5:$O$300,MATCH(B257,Funções!$A$5:$A$300,0)),IFERROR(INDEX(Telas!$C$5:$C$400,MATCH(B257,Telas!$A$5:$A$400,0)),IFERROR(INDEX(Roadmap!$D$6:$D$200,MATCH(B257,Roadmap!$A$6:$A$200,0)),IFERROR(INDEX(Modules!$C$5:$C$100,MATCH(B257,Modules!$A$5:$A$100,0)),"NOT FOUND"))))))))</f>
        <v/>
      </c>
      <c r="D257" s="95">
        <f>IF(B257="","",IF(C257="NOT FOUND","—",IFERROR(INDEX(Listas!$J$5:$J$13,MATCH(LEFT(B257,FIND("-",B257)-1),Listas!$I$5:$I$13,0)),"Module / area")))</f>
        <v/>
      </c>
      <c r="E257" s="93" t="n"/>
      <c r="F257" s="93" t="n"/>
      <c r="G257" s="95">
        <f>IF(F257="","",IFERROR(INDEX('Constants &amp; Enums'!$B$5:$B$200,MATCH(F257,'Constants &amp; Enums'!$A$5:$A$200,0)),IFERROR(INDEX('Metrics &amp; Formulas'!$B$5:$B$200,MATCH(F257,'Metrics &amp; Formulas'!$A$5:$A$200,0)),IFERROR(INDEX('Projections &amp; Dashboards'!$B$5:$B$200,MATCH(F257,'Projections &amp; Dashboards'!$A$5:$A$200,0)),IFERROR(INDEX(Funções!$O$5:$O$300,MATCH(F257,Funções!$A$5:$A$300,0)),IFERROR(INDEX(Telas!$C$5:$C$400,MATCH(F257,Telas!$A$5:$A$400,0)),IFERROR(INDEX(Roadmap!$D$6:$D$200,MATCH(F257,Roadmap!$A$6:$A$200,0)),IFERROR(INDEX(Modules!$C$5:$C$100,MATCH(F257,Modules!$A$5:$A$100,0)),"NOT FOUND"))))))))</f>
        <v/>
      </c>
      <c r="H257" s="95">
        <f>IF(F257="","",IF(G257="NOT FOUND","—",IFERROR(INDEX(Listas!$J$5:$J$13,MATCH(LEFT(F257,FIND("-",F257)-1),Listas!$I$5:$I$13,0)),"Module / area")))</f>
        <v/>
      </c>
      <c r="I257" s="95">
        <f>IF(AND(B257="",F257=""),"",IF(OR(C257="NOT FOUND",G257="NOT FOUND"),"✖ ID inexistente",IF(B257=F257,"✖ Autorreferência",IF(E257="","✖ Sem relação","✔ OK"))))</f>
        <v/>
      </c>
      <c r="J257" s="93" t="n"/>
    </row>
    <row r="258" ht="15" customHeight="1" s="50">
      <c r="A258" s="93" t="n"/>
      <c r="B258" s="93" t="n"/>
      <c r="C258" s="95">
        <f>IF(B258="","",IFERROR(INDEX('Constants &amp; Enums'!$B$5:$B$200,MATCH(B258,'Constants &amp; Enums'!$A$5:$A$200,0)),IFERROR(INDEX('Metrics &amp; Formulas'!$B$5:$B$200,MATCH(B258,'Metrics &amp; Formulas'!$A$5:$A$200,0)),IFERROR(INDEX('Projections &amp; Dashboards'!$B$5:$B$200,MATCH(B258,'Projections &amp; Dashboards'!$A$5:$A$200,0)),IFERROR(INDEX(Funções!$O$5:$O$300,MATCH(B258,Funções!$A$5:$A$300,0)),IFERROR(INDEX(Telas!$C$5:$C$400,MATCH(B258,Telas!$A$5:$A$400,0)),IFERROR(INDEX(Roadmap!$D$6:$D$200,MATCH(B258,Roadmap!$A$6:$A$200,0)),IFERROR(INDEX(Modules!$C$5:$C$100,MATCH(B258,Modules!$A$5:$A$100,0)),"NOT FOUND"))))))))</f>
        <v/>
      </c>
      <c r="D258" s="95">
        <f>IF(B258="","",IF(C258="NOT FOUND","—",IFERROR(INDEX(Listas!$J$5:$J$13,MATCH(LEFT(B258,FIND("-",B258)-1),Listas!$I$5:$I$13,0)),"Module / area")))</f>
        <v/>
      </c>
      <c r="E258" s="93" t="n"/>
      <c r="F258" s="93" t="n"/>
      <c r="G258" s="95">
        <f>IF(F258="","",IFERROR(INDEX('Constants &amp; Enums'!$B$5:$B$200,MATCH(F258,'Constants &amp; Enums'!$A$5:$A$200,0)),IFERROR(INDEX('Metrics &amp; Formulas'!$B$5:$B$200,MATCH(F258,'Metrics &amp; Formulas'!$A$5:$A$200,0)),IFERROR(INDEX('Projections &amp; Dashboards'!$B$5:$B$200,MATCH(F258,'Projections &amp; Dashboards'!$A$5:$A$200,0)),IFERROR(INDEX(Funções!$O$5:$O$300,MATCH(F258,Funções!$A$5:$A$300,0)),IFERROR(INDEX(Telas!$C$5:$C$400,MATCH(F258,Telas!$A$5:$A$400,0)),IFERROR(INDEX(Roadmap!$D$6:$D$200,MATCH(F258,Roadmap!$A$6:$A$200,0)),IFERROR(INDEX(Modules!$C$5:$C$100,MATCH(F258,Modules!$A$5:$A$100,0)),"NOT FOUND"))))))))</f>
        <v/>
      </c>
      <c r="H258" s="95">
        <f>IF(F258="","",IF(G258="NOT FOUND","—",IFERROR(INDEX(Listas!$J$5:$J$13,MATCH(LEFT(F258,FIND("-",F258)-1),Listas!$I$5:$I$13,0)),"Module / area")))</f>
        <v/>
      </c>
      <c r="I258" s="95">
        <f>IF(AND(B258="",F258=""),"",IF(OR(C258="NOT FOUND",G258="NOT FOUND"),"✖ ID inexistente",IF(B258=F258,"✖ Autorreferência",IF(E258="","✖ Sem relação","✔ OK"))))</f>
        <v/>
      </c>
      <c r="J258" s="93" t="n"/>
    </row>
    <row r="259" ht="15" customHeight="1" s="50">
      <c r="A259" s="93" t="n"/>
      <c r="B259" s="93" t="n"/>
      <c r="C259" s="95">
        <f>IF(B259="","",IFERROR(INDEX('Constants &amp; Enums'!$B$5:$B$200,MATCH(B259,'Constants &amp; Enums'!$A$5:$A$200,0)),IFERROR(INDEX('Metrics &amp; Formulas'!$B$5:$B$200,MATCH(B259,'Metrics &amp; Formulas'!$A$5:$A$200,0)),IFERROR(INDEX('Projections &amp; Dashboards'!$B$5:$B$200,MATCH(B259,'Projections &amp; Dashboards'!$A$5:$A$200,0)),IFERROR(INDEX(Funções!$O$5:$O$300,MATCH(B259,Funções!$A$5:$A$300,0)),IFERROR(INDEX(Telas!$C$5:$C$400,MATCH(B259,Telas!$A$5:$A$400,0)),IFERROR(INDEX(Roadmap!$D$6:$D$200,MATCH(B259,Roadmap!$A$6:$A$200,0)),IFERROR(INDEX(Modules!$C$5:$C$100,MATCH(B259,Modules!$A$5:$A$100,0)),"NOT FOUND"))))))))</f>
        <v/>
      </c>
      <c r="D259" s="95">
        <f>IF(B259="","",IF(C259="NOT FOUND","—",IFERROR(INDEX(Listas!$J$5:$J$13,MATCH(LEFT(B259,FIND("-",B259)-1),Listas!$I$5:$I$13,0)),"Module / area")))</f>
        <v/>
      </c>
      <c r="E259" s="93" t="n"/>
      <c r="F259" s="93" t="n"/>
      <c r="G259" s="95">
        <f>IF(F259="","",IFERROR(INDEX('Constants &amp; Enums'!$B$5:$B$200,MATCH(F259,'Constants &amp; Enums'!$A$5:$A$200,0)),IFERROR(INDEX('Metrics &amp; Formulas'!$B$5:$B$200,MATCH(F259,'Metrics &amp; Formulas'!$A$5:$A$200,0)),IFERROR(INDEX('Projections &amp; Dashboards'!$B$5:$B$200,MATCH(F259,'Projections &amp; Dashboards'!$A$5:$A$200,0)),IFERROR(INDEX(Funções!$O$5:$O$300,MATCH(F259,Funções!$A$5:$A$300,0)),IFERROR(INDEX(Telas!$C$5:$C$400,MATCH(F259,Telas!$A$5:$A$400,0)),IFERROR(INDEX(Roadmap!$D$6:$D$200,MATCH(F259,Roadmap!$A$6:$A$200,0)),IFERROR(INDEX(Modules!$C$5:$C$100,MATCH(F259,Modules!$A$5:$A$100,0)),"NOT FOUND"))))))))</f>
        <v/>
      </c>
      <c r="H259" s="95">
        <f>IF(F259="","",IF(G259="NOT FOUND","—",IFERROR(INDEX(Listas!$J$5:$J$13,MATCH(LEFT(F259,FIND("-",F259)-1),Listas!$I$5:$I$13,0)),"Module / area")))</f>
        <v/>
      </c>
      <c r="I259" s="95">
        <f>IF(AND(B259="",F259=""),"",IF(OR(C259="NOT FOUND",G259="NOT FOUND"),"✖ ID inexistente",IF(B259=F259,"✖ Autorreferência",IF(E259="","✖ Sem relação","✔ OK"))))</f>
        <v/>
      </c>
      <c r="J259" s="93" t="n"/>
    </row>
    <row r="260" ht="15" customHeight="1" s="50">
      <c r="A260" s="93" t="n"/>
      <c r="B260" s="93" t="n"/>
      <c r="C260" s="95">
        <f>IF(B260="","",IFERROR(INDEX('Constants &amp; Enums'!$B$5:$B$200,MATCH(B260,'Constants &amp; Enums'!$A$5:$A$200,0)),IFERROR(INDEX('Metrics &amp; Formulas'!$B$5:$B$200,MATCH(B260,'Metrics &amp; Formulas'!$A$5:$A$200,0)),IFERROR(INDEX('Projections &amp; Dashboards'!$B$5:$B$200,MATCH(B260,'Projections &amp; Dashboards'!$A$5:$A$200,0)),IFERROR(INDEX(Funções!$O$5:$O$300,MATCH(B260,Funções!$A$5:$A$300,0)),IFERROR(INDEX(Telas!$C$5:$C$400,MATCH(B260,Telas!$A$5:$A$400,0)),IFERROR(INDEX(Roadmap!$D$6:$D$200,MATCH(B260,Roadmap!$A$6:$A$200,0)),IFERROR(INDEX(Modules!$C$5:$C$100,MATCH(B260,Modules!$A$5:$A$100,0)),"NOT FOUND"))))))))</f>
        <v/>
      </c>
      <c r="D260" s="95">
        <f>IF(B260="","",IF(C260="NOT FOUND","—",IFERROR(INDEX(Listas!$J$5:$J$13,MATCH(LEFT(B260,FIND("-",B260)-1),Listas!$I$5:$I$13,0)),"Module / area")))</f>
        <v/>
      </c>
      <c r="E260" s="93" t="n"/>
      <c r="F260" s="93" t="n"/>
      <c r="G260" s="95">
        <f>IF(F260="","",IFERROR(INDEX('Constants &amp; Enums'!$B$5:$B$200,MATCH(F260,'Constants &amp; Enums'!$A$5:$A$200,0)),IFERROR(INDEX('Metrics &amp; Formulas'!$B$5:$B$200,MATCH(F260,'Metrics &amp; Formulas'!$A$5:$A$200,0)),IFERROR(INDEX('Projections &amp; Dashboards'!$B$5:$B$200,MATCH(F260,'Projections &amp; Dashboards'!$A$5:$A$200,0)),IFERROR(INDEX(Funções!$O$5:$O$300,MATCH(F260,Funções!$A$5:$A$300,0)),IFERROR(INDEX(Telas!$C$5:$C$400,MATCH(F260,Telas!$A$5:$A$400,0)),IFERROR(INDEX(Roadmap!$D$6:$D$200,MATCH(F260,Roadmap!$A$6:$A$200,0)),IFERROR(INDEX(Modules!$C$5:$C$100,MATCH(F260,Modules!$A$5:$A$100,0)),"NOT FOUND"))))))))</f>
        <v/>
      </c>
      <c r="H260" s="95">
        <f>IF(F260="","",IF(G260="NOT FOUND","—",IFERROR(INDEX(Listas!$J$5:$J$13,MATCH(LEFT(F260,FIND("-",F260)-1),Listas!$I$5:$I$13,0)),"Module / area")))</f>
        <v/>
      </c>
      <c r="I260" s="95">
        <f>IF(AND(B260="",F260=""),"",IF(OR(C260="NOT FOUND",G260="NOT FOUND"),"✖ ID inexistente",IF(B260=F260,"✖ Autorreferência",IF(E260="","✖ Sem relação","✔ OK"))))</f>
        <v/>
      </c>
      <c r="J260" s="93" t="n"/>
    </row>
    <row r="261" ht="15" customHeight="1" s="50">
      <c r="A261" s="93" t="n"/>
      <c r="B261" s="93" t="n"/>
      <c r="C261" s="95">
        <f>IF(B261="","",IFERROR(INDEX('Constants &amp; Enums'!$B$5:$B$200,MATCH(B261,'Constants &amp; Enums'!$A$5:$A$200,0)),IFERROR(INDEX('Metrics &amp; Formulas'!$B$5:$B$200,MATCH(B261,'Metrics &amp; Formulas'!$A$5:$A$200,0)),IFERROR(INDEX('Projections &amp; Dashboards'!$B$5:$B$200,MATCH(B261,'Projections &amp; Dashboards'!$A$5:$A$200,0)),IFERROR(INDEX(Funções!$O$5:$O$300,MATCH(B261,Funções!$A$5:$A$300,0)),IFERROR(INDEX(Telas!$C$5:$C$400,MATCH(B261,Telas!$A$5:$A$400,0)),IFERROR(INDEX(Roadmap!$D$6:$D$200,MATCH(B261,Roadmap!$A$6:$A$200,0)),IFERROR(INDEX(Modules!$C$5:$C$100,MATCH(B261,Modules!$A$5:$A$100,0)),"NOT FOUND"))))))))</f>
        <v/>
      </c>
      <c r="D261" s="95">
        <f>IF(B261="","",IF(C261="NOT FOUND","—",IFERROR(INDEX(Listas!$J$5:$J$13,MATCH(LEFT(B261,FIND("-",B261)-1),Listas!$I$5:$I$13,0)),"Module / area")))</f>
        <v/>
      </c>
      <c r="E261" s="93" t="n"/>
      <c r="F261" s="93" t="n"/>
      <c r="G261" s="95">
        <f>IF(F261="","",IFERROR(INDEX('Constants &amp; Enums'!$B$5:$B$200,MATCH(F261,'Constants &amp; Enums'!$A$5:$A$200,0)),IFERROR(INDEX('Metrics &amp; Formulas'!$B$5:$B$200,MATCH(F261,'Metrics &amp; Formulas'!$A$5:$A$200,0)),IFERROR(INDEX('Projections &amp; Dashboards'!$B$5:$B$200,MATCH(F261,'Projections &amp; Dashboards'!$A$5:$A$200,0)),IFERROR(INDEX(Funções!$O$5:$O$300,MATCH(F261,Funções!$A$5:$A$300,0)),IFERROR(INDEX(Telas!$C$5:$C$400,MATCH(F261,Telas!$A$5:$A$400,0)),IFERROR(INDEX(Roadmap!$D$6:$D$200,MATCH(F261,Roadmap!$A$6:$A$200,0)),IFERROR(INDEX(Modules!$C$5:$C$100,MATCH(F261,Modules!$A$5:$A$100,0)),"NOT FOUND"))))))))</f>
        <v/>
      </c>
      <c r="H261" s="95">
        <f>IF(F261="","",IF(G261="NOT FOUND","—",IFERROR(INDEX(Listas!$J$5:$J$13,MATCH(LEFT(F261,FIND("-",F261)-1),Listas!$I$5:$I$13,0)),"Module / area")))</f>
        <v/>
      </c>
      <c r="I261" s="95">
        <f>IF(AND(B261="",F261=""),"",IF(OR(C261="NOT FOUND",G261="NOT FOUND"),"✖ ID inexistente",IF(B261=F261,"✖ Autorreferência",IF(E261="","✖ Sem relação","✔ OK"))))</f>
        <v/>
      </c>
      <c r="J261" s="93" t="n"/>
    </row>
    <row r="262" ht="15" customHeight="1" s="50">
      <c r="A262" s="93" t="n"/>
      <c r="B262" s="93" t="n"/>
      <c r="C262" s="95">
        <f>IF(B262="","",IFERROR(INDEX('Constants &amp; Enums'!$B$5:$B$200,MATCH(B262,'Constants &amp; Enums'!$A$5:$A$200,0)),IFERROR(INDEX('Metrics &amp; Formulas'!$B$5:$B$200,MATCH(B262,'Metrics &amp; Formulas'!$A$5:$A$200,0)),IFERROR(INDEX('Projections &amp; Dashboards'!$B$5:$B$200,MATCH(B262,'Projections &amp; Dashboards'!$A$5:$A$200,0)),IFERROR(INDEX(Funções!$O$5:$O$300,MATCH(B262,Funções!$A$5:$A$300,0)),IFERROR(INDEX(Telas!$C$5:$C$400,MATCH(B262,Telas!$A$5:$A$400,0)),IFERROR(INDEX(Roadmap!$D$6:$D$200,MATCH(B262,Roadmap!$A$6:$A$200,0)),IFERROR(INDEX(Modules!$C$5:$C$100,MATCH(B262,Modules!$A$5:$A$100,0)),"NOT FOUND"))))))))</f>
        <v/>
      </c>
      <c r="D262" s="95">
        <f>IF(B262="","",IF(C262="NOT FOUND","—",IFERROR(INDEX(Listas!$J$5:$J$13,MATCH(LEFT(B262,FIND("-",B262)-1),Listas!$I$5:$I$13,0)),"Module / area")))</f>
        <v/>
      </c>
      <c r="E262" s="93" t="n"/>
      <c r="F262" s="93" t="n"/>
      <c r="G262" s="95">
        <f>IF(F262="","",IFERROR(INDEX('Constants &amp; Enums'!$B$5:$B$200,MATCH(F262,'Constants &amp; Enums'!$A$5:$A$200,0)),IFERROR(INDEX('Metrics &amp; Formulas'!$B$5:$B$200,MATCH(F262,'Metrics &amp; Formulas'!$A$5:$A$200,0)),IFERROR(INDEX('Projections &amp; Dashboards'!$B$5:$B$200,MATCH(F262,'Projections &amp; Dashboards'!$A$5:$A$200,0)),IFERROR(INDEX(Funções!$O$5:$O$300,MATCH(F262,Funções!$A$5:$A$300,0)),IFERROR(INDEX(Telas!$C$5:$C$400,MATCH(F262,Telas!$A$5:$A$400,0)),IFERROR(INDEX(Roadmap!$D$6:$D$200,MATCH(F262,Roadmap!$A$6:$A$200,0)),IFERROR(INDEX(Modules!$C$5:$C$100,MATCH(F262,Modules!$A$5:$A$100,0)),"NOT FOUND"))))))))</f>
        <v/>
      </c>
      <c r="H262" s="95">
        <f>IF(F262="","",IF(G262="NOT FOUND","—",IFERROR(INDEX(Listas!$J$5:$J$13,MATCH(LEFT(F262,FIND("-",F262)-1),Listas!$I$5:$I$13,0)),"Module / area")))</f>
        <v/>
      </c>
      <c r="I262" s="95">
        <f>IF(AND(B262="",F262=""),"",IF(OR(C262="NOT FOUND",G262="NOT FOUND"),"✖ ID inexistente",IF(B262=F262,"✖ Autorreferência",IF(E262="","✖ Sem relação","✔ OK"))))</f>
        <v/>
      </c>
      <c r="J262" s="93" t="n"/>
    </row>
    <row r="263" ht="15" customHeight="1" s="50">
      <c r="A263" s="93" t="n"/>
      <c r="B263" s="93" t="n"/>
      <c r="C263" s="95">
        <f>IF(B263="","",IFERROR(INDEX('Constants &amp; Enums'!$B$5:$B$200,MATCH(B263,'Constants &amp; Enums'!$A$5:$A$200,0)),IFERROR(INDEX('Metrics &amp; Formulas'!$B$5:$B$200,MATCH(B263,'Metrics &amp; Formulas'!$A$5:$A$200,0)),IFERROR(INDEX('Projections &amp; Dashboards'!$B$5:$B$200,MATCH(B263,'Projections &amp; Dashboards'!$A$5:$A$200,0)),IFERROR(INDEX(Funções!$O$5:$O$300,MATCH(B263,Funções!$A$5:$A$300,0)),IFERROR(INDEX(Telas!$C$5:$C$400,MATCH(B263,Telas!$A$5:$A$400,0)),IFERROR(INDEX(Roadmap!$D$6:$D$200,MATCH(B263,Roadmap!$A$6:$A$200,0)),IFERROR(INDEX(Modules!$C$5:$C$100,MATCH(B263,Modules!$A$5:$A$100,0)),"NOT FOUND"))))))))</f>
        <v/>
      </c>
      <c r="D263" s="95">
        <f>IF(B263="","",IF(C263="NOT FOUND","—",IFERROR(INDEX(Listas!$J$5:$J$13,MATCH(LEFT(B263,FIND("-",B263)-1),Listas!$I$5:$I$13,0)),"Module / area")))</f>
        <v/>
      </c>
      <c r="E263" s="93" t="n"/>
      <c r="F263" s="93" t="n"/>
      <c r="G263" s="95">
        <f>IF(F263="","",IFERROR(INDEX('Constants &amp; Enums'!$B$5:$B$200,MATCH(F263,'Constants &amp; Enums'!$A$5:$A$200,0)),IFERROR(INDEX('Metrics &amp; Formulas'!$B$5:$B$200,MATCH(F263,'Metrics &amp; Formulas'!$A$5:$A$200,0)),IFERROR(INDEX('Projections &amp; Dashboards'!$B$5:$B$200,MATCH(F263,'Projections &amp; Dashboards'!$A$5:$A$200,0)),IFERROR(INDEX(Funções!$O$5:$O$300,MATCH(F263,Funções!$A$5:$A$300,0)),IFERROR(INDEX(Telas!$C$5:$C$400,MATCH(F263,Telas!$A$5:$A$400,0)),IFERROR(INDEX(Roadmap!$D$6:$D$200,MATCH(F263,Roadmap!$A$6:$A$200,0)),IFERROR(INDEX(Modules!$C$5:$C$100,MATCH(F263,Modules!$A$5:$A$100,0)),"NOT FOUND"))))))))</f>
        <v/>
      </c>
      <c r="H263" s="95">
        <f>IF(F263="","",IF(G263="NOT FOUND","—",IFERROR(INDEX(Listas!$J$5:$J$13,MATCH(LEFT(F263,FIND("-",F263)-1),Listas!$I$5:$I$13,0)),"Module / area")))</f>
        <v/>
      </c>
      <c r="I263" s="95">
        <f>IF(AND(B263="",F263=""),"",IF(OR(C263="NOT FOUND",G263="NOT FOUND"),"✖ ID inexistente",IF(B263=F263,"✖ Autorreferência",IF(E263="","✖ Sem relação","✔ OK"))))</f>
        <v/>
      </c>
      <c r="J263" s="93" t="n"/>
    </row>
    <row r="264" ht="15" customHeight="1" s="50">
      <c r="A264" s="93" t="n"/>
      <c r="B264" s="93" t="n"/>
      <c r="C264" s="95">
        <f>IF(B264="","",IFERROR(INDEX('Constants &amp; Enums'!$B$5:$B$200,MATCH(B264,'Constants &amp; Enums'!$A$5:$A$200,0)),IFERROR(INDEX('Metrics &amp; Formulas'!$B$5:$B$200,MATCH(B264,'Metrics &amp; Formulas'!$A$5:$A$200,0)),IFERROR(INDEX('Projections &amp; Dashboards'!$B$5:$B$200,MATCH(B264,'Projections &amp; Dashboards'!$A$5:$A$200,0)),IFERROR(INDEX(Funções!$O$5:$O$300,MATCH(B264,Funções!$A$5:$A$300,0)),IFERROR(INDEX(Telas!$C$5:$C$400,MATCH(B264,Telas!$A$5:$A$400,0)),IFERROR(INDEX(Roadmap!$D$6:$D$200,MATCH(B264,Roadmap!$A$6:$A$200,0)),IFERROR(INDEX(Modules!$C$5:$C$100,MATCH(B264,Modules!$A$5:$A$100,0)),"NOT FOUND"))))))))</f>
        <v/>
      </c>
      <c r="D264" s="95">
        <f>IF(B264="","",IF(C264="NOT FOUND","—",IFERROR(INDEX(Listas!$J$5:$J$13,MATCH(LEFT(B264,FIND("-",B264)-1),Listas!$I$5:$I$13,0)),"Module / area")))</f>
        <v/>
      </c>
      <c r="E264" s="93" t="n"/>
      <c r="F264" s="93" t="n"/>
      <c r="G264" s="95">
        <f>IF(F264="","",IFERROR(INDEX('Constants &amp; Enums'!$B$5:$B$200,MATCH(F264,'Constants &amp; Enums'!$A$5:$A$200,0)),IFERROR(INDEX('Metrics &amp; Formulas'!$B$5:$B$200,MATCH(F264,'Metrics &amp; Formulas'!$A$5:$A$200,0)),IFERROR(INDEX('Projections &amp; Dashboards'!$B$5:$B$200,MATCH(F264,'Projections &amp; Dashboards'!$A$5:$A$200,0)),IFERROR(INDEX(Funções!$O$5:$O$300,MATCH(F264,Funções!$A$5:$A$300,0)),IFERROR(INDEX(Telas!$C$5:$C$400,MATCH(F264,Telas!$A$5:$A$400,0)),IFERROR(INDEX(Roadmap!$D$6:$D$200,MATCH(F264,Roadmap!$A$6:$A$200,0)),IFERROR(INDEX(Modules!$C$5:$C$100,MATCH(F264,Modules!$A$5:$A$100,0)),"NOT FOUND"))))))))</f>
        <v/>
      </c>
      <c r="H264" s="95">
        <f>IF(F264="","",IF(G264="NOT FOUND","—",IFERROR(INDEX(Listas!$J$5:$J$13,MATCH(LEFT(F264,FIND("-",F264)-1),Listas!$I$5:$I$13,0)),"Module / area")))</f>
        <v/>
      </c>
      <c r="I264" s="95">
        <f>IF(AND(B264="",F264=""),"",IF(OR(C264="NOT FOUND",G264="NOT FOUND"),"✖ ID inexistente",IF(B264=F264,"✖ Autorreferência",IF(E264="","✖ Sem relação","✔ OK"))))</f>
        <v/>
      </c>
      <c r="J264" s="93" t="n"/>
    </row>
    <row r="265" ht="15" customHeight="1" s="50">
      <c r="A265" s="93" t="n"/>
      <c r="B265" s="93" t="n"/>
      <c r="C265" s="95">
        <f>IF(B265="","",IFERROR(INDEX('Constants &amp; Enums'!$B$5:$B$200,MATCH(B265,'Constants &amp; Enums'!$A$5:$A$200,0)),IFERROR(INDEX('Metrics &amp; Formulas'!$B$5:$B$200,MATCH(B265,'Metrics &amp; Formulas'!$A$5:$A$200,0)),IFERROR(INDEX('Projections &amp; Dashboards'!$B$5:$B$200,MATCH(B265,'Projections &amp; Dashboards'!$A$5:$A$200,0)),IFERROR(INDEX(Funções!$O$5:$O$300,MATCH(B265,Funções!$A$5:$A$300,0)),IFERROR(INDEX(Telas!$C$5:$C$400,MATCH(B265,Telas!$A$5:$A$400,0)),IFERROR(INDEX(Roadmap!$D$6:$D$200,MATCH(B265,Roadmap!$A$6:$A$200,0)),IFERROR(INDEX(Modules!$C$5:$C$100,MATCH(B265,Modules!$A$5:$A$100,0)),"NOT FOUND"))))))))</f>
        <v/>
      </c>
      <c r="D265" s="95">
        <f>IF(B265="","",IF(C265="NOT FOUND","—",IFERROR(INDEX(Listas!$J$5:$J$13,MATCH(LEFT(B265,FIND("-",B265)-1),Listas!$I$5:$I$13,0)),"Module / area")))</f>
        <v/>
      </c>
      <c r="E265" s="93" t="n"/>
      <c r="F265" s="93" t="n"/>
      <c r="G265" s="95">
        <f>IF(F265="","",IFERROR(INDEX('Constants &amp; Enums'!$B$5:$B$200,MATCH(F265,'Constants &amp; Enums'!$A$5:$A$200,0)),IFERROR(INDEX('Metrics &amp; Formulas'!$B$5:$B$200,MATCH(F265,'Metrics &amp; Formulas'!$A$5:$A$200,0)),IFERROR(INDEX('Projections &amp; Dashboards'!$B$5:$B$200,MATCH(F265,'Projections &amp; Dashboards'!$A$5:$A$200,0)),IFERROR(INDEX(Funções!$O$5:$O$300,MATCH(F265,Funções!$A$5:$A$300,0)),IFERROR(INDEX(Telas!$C$5:$C$400,MATCH(F265,Telas!$A$5:$A$400,0)),IFERROR(INDEX(Roadmap!$D$6:$D$200,MATCH(F265,Roadmap!$A$6:$A$200,0)),IFERROR(INDEX(Modules!$C$5:$C$100,MATCH(F265,Modules!$A$5:$A$100,0)),"NOT FOUND"))))))))</f>
        <v/>
      </c>
      <c r="H265" s="95">
        <f>IF(F265="","",IF(G265="NOT FOUND","—",IFERROR(INDEX(Listas!$J$5:$J$13,MATCH(LEFT(F265,FIND("-",F265)-1),Listas!$I$5:$I$13,0)),"Module / area")))</f>
        <v/>
      </c>
      <c r="I265" s="95">
        <f>IF(AND(B265="",F265=""),"",IF(OR(C265="NOT FOUND",G265="NOT FOUND"),"✖ ID inexistente",IF(B265=F265,"✖ Autorreferência",IF(E265="","✖ Sem relação","✔ OK"))))</f>
        <v/>
      </c>
      <c r="J265" s="93" t="n"/>
    </row>
    <row r="266" ht="15" customHeight="1" s="50">
      <c r="A266" s="93" t="n"/>
      <c r="B266" s="93" t="n"/>
      <c r="C266" s="95">
        <f>IF(B266="","",IFERROR(INDEX('Constants &amp; Enums'!$B$5:$B$200,MATCH(B266,'Constants &amp; Enums'!$A$5:$A$200,0)),IFERROR(INDEX('Metrics &amp; Formulas'!$B$5:$B$200,MATCH(B266,'Metrics &amp; Formulas'!$A$5:$A$200,0)),IFERROR(INDEX('Projections &amp; Dashboards'!$B$5:$B$200,MATCH(B266,'Projections &amp; Dashboards'!$A$5:$A$200,0)),IFERROR(INDEX(Funções!$O$5:$O$300,MATCH(B266,Funções!$A$5:$A$300,0)),IFERROR(INDEX(Telas!$C$5:$C$400,MATCH(B266,Telas!$A$5:$A$400,0)),IFERROR(INDEX(Roadmap!$D$6:$D$200,MATCH(B266,Roadmap!$A$6:$A$200,0)),IFERROR(INDEX(Modules!$C$5:$C$100,MATCH(B266,Modules!$A$5:$A$100,0)),"NOT FOUND"))))))))</f>
        <v/>
      </c>
      <c r="D266" s="95">
        <f>IF(B266="","",IF(C266="NOT FOUND","—",IFERROR(INDEX(Listas!$J$5:$J$13,MATCH(LEFT(B266,FIND("-",B266)-1),Listas!$I$5:$I$13,0)),"Module / area")))</f>
        <v/>
      </c>
      <c r="E266" s="93" t="n"/>
      <c r="F266" s="93" t="n"/>
      <c r="G266" s="95">
        <f>IF(F266="","",IFERROR(INDEX('Constants &amp; Enums'!$B$5:$B$200,MATCH(F266,'Constants &amp; Enums'!$A$5:$A$200,0)),IFERROR(INDEX('Metrics &amp; Formulas'!$B$5:$B$200,MATCH(F266,'Metrics &amp; Formulas'!$A$5:$A$200,0)),IFERROR(INDEX('Projections &amp; Dashboards'!$B$5:$B$200,MATCH(F266,'Projections &amp; Dashboards'!$A$5:$A$200,0)),IFERROR(INDEX(Funções!$O$5:$O$300,MATCH(F266,Funções!$A$5:$A$300,0)),IFERROR(INDEX(Telas!$C$5:$C$400,MATCH(F266,Telas!$A$5:$A$400,0)),IFERROR(INDEX(Roadmap!$D$6:$D$200,MATCH(F266,Roadmap!$A$6:$A$200,0)),IFERROR(INDEX(Modules!$C$5:$C$100,MATCH(F266,Modules!$A$5:$A$100,0)),"NOT FOUND"))))))))</f>
        <v/>
      </c>
      <c r="H266" s="95">
        <f>IF(F266="","",IF(G266="NOT FOUND","—",IFERROR(INDEX(Listas!$J$5:$J$13,MATCH(LEFT(F266,FIND("-",F266)-1),Listas!$I$5:$I$13,0)),"Module / area")))</f>
        <v/>
      </c>
      <c r="I266" s="95">
        <f>IF(AND(B266="",F266=""),"",IF(OR(C266="NOT FOUND",G266="NOT FOUND"),"✖ ID inexistente",IF(B266=F266,"✖ Autorreferência",IF(E266="","✖ Sem relação","✔ OK"))))</f>
        <v/>
      </c>
      <c r="J266" s="93" t="n"/>
    </row>
    <row r="267" ht="15" customHeight="1" s="50">
      <c r="A267" s="93" t="n"/>
      <c r="B267" s="93" t="n"/>
      <c r="C267" s="95">
        <f>IF(B267="","",IFERROR(INDEX('Constants &amp; Enums'!$B$5:$B$200,MATCH(B267,'Constants &amp; Enums'!$A$5:$A$200,0)),IFERROR(INDEX('Metrics &amp; Formulas'!$B$5:$B$200,MATCH(B267,'Metrics &amp; Formulas'!$A$5:$A$200,0)),IFERROR(INDEX('Projections &amp; Dashboards'!$B$5:$B$200,MATCH(B267,'Projections &amp; Dashboards'!$A$5:$A$200,0)),IFERROR(INDEX(Funções!$O$5:$O$300,MATCH(B267,Funções!$A$5:$A$300,0)),IFERROR(INDEX(Telas!$C$5:$C$400,MATCH(B267,Telas!$A$5:$A$400,0)),IFERROR(INDEX(Roadmap!$D$6:$D$200,MATCH(B267,Roadmap!$A$6:$A$200,0)),IFERROR(INDEX(Modules!$C$5:$C$100,MATCH(B267,Modules!$A$5:$A$100,0)),"NOT FOUND"))))))))</f>
        <v/>
      </c>
      <c r="D267" s="95">
        <f>IF(B267="","",IF(C267="NOT FOUND","—",IFERROR(INDEX(Listas!$J$5:$J$13,MATCH(LEFT(B267,FIND("-",B267)-1),Listas!$I$5:$I$13,0)),"Module / area")))</f>
        <v/>
      </c>
      <c r="E267" s="93" t="n"/>
      <c r="F267" s="93" t="n"/>
      <c r="G267" s="95">
        <f>IF(F267="","",IFERROR(INDEX('Constants &amp; Enums'!$B$5:$B$200,MATCH(F267,'Constants &amp; Enums'!$A$5:$A$200,0)),IFERROR(INDEX('Metrics &amp; Formulas'!$B$5:$B$200,MATCH(F267,'Metrics &amp; Formulas'!$A$5:$A$200,0)),IFERROR(INDEX('Projections &amp; Dashboards'!$B$5:$B$200,MATCH(F267,'Projections &amp; Dashboards'!$A$5:$A$200,0)),IFERROR(INDEX(Funções!$O$5:$O$300,MATCH(F267,Funções!$A$5:$A$300,0)),IFERROR(INDEX(Telas!$C$5:$C$400,MATCH(F267,Telas!$A$5:$A$400,0)),IFERROR(INDEX(Roadmap!$D$6:$D$200,MATCH(F267,Roadmap!$A$6:$A$200,0)),IFERROR(INDEX(Modules!$C$5:$C$100,MATCH(F267,Modules!$A$5:$A$100,0)),"NOT FOUND"))))))))</f>
        <v/>
      </c>
      <c r="H267" s="95">
        <f>IF(F267="","",IF(G267="NOT FOUND","—",IFERROR(INDEX(Listas!$J$5:$J$13,MATCH(LEFT(F267,FIND("-",F267)-1),Listas!$I$5:$I$13,0)),"Module / area")))</f>
        <v/>
      </c>
      <c r="I267" s="95">
        <f>IF(AND(B267="",F267=""),"",IF(OR(C267="NOT FOUND",G267="NOT FOUND"),"✖ ID inexistente",IF(B267=F267,"✖ Autorreferência",IF(E267="","✖ Sem relação","✔ OK"))))</f>
        <v/>
      </c>
      <c r="J267" s="93" t="n"/>
    </row>
    <row r="268" ht="15" customHeight="1" s="50">
      <c r="A268" s="93" t="n"/>
      <c r="B268" s="93" t="n"/>
      <c r="C268" s="95">
        <f>IF(B268="","",IFERROR(INDEX('Constants &amp; Enums'!$B$5:$B$200,MATCH(B268,'Constants &amp; Enums'!$A$5:$A$200,0)),IFERROR(INDEX('Metrics &amp; Formulas'!$B$5:$B$200,MATCH(B268,'Metrics &amp; Formulas'!$A$5:$A$200,0)),IFERROR(INDEX('Projections &amp; Dashboards'!$B$5:$B$200,MATCH(B268,'Projections &amp; Dashboards'!$A$5:$A$200,0)),IFERROR(INDEX(Funções!$O$5:$O$300,MATCH(B268,Funções!$A$5:$A$300,0)),IFERROR(INDEX(Telas!$C$5:$C$400,MATCH(B268,Telas!$A$5:$A$400,0)),IFERROR(INDEX(Roadmap!$D$6:$D$200,MATCH(B268,Roadmap!$A$6:$A$200,0)),IFERROR(INDEX(Modules!$C$5:$C$100,MATCH(B268,Modules!$A$5:$A$100,0)),"NOT FOUND"))))))))</f>
        <v/>
      </c>
      <c r="D268" s="95">
        <f>IF(B268="","",IF(C268="NOT FOUND","—",IFERROR(INDEX(Listas!$J$5:$J$13,MATCH(LEFT(B268,FIND("-",B268)-1),Listas!$I$5:$I$13,0)),"Module / area")))</f>
        <v/>
      </c>
      <c r="E268" s="93" t="n"/>
      <c r="F268" s="93" t="n"/>
      <c r="G268" s="95">
        <f>IF(F268="","",IFERROR(INDEX('Constants &amp; Enums'!$B$5:$B$200,MATCH(F268,'Constants &amp; Enums'!$A$5:$A$200,0)),IFERROR(INDEX('Metrics &amp; Formulas'!$B$5:$B$200,MATCH(F268,'Metrics &amp; Formulas'!$A$5:$A$200,0)),IFERROR(INDEX('Projections &amp; Dashboards'!$B$5:$B$200,MATCH(F268,'Projections &amp; Dashboards'!$A$5:$A$200,0)),IFERROR(INDEX(Funções!$O$5:$O$300,MATCH(F268,Funções!$A$5:$A$300,0)),IFERROR(INDEX(Telas!$C$5:$C$400,MATCH(F268,Telas!$A$5:$A$400,0)),IFERROR(INDEX(Roadmap!$D$6:$D$200,MATCH(F268,Roadmap!$A$6:$A$200,0)),IFERROR(INDEX(Modules!$C$5:$C$100,MATCH(F268,Modules!$A$5:$A$100,0)),"NOT FOUND"))))))))</f>
        <v/>
      </c>
      <c r="H268" s="95">
        <f>IF(F268="","",IF(G268="NOT FOUND","—",IFERROR(INDEX(Listas!$J$5:$J$13,MATCH(LEFT(F268,FIND("-",F268)-1),Listas!$I$5:$I$13,0)),"Module / area")))</f>
        <v/>
      </c>
      <c r="I268" s="95">
        <f>IF(AND(B268="",F268=""),"",IF(OR(C268="NOT FOUND",G268="NOT FOUND"),"✖ ID inexistente",IF(B268=F268,"✖ Autorreferência",IF(E268="","✖ Sem relação","✔ OK"))))</f>
        <v/>
      </c>
      <c r="J268" s="93" t="n"/>
    </row>
    <row r="269" ht="15" customHeight="1" s="50">
      <c r="A269" s="93" t="n"/>
      <c r="B269" s="93" t="n"/>
      <c r="C269" s="95">
        <f>IF(B269="","",IFERROR(INDEX('Constants &amp; Enums'!$B$5:$B$200,MATCH(B269,'Constants &amp; Enums'!$A$5:$A$200,0)),IFERROR(INDEX('Metrics &amp; Formulas'!$B$5:$B$200,MATCH(B269,'Metrics &amp; Formulas'!$A$5:$A$200,0)),IFERROR(INDEX('Projections &amp; Dashboards'!$B$5:$B$200,MATCH(B269,'Projections &amp; Dashboards'!$A$5:$A$200,0)),IFERROR(INDEX(Funções!$O$5:$O$300,MATCH(B269,Funções!$A$5:$A$300,0)),IFERROR(INDEX(Telas!$C$5:$C$400,MATCH(B269,Telas!$A$5:$A$400,0)),IFERROR(INDEX(Roadmap!$D$6:$D$200,MATCH(B269,Roadmap!$A$6:$A$200,0)),IFERROR(INDEX(Modules!$C$5:$C$100,MATCH(B269,Modules!$A$5:$A$100,0)),"NOT FOUND"))))))))</f>
        <v/>
      </c>
      <c r="D269" s="95">
        <f>IF(B269="","",IF(C269="NOT FOUND","—",IFERROR(INDEX(Listas!$J$5:$J$13,MATCH(LEFT(B269,FIND("-",B269)-1),Listas!$I$5:$I$13,0)),"Module / area")))</f>
        <v/>
      </c>
      <c r="E269" s="93" t="n"/>
      <c r="F269" s="93" t="n"/>
      <c r="G269" s="95">
        <f>IF(F269="","",IFERROR(INDEX('Constants &amp; Enums'!$B$5:$B$200,MATCH(F269,'Constants &amp; Enums'!$A$5:$A$200,0)),IFERROR(INDEX('Metrics &amp; Formulas'!$B$5:$B$200,MATCH(F269,'Metrics &amp; Formulas'!$A$5:$A$200,0)),IFERROR(INDEX('Projections &amp; Dashboards'!$B$5:$B$200,MATCH(F269,'Projections &amp; Dashboards'!$A$5:$A$200,0)),IFERROR(INDEX(Funções!$O$5:$O$300,MATCH(F269,Funções!$A$5:$A$300,0)),IFERROR(INDEX(Telas!$C$5:$C$400,MATCH(F269,Telas!$A$5:$A$400,0)),IFERROR(INDEX(Roadmap!$D$6:$D$200,MATCH(F269,Roadmap!$A$6:$A$200,0)),IFERROR(INDEX(Modules!$C$5:$C$100,MATCH(F269,Modules!$A$5:$A$100,0)),"NOT FOUND"))))))))</f>
        <v/>
      </c>
      <c r="H269" s="95">
        <f>IF(F269="","",IF(G269="NOT FOUND","—",IFERROR(INDEX(Listas!$J$5:$J$13,MATCH(LEFT(F269,FIND("-",F269)-1),Listas!$I$5:$I$13,0)),"Module / area")))</f>
        <v/>
      </c>
      <c r="I269" s="95">
        <f>IF(AND(B269="",F269=""),"",IF(OR(C269="NOT FOUND",G269="NOT FOUND"),"✖ ID inexistente",IF(B269=F269,"✖ Autorreferência",IF(E269="","✖ Sem relação","✔ OK"))))</f>
        <v/>
      </c>
      <c r="J269" s="93" t="n"/>
    </row>
    <row r="270" ht="15" customHeight="1" s="50">
      <c r="A270" s="93" t="n"/>
      <c r="B270" s="93" t="n"/>
      <c r="C270" s="95">
        <f>IF(B270="","",IFERROR(INDEX('Constants &amp; Enums'!$B$5:$B$200,MATCH(B270,'Constants &amp; Enums'!$A$5:$A$200,0)),IFERROR(INDEX('Metrics &amp; Formulas'!$B$5:$B$200,MATCH(B270,'Metrics &amp; Formulas'!$A$5:$A$200,0)),IFERROR(INDEX('Projections &amp; Dashboards'!$B$5:$B$200,MATCH(B270,'Projections &amp; Dashboards'!$A$5:$A$200,0)),IFERROR(INDEX(Funções!$O$5:$O$300,MATCH(B270,Funções!$A$5:$A$300,0)),IFERROR(INDEX(Telas!$C$5:$C$400,MATCH(B270,Telas!$A$5:$A$400,0)),IFERROR(INDEX(Roadmap!$D$6:$D$200,MATCH(B270,Roadmap!$A$6:$A$200,0)),IFERROR(INDEX(Modules!$C$5:$C$100,MATCH(B270,Modules!$A$5:$A$100,0)),"NOT FOUND"))))))))</f>
        <v/>
      </c>
      <c r="D270" s="95">
        <f>IF(B270="","",IF(C270="NOT FOUND","—",IFERROR(INDEX(Listas!$J$5:$J$13,MATCH(LEFT(B270,FIND("-",B270)-1),Listas!$I$5:$I$13,0)),"Module / area")))</f>
        <v/>
      </c>
      <c r="E270" s="93" t="n"/>
      <c r="F270" s="93" t="n"/>
      <c r="G270" s="95">
        <f>IF(F270="","",IFERROR(INDEX('Constants &amp; Enums'!$B$5:$B$200,MATCH(F270,'Constants &amp; Enums'!$A$5:$A$200,0)),IFERROR(INDEX('Metrics &amp; Formulas'!$B$5:$B$200,MATCH(F270,'Metrics &amp; Formulas'!$A$5:$A$200,0)),IFERROR(INDEX('Projections &amp; Dashboards'!$B$5:$B$200,MATCH(F270,'Projections &amp; Dashboards'!$A$5:$A$200,0)),IFERROR(INDEX(Funções!$O$5:$O$300,MATCH(F270,Funções!$A$5:$A$300,0)),IFERROR(INDEX(Telas!$C$5:$C$400,MATCH(F270,Telas!$A$5:$A$400,0)),IFERROR(INDEX(Roadmap!$D$6:$D$200,MATCH(F270,Roadmap!$A$6:$A$200,0)),IFERROR(INDEX(Modules!$C$5:$C$100,MATCH(F270,Modules!$A$5:$A$100,0)),"NOT FOUND"))))))))</f>
        <v/>
      </c>
      <c r="H270" s="95">
        <f>IF(F270="","",IF(G270="NOT FOUND","—",IFERROR(INDEX(Listas!$J$5:$J$13,MATCH(LEFT(F270,FIND("-",F270)-1),Listas!$I$5:$I$13,0)),"Module / area")))</f>
        <v/>
      </c>
      <c r="I270" s="95">
        <f>IF(AND(B270="",F270=""),"",IF(OR(C270="NOT FOUND",G270="NOT FOUND"),"✖ ID inexistente",IF(B270=F270,"✖ Autorreferência",IF(E270="","✖ Sem relação","✔ OK"))))</f>
        <v/>
      </c>
      <c r="J270" s="93" t="n"/>
    </row>
    <row r="271" ht="15" customHeight="1" s="50">
      <c r="A271" s="93" t="n"/>
      <c r="B271" s="93" t="n"/>
      <c r="C271" s="95">
        <f>IF(B271="","",IFERROR(INDEX('Constants &amp; Enums'!$B$5:$B$200,MATCH(B271,'Constants &amp; Enums'!$A$5:$A$200,0)),IFERROR(INDEX('Metrics &amp; Formulas'!$B$5:$B$200,MATCH(B271,'Metrics &amp; Formulas'!$A$5:$A$200,0)),IFERROR(INDEX('Projections &amp; Dashboards'!$B$5:$B$200,MATCH(B271,'Projections &amp; Dashboards'!$A$5:$A$200,0)),IFERROR(INDEX(Funções!$O$5:$O$300,MATCH(B271,Funções!$A$5:$A$300,0)),IFERROR(INDEX(Telas!$C$5:$C$400,MATCH(B271,Telas!$A$5:$A$400,0)),IFERROR(INDEX(Roadmap!$D$6:$D$200,MATCH(B271,Roadmap!$A$6:$A$200,0)),IFERROR(INDEX(Modules!$C$5:$C$100,MATCH(B271,Modules!$A$5:$A$100,0)),"NOT FOUND"))))))))</f>
        <v/>
      </c>
      <c r="D271" s="95">
        <f>IF(B271="","",IF(C271="NOT FOUND","—",IFERROR(INDEX(Listas!$J$5:$J$13,MATCH(LEFT(B271,FIND("-",B271)-1),Listas!$I$5:$I$13,0)),"Module / area")))</f>
        <v/>
      </c>
      <c r="E271" s="93" t="n"/>
      <c r="F271" s="93" t="n"/>
      <c r="G271" s="95">
        <f>IF(F271="","",IFERROR(INDEX('Constants &amp; Enums'!$B$5:$B$200,MATCH(F271,'Constants &amp; Enums'!$A$5:$A$200,0)),IFERROR(INDEX('Metrics &amp; Formulas'!$B$5:$B$200,MATCH(F271,'Metrics &amp; Formulas'!$A$5:$A$200,0)),IFERROR(INDEX('Projections &amp; Dashboards'!$B$5:$B$200,MATCH(F271,'Projections &amp; Dashboards'!$A$5:$A$200,0)),IFERROR(INDEX(Funções!$O$5:$O$300,MATCH(F271,Funções!$A$5:$A$300,0)),IFERROR(INDEX(Telas!$C$5:$C$400,MATCH(F271,Telas!$A$5:$A$400,0)),IFERROR(INDEX(Roadmap!$D$6:$D$200,MATCH(F271,Roadmap!$A$6:$A$200,0)),IFERROR(INDEX(Modules!$C$5:$C$100,MATCH(F271,Modules!$A$5:$A$100,0)),"NOT FOUND"))))))))</f>
        <v/>
      </c>
      <c r="H271" s="95">
        <f>IF(F271="","",IF(G271="NOT FOUND","—",IFERROR(INDEX(Listas!$J$5:$J$13,MATCH(LEFT(F271,FIND("-",F271)-1),Listas!$I$5:$I$13,0)),"Module / area")))</f>
        <v/>
      </c>
      <c r="I271" s="95">
        <f>IF(AND(B271="",F271=""),"",IF(OR(C271="NOT FOUND",G271="NOT FOUND"),"✖ ID inexistente",IF(B271=F271,"✖ Autorreferência",IF(E271="","✖ Sem relação","✔ OK"))))</f>
        <v/>
      </c>
      <c r="J271" s="93" t="n"/>
    </row>
    <row r="272" ht="15" customHeight="1" s="50">
      <c r="A272" s="93" t="n"/>
      <c r="B272" s="93" t="n"/>
      <c r="C272" s="95">
        <f>IF(B272="","",IFERROR(INDEX('Constants &amp; Enums'!$B$5:$B$200,MATCH(B272,'Constants &amp; Enums'!$A$5:$A$200,0)),IFERROR(INDEX('Metrics &amp; Formulas'!$B$5:$B$200,MATCH(B272,'Metrics &amp; Formulas'!$A$5:$A$200,0)),IFERROR(INDEX('Projections &amp; Dashboards'!$B$5:$B$200,MATCH(B272,'Projections &amp; Dashboards'!$A$5:$A$200,0)),IFERROR(INDEX(Funções!$O$5:$O$300,MATCH(B272,Funções!$A$5:$A$300,0)),IFERROR(INDEX(Telas!$C$5:$C$400,MATCH(B272,Telas!$A$5:$A$400,0)),IFERROR(INDEX(Roadmap!$D$6:$D$200,MATCH(B272,Roadmap!$A$6:$A$200,0)),IFERROR(INDEX(Modules!$C$5:$C$100,MATCH(B272,Modules!$A$5:$A$100,0)),"NOT FOUND"))))))))</f>
        <v/>
      </c>
      <c r="D272" s="95">
        <f>IF(B272="","",IF(C272="NOT FOUND","—",IFERROR(INDEX(Listas!$J$5:$J$13,MATCH(LEFT(B272,FIND("-",B272)-1),Listas!$I$5:$I$13,0)),"Module / area")))</f>
        <v/>
      </c>
      <c r="E272" s="93" t="n"/>
      <c r="F272" s="93" t="n"/>
      <c r="G272" s="95">
        <f>IF(F272="","",IFERROR(INDEX('Constants &amp; Enums'!$B$5:$B$200,MATCH(F272,'Constants &amp; Enums'!$A$5:$A$200,0)),IFERROR(INDEX('Metrics &amp; Formulas'!$B$5:$B$200,MATCH(F272,'Metrics &amp; Formulas'!$A$5:$A$200,0)),IFERROR(INDEX('Projections &amp; Dashboards'!$B$5:$B$200,MATCH(F272,'Projections &amp; Dashboards'!$A$5:$A$200,0)),IFERROR(INDEX(Funções!$O$5:$O$300,MATCH(F272,Funções!$A$5:$A$300,0)),IFERROR(INDEX(Telas!$C$5:$C$400,MATCH(F272,Telas!$A$5:$A$400,0)),IFERROR(INDEX(Roadmap!$D$6:$D$200,MATCH(F272,Roadmap!$A$6:$A$200,0)),IFERROR(INDEX(Modules!$C$5:$C$100,MATCH(F272,Modules!$A$5:$A$100,0)),"NOT FOUND"))))))))</f>
        <v/>
      </c>
      <c r="H272" s="95">
        <f>IF(F272="","",IF(G272="NOT FOUND","—",IFERROR(INDEX(Listas!$J$5:$J$13,MATCH(LEFT(F272,FIND("-",F272)-1),Listas!$I$5:$I$13,0)),"Module / area")))</f>
        <v/>
      </c>
      <c r="I272" s="95">
        <f>IF(AND(B272="",F272=""),"",IF(OR(C272="NOT FOUND",G272="NOT FOUND"),"✖ ID inexistente",IF(B272=F272,"✖ Autorreferência",IF(E272="","✖ Sem relação","✔ OK"))))</f>
        <v/>
      </c>
      <c r="J272" s="93" t="n"/>
    </row>
    <row r="273" ht="15" customHeight="1" s="50">
      <c r="A273" s="93" t="n"/>
      <c r="B273" s="93" t="n"/>
      <c r="C273" s="95">
        <f>IF(B273="","",IFERROR(INDEX('Constants &amp; Enums'!$B$5:$B$200,MATCH(B273,'Constants &amp; Enums'!$A$5:$A$200,0)),IFERROR(INDEX('Metrics &amp; Formulas'!$B$5:$B$200,MATCH(B273,'Metrics &amp; Formulas'!$A$5:$A$200,0)),IFERROR(INDEX('Projections &amp; Dashboards'!$B$5:$B$200,MATCH(B273,'Projections &amp; Dashboards'!$A$5:$A$200,0)),IFERROR(INDEX(Funções!$O$5:$O$300,MATCH(B273,Funções!$A$5:$A$300,0)),IFERROR(INDEX(Telas!$C$5:$C$400,MATCH(B273,Telas!$A$5:$A$400,0)),IFERROR(INDEX(Roadmap!$D$6:$D$200,MATCH(B273,Roadmap!$A$6:$A$200,0)),IFERROR(INDEX(Modules!$C$5:$C$100,MATCH(B273,Modules!$A$5:$A$100,0)),"NOT FOUND"))))))))</f>
        <v/>
      </c>
      <c r="D273" s="95">
        <f>IF(B273="","",IF(C273="NOT FOUND","—",IFERROR(INDEX(Listas!$J$5:$J$13,MATCH(LEFT(B273,FIND("-",B273)-1),Listas!$I$5:$I$13,0)),"Module / area")))</f>
        <v/>
      </c>
      <c r="E273" s="93" t="n"/>
      <c r="F273" s="93" t="n"/>
      <c r="G273" s="95">
        <f>IF(F273="","",IFERROR(INDEX('Constants &amp; Enums'!$B$5:$B$200,MATCH(F273,'Constants &amp; Enums'!$A$5:$A$200,0)),IFERROR(INDEX('Metrics &amp; Formulas'!$B$5:$B$200,MATCH(F273,'Metrics &amp; Formulas'!$A$5:$A$200,0)),IFERROR(INDEX('Projections &amp; Dashboards'!$B$5:$B$200,MATCH(F273,'Projections &amp; Dashboards'!$A$5:$A$200,0)),IFERROR(INDEX(Funções!$O$5:$O$300,MATCH(F273,Funções!$A$5:$A$300,0)),IFERROR(INDEX(Telas!$C$5:$C$400,MATCH(F273,Telas!$A$5:$A$400,0)),IFERROR(INDEX(Roadmap!$D$6:$D$200,MATCH(F273,Roadmap!$A$6:$A$200,0)),IFERROR(INDEX(Modules!$C$5:$C$100,MATCH(F273,Modules!$A$5:$A$100,0)),"NOT FOUND"))))))))</f>
        <v/>
      </c>
      <c r="H273" s="95">
        <f>IF(F273="","",IF(G273="NOT FOUND","—",IFERROR(INDEX(Listas!$J$5:$J$13,MATCH(LEFT(F273,FIND("-",F273)-1),Listas!$I$5:$I$13,0)),"Module / area")))</f>
        <v/>
      </c>
      <c r="I273" s="95">
        <f>IF(AND(B273="",F273=""),"",IF(OR(C273="NOT FOUND",G273="NOT FOUND"),"✖ ID inexistente",IF(B273=F273,"✖ Autorreferência",IF(E273="","✖ Sem relação","✔ OK"))))</f>
        <v/>
      </c>
      <c r="J273" s="93" t="n"/>
    </row>
    <row r="274" ht="15" customHeight="1" s="50">
      <c r="A274" s="93" t="n"/>
      <c r="B274" s="93" t="n"/>
      <c r="C274" s="95">
        <f>IF(B274="","",IFERROR(INDEX('Constants &amp; Enums'!$B$5:$B$200,MATCH(B274,'Constants &amp; Enums'!$A$5:$A$200,0)),IFERROR(INDEX('Metrics &amp; Formulas'!$B$5:$B$200,MATCH(B274,'Metrics &amp; Formulas'!$A$5:$A$200,0)),IFERROR(INDEX('Projections &amp; Dashboards'!$B$5:$B$200,MATCH(B274,'Projections &amp; Dashboards'!$A$5:$A$200,0)),IFERROR(INDEX(Funções!$O$5:$O$300,MATCH(B274,Funções!$A$5:$A$300,0)),IFERROR(INDEX(Telas!$C$5:$C$400,MATCH(B274,Telas!$A$5:$A$400,0)),IFERROR(INDEX(Roadmap!$D$6:$D$200,MATCH(B274,Roadmap!$A$6:$A$200,0)),IFERROR(INDEX(Modules!$C$5:$C$100,MATCH(B274,Modules!$A$5:$A$100,0)),"NOT FOUND"))))))))</f>
        <v/>
      </c>
      <c r="D274" s="95">
        <f>IF(B274="","",IF(C274="NOT FOUND","—",IFERROR(INDEX(Listas!$J$5:$J$13,MATCH(LEFT(B274,FIND("-",B274)-1),Listas!$I$5:$I$13,0)),"Module / area")))</f>
        <v/>
      </c>
      <c r="E274" s="93" t="n"/>
      <c r="F274" s="93" t="n"/>
      <c r="G274" s="95">
        <f>IF(F274="","",IFERROR(INDEX('Constants &amp; Enums'!$B$5:$B$200,MATCH(F274,'Constants &amp; Enums'!$A$5:$A$200,0)),IFERROR(INDEX('Metrics &amp; Formulas'!$B$5:$B$200,MATCH(F274,'Metrics &amp; Formulas'!$A$5:$A$200,0)),IFERROR(INDEX('Projections &amp; Dashboards'!$B$5:$B$200,MATCH(F274,'Projections &amp; Dashboards'!$A$5:$A$200,0)),IFERROR(INDEX(Funções!$O$5:$O$300,MATCH(F274,Funções!$A$5:$A$300,0)),IFERROR(INDEX(Telas!$C$5:$C$400,MATCH(F274,Telas!$A$5:$A$400,0)),IFERROR(INDEX(Roadmap!$D$6:$D$200,MATCH(F274,Roadmap!$A$6:$A$200,0)),IFERROR(INDEX(Modules!$C$5:$C$100,MATCH(F274,Modules!$A$5:$A$100,0)),"NOT FOUND"))))))))</f>
        <v/>
      </c>
      <c r="H274" s="95">
        <f>IF(F274="","",IF(G274="NOT FOUND","—",IFERROR(INDEX(Listas!$J$5:$J$13,MATCH(LEFT(F274,FIND("-",F274)-1),Listas!$I$5:$I$13,0)),"Module / area")))</f>
        <v/>
      </c>
      <c r="I274" s="95">
        <f>IF(AND(B274="",F274=""),"",IF(OR(C274="NOT FOUND",G274="NOT FOUND"),"✖ ID inexistente",IF(B274=F274,"✖ Autorreferência",IF(E274="","✖ Sem relação","✔ OK"))))</f>
        <v/>
      </c>
      <c r="J274" s="93" t="n"/>
    </row>
    <row r="275" ht="15" customHeight="1" s="50">
      <c r="A275" s="93" t="n"/>
      <c r="B275" s="93" t="n"/>
      <c r="C275" s="95">
        <f>IF(B275="","",IFERROR(INDEX('Constants &amp; Enums'!$B$5:$B$200,MATCH(B275,'Constants &amp; Enums'!$A$5:$A$200,0)),IFERROR(INDEX('Metrics &amp; Formulas'!$B$5:$B$200,MATCH(B275,'Metrics &amp; Formulas'!$A$5:$A$200,0)),IFERROR(INDEX('Projections &amp; Dashboards'!$B$5:$B$200,MATCH(B275,'Projections &amp; Dashboards'!$A$5:$A$200,0)),IFERROR(INDEX(Funções!$O$5:$O$300,MATCH(B275,Funções!$A$5:$A$300,0)),IFERROR(INDEX(Telas!$C$5:$C$400,MATCH(B275,Telas!$A$5:$A$400,0)),IFERROR(INDEX(Roadmap!$D$6:$D$200,MATCH(B275,Roadmap!$A$6:$A$200,0)),IFERROR(INDEX(Modules!$C$5:$C$100,MATCH(B275,Modules!$A$5:$A$100,0)),"NOT FOUND"))))))))</f>
        <v/>
      </c>
      <c r="D275" s="95">
        <f>IF(B275="","",IF(C275="NOT FOUND","—",IFERROR(INDEX(Listas!$J$5:$J$13,MATCH(LEFT(B275,FIND("-",B275)-1),Listas!$I$5:$I$13,0)),"Module / area")))</f>
        <v/>
      </c>
      <c r="E275" s="93" t="n"/>
      <c r="F275" s="93" t="n"/>
      <c r="G275" s="95">
        <f>IF(F275="","",IFERROR(INDEX('Constants &amp; Enums'!$B$5:$B$200,MATCH(F275,'Constants &amp; Enums'!$A$5:$A$200,0)),IFERROR(INDEX('Metrics &amp; Formulas'!$B$5:$B$200,MATCH(F275,'Metrics &amp; Formulas'!$A$5:$A$200,0)),IFERROR(INDEX('Projections &amp; Dashboards'!$B$5:$B$200,MATCH(F275,'Projections &amp; Dashboards'!$A$5:$A$200,0)),IFERROR(INDEX(Funções!$O$5:$O$300,MATCH(F275,Funções!$A$5:$A$300,0)),IFERROR(INDEX(Telas!$C$5:$C$400,MATCH(F275,Telas!$A$5:$A$400,0)),IFERROR(INDEX(Roadmap!$D$6:$D$200,MATCH(F275,Roadmap!$A$6:$A$200,0)),IFERROR(INDEX(Modules!$C$5:$C$100,MATCH(F275,Modules!$A$5:$A$100,0)),"NOT FOUND"))))))))</f>
        <v/>
      </c>
      <c r="H275" s="95">
        <f>IF(F275="","",IF(G275="NOT FOUND","—",IFERROR(INDEX(Listas!$J$5:$J$13,MATCH(LEFT(F275,FIND("-",F275)-1),Listas!$I$5:$I$13,0)),"Module / area")))</f>
        <v/>
      </c>
      <c r="I275" s="95">
        <f>IF(AND(B275="",F275=""),"",IF(OR(C275="NOT FOUND",G275="NOT FOUND"),"✖ ID inexistente",IF(B275=F275,"✖ Autorreferência",IF(E275="","✖ Sem relação","✔ OK"))))</f>
        <v/>
      </c>
      <c r="J275" s="93" t="n"/>
    </row>
    <row r="276" ht="15" customHeight="1" s="50">
      <c r="A276" s="93" t="n"/>
      <c r="B276" s="93" t="n"/>
      <c r="C276" s="95">
        <f>IF(B276="","",IFERROR(INDEX('Constants &amp; Enums'!$B$5:$B$200,MATCH(B276,'Constants &amp; Enums'!$A$5:$A$200,0)),IFERROR(INDEX('Metrics &amp; Formulas'!$B$5:$B$200,MATCH(B276,'Metrics &amp; Formulas'!$A$5:$A$200,0)),IFERROR(INDEX('Projections &amp; Dashboards'!$B$5:$B$200,MATCH(B276,'Projections &amp; Dashboards'!$A$5:$A$200,0)),IFERROR(INDEX(Funções!$O$5:$O$300,MATCH(B276,Funções!$A$5:$A$300,0)),IFERROR(INDEX(Telas!$C$5:$C$400,MATCH(B276,Telas!$A$5:$A$400,0)),IFERROR(INDEX(Roadmap!$D$6:$D$200,MATCH(B276,Roadmap!$A$6:$A$200,0)),IFERROR(INDEX(Modules!$C$5:$C$100,MATCH(B276,Modules!$A$5:$A$100,0)),"NOT FOUND"))))))))</f>
        <v/>
      </c>
      <c r="D276" s="95">
        <f>IF(B276="","",IF(C276="NOT FOUND","—",IFERROR(INDEX(Listas!$J$5:$J$13,MATCH(LEFT(B276,FIND("-",B276)-1),Listas!$I$5:$I$13,0)),"Module / area")))</f>
        <v/>
      </c>
      <c r="E276" s="93" t="n"/>
      <c r="F276" s="93" t="n"/>
      <c r="G276" s="95">
        <f>IF(F276="","",IFERROR(INDEX('Constants &amp; Enums'!$B$5:$B$200,MATCH(F276,'Constants &amp; Enums'!$A$5:$A$200,0)),IFERROR(INDEX('Metrics &amp; Formulas'!$B$5:$B$200,MATCH(F276,'Metrics &amp; Formulas'!$A$5:$A$200,0)),IFERROR(INDEX('Projections &amp; Dashboards'!$B$5:$B$200,MATCH(F276,'Projections &amp; Dashboards'!$A$5:$A$200,0)),IFERROR(INDEX(Funções!$O$5:$O$300,MATCH(F276,Funções!$A$5:$A$300,0)),IFERROR(INDEX(Telas!$C$5:$C$400,MATCH(F276,Telas!$A$5:$A$400,0)),IFERROR(INDEX(Roadmap!$D$6:$D$200,MATCH(F276,Roadmap!$A$6:$A$200,0)),IFERROR(INDEX(Modules!$C$5:$C$100,MATCH(F276,Modules!$A$5:$A$100,0)),"NOT FOUND"))))))))</f>
        <v/>
      </c>
      <c r="H276" s="95">
        <f>IF(F276="","",IF(G276="NOT FOUND","—",IFERROR(INDEX(Listas!$J$5:$J$13,MATCH(LEFT(F276,FIND("-",F276)-1),Listas!$I$5:$I$13,0)),"Module / area")))</f>
        <v/>
      </c>
      <c r="I276" s="95">
        <f>IF(AND(B276="",F276=""),"",IF(OR(C276="NOT FOUND",G276="NOT FOUND"),"✖ ID inexistente",IF(B276=F276,"✖ Autorreferência",IF(E276="","✖ Sem relação","✔ OK"))))</f>
        <v/>
      </c>
      <c r="J276" s="93" t="n"/>
    </row>
    <row r="277" ht="15" customHeight="1" s="50">
      <c r="A277" s="93" t="n"/>
      <c r="B277" s="93" t="n"/>
      <c r="C277" s="95">
        <f>IF(B277="","",IFERROR(INDEX('Constants &amp; Enums'!$B$5:$B$200,MATCH(B277,'Constants &amp; Enums'!$A$5:$A$200,0)),IFERROR(INDEX('Metrics &amp; Formulas'!$B$5:$B$200,MATCH(B277,'Metrics &amp; Formulas'!$A$5:$A$200,0)),IFERROR(INDEX('Projections &amp; Dashboards'!$B$5:$B$200,MATCH(B277,'Projections &amp; Dashboards'!$A$5:$A$200,0)),IFERROR(INDEX(Funções!$O$5:$O$300,MATCH(B277,Funções!$A$5:$A$300,0)),IFERROR(INDEX(Telas!$C$5:$C$400,MATCH(B277,Telas!$A$5:$A$400,0)),IFERROR(INDEX(Roadmap!$D$6:$D$200,MATCH(B277,Roadmap!$A$6:$A$200,0)),IFERROR(INDEX(Modules!$C$5:$C$100,MATCH(B277,Modules!$A$5:$A$100,0)),"NOT FOUND"))))))))</f>
        <v/>
      </c>
      <c r="D277" s="95">
        <f>IF(B277="","",IF(C277="NOT FOUND","—",IFERROR(INDEX(Listas!$J$5:$J$13,MATCH(LEFT(B277,FIND("-",B277)-1),Listas!$I$5:$I$13,0)),"Module / area")))</f>
        <v/>
      </c>
      <c r="E277" s="93" t="n"/>
      <c r="F277" s="93" t="n"/>
      <c r="G277" s="95">
        <f>IF(F277="","",IFERROR(INDEX('Constants &amp; Enums'!$B$5:$B$200,MATCH(F277,'Constants &amp; Enums'!$A$5:$A$200,0)),IFERROR(INDEX('Metrics &amp; Formulas'!$B$5:$B$200,MATCH(F277,'Metrics &amp; Formulas'!$A$5:$A$200,0)),IFERROR(INDEX('Projections &amp; Dashboards'!$B$5:$B$200,MATCH(F277,'Projections &amp; Dashboards'!$A$5:$A$200,0)),IFERROR(INDEX(Funções!$O$5:$O$300,MATCH(F277,Funções!$A$5:$A$300,0)),IFERROR(INDEX(Telas!$C$5:$C$400,MATCH(F277,Telas!$A$5:$A$400,0)),IFERROR(INDEX(Roadmap!$D$6:$D$200,MATCH(F277,Roadmap!$A$6:$A$200,0)),IFERROR(INDEX(Modules!$C$5:$C$100,MATCH(F277,Modules!$A$5:$A$100,0)),"NOT FOUND"))))))))</f>
        <v/>
      </c>
      <c r="H277" s="95">
        <f>IF(F277="","",IF(G277="NOT FOUND","—",IFERROR(INDEX(Listas!$J$5:$J$13,MATCH(LEFT(F277,FIND("-",F277)-1),Listas!$I$5:$I$13,0)),"Module / area")))</f>
        <v/>
      </c>
      <c r="I277" s="95">
        <f>IF(AND(B277="",F277=""),"",IF(OR(C277="NOT FOUND",G277="NOT FOUND"),"✖ ID inexistente",IF(B277=F277,"✖ Autorreferência",IF(E277="","✖ Sem relação","✔ OK"))))</f>
        <v/>
      </c>
      <c r="J277" s="93" t="n"/>
    </row>
    <row r="278" ht="15" customHeight="1" s="50">
      <c r="A278" s="93" t="n"/>
      <c r="B278" s="93" t="n"/>
      <c r="C278" s="95">
        <f>IF(B278="","",IFERROR(INDEX('Constants &amp; Enums'!$B$5:$B$200,MATCH(B278,'Constants &amp; Enums'!$A$5:$A$200,0)),IFERROR(INDEX('Metrics &amp; Formulas'!$B$5:$B$200,MATCH(B278,'Metrics &amp; Formulas'!$A$5:$A$200,0)),IFERROR(INDEX('Projections &amp; Dashboards'!$B$5:$B$200,MATCH(B278,'Projections &amp; Dashboards'!$A$5:$A$200,0)),IFERROR(INDEX(Funções!$O$5:$O$300,MATCH(B278,Funções!$A$5:$A$300,0)),IFERROR(INDEX(Telas!$C$5:$C$400,MATCH(B278,Telas!$A$5:$A$400,0)),IFERROR(INDEX(Roadmap!$D$6:$D$200,MATCH(B278,Roadmap!$A$6:$A$200,0)),IFERROR(INDEX(Modules!$C$5:$C$100,MATCH(B278,Modules!$A$5:$A$100,0)),"NOT FOUND"))))))))</f>
        <v/>
      </c>
      <c r="D278" s="95">
        <f>IF(B278="","",IF(C278="NOT FOUND","—",IFERROR(INDEX(Listas!$J$5:$J$13,MATCH(LEFT(B278,FIND("-",B278)-1),Listas!$I$5:$I$13,0)),"Module / area")))</f>
        <v/>
      </c>
      <c r="E278" s="93" t="n"/>
      <c r="F278" s="93" t="n"/>
      <c r="G278" s="95">
        <f>IF(F278="","",IFERROR(INDEX('Constants &amp; Enums'!$B$5:$B$200,MATCH(F278,'Constants &amp; Enums'!$A$5:$A$200,0)),IFERROR(INDEX('Metrics &amp; Formulas'!$B$5:$B$200,MATCH(F278,'Metrics &amp; Formulas'!$A$5:$A$200,0)),IFERROR(INDEX('Projections &amp; Dashboards'!$B$5:$B$200,MATCH(F278,'Projections &amp; Dashboards'!$A$5:$A$200,0)),IFERROR(INDEX(Funções!$O$5:$O$300,MATCH(F278,Funções!$A$5:$A$300,0)),IFERROR(INDEX(Telas!$C$5:$C$400,MATCH(F278,Telas!$A$5:$A$400,0)),IFERROR(INDEX(Roadmap!$D$6:$D$200,MATCH(F278,Roadmap!$A$6:$A$200,0)),IFERROR(INDEX(Modules!$C$5:$C$100,MATCH(F278,Modules!$A$5:$A$100,0)),"NOT FOUND"))))))))</f>
        <v/>
      </c>
      <c r="H278" s="95">
        <f>IF(F278="","",IF(G278="NOT FOUND","—",IFERROR(INDEX(Listas!$J$5:$J$13,MATCH(LEFT(F278,FIND("-",F278)-1),Listas!$I$5:$I$13,0)),"Module / area")))</f>
        <v/>
      </c>
      <c r="I278" s="95">
        <f>IF(AND(B278="",F278=""),"",IF(OR(C278="NOT FOUND",G278="NOT FOUND"),"✖ ID inexistente",IF(B278=F278,"✖ Autorreferência",IF(E278="","✖ Sem relação","✔ OK"))))</f>
        <v/>
      </c>
      <c r="J278" s="93" t="n"/>
    </row>
    <row r="279" ht="15" customHeight="1" s="50">
      <c r="A279" s="93" t="n"/>
      <c r="B279" s="93" t="n"/>
      <c r="C279" s="95">
        <f>IF(B279="","",IFERROR(INDEX('Constants &amp; Enums'!$B$5:$B$200,MATCH(B279,'Constants &amp; Enums'!$A$5:$A$200,0)),IFERROR(INDEX('Metrics &amp; Formulas'!$B$5:$B$200,MATCH(B279,'Metrics &amp; Formulas'!$A$5:$A$200,0)),IFERROR(INDEX('Projections &amp; Dashboards'!$B$5:$B$200,MATCH(B279,'Projections &amp; Dashboards'!$A$5:$A$200,0)),IFERROR(INDEX(Funções!$O$5:$O$300,MATCH(B279,Funções!$A$5:$A$300,0)),IFERROR(INDEX(Telas!$C$5:$C$400,MATCH(B279,Telas!$A$5:$A$400,0)),IFERROR(INDEX(Roadmap!$D$6:$D$200,MATCH(B279,Roadmap!$A$6:$A$200,0)),IFERROR(INDEX(Modules!$C$5:$C$100,MATCH(B279,Modules!$A$5:$A$100,0)),"NOT FOUND"))))))))</f>
        <v/>
      </c>
      <c r="D279" s="95">
        <f>IF(B279="","",IF(C279="NOT FOUND","—",IFERROR(INDEX(Listas!$J$5:$J$13,MATCH(LEFT(B279,FIND("-",B279)-1),Listas!$I$5:$I$13,0)),"Module / area")))</f>
        <v/>
      </c>
      <c r="E279" s="93" t="n"/>
      <c r="F279" s="93" t="n"/>
      <c r="G279" s="95">
        <f>IF(F279="","",IFERROR(INDEX('Constants &amp; Enums'!$B$5:$B$200,MATCH(F279,'Constants &amp; Enums'!$A$5:$A$200,0)),IFERROR(INDEX('Metrics &amp; Formulas'!$B$5:$B$200,MATCH(F279,'Metrics &amp; Formulas'!$A$5:$A$200,0)),IFERROR(INDEX('Projections &amp; Dashboards'!$B$5:$B$200,MATCH(F279,'Projections &amp; Dashboards'!$A$5:$A$200,0)),IFERROR(INDEX(Funções!$O$5:$O$300,MATCH(F279,Funções!$A$5:$A$300,0)),IFERROR(INDEX(Telas!$C$5:$C$400,MATCH(F279,Telas!$A$5:$A$400,0)),IFERROR(INDEX(Roadmap!$D$6:$D$200,MATCH(F279,Roadmap!$A$6:$A$200,0)),IFERROR(INDEX(Modules!$C$5:$C$100,MATCH(F279,Modules!$A$5:$A$100,0)),"NOT FOUND"))))))))</f>
        <v/>
      </c>
      <c r="H279" s="95">
        <f>IF(F279="","",IF(G279="NOT FOUND","—",IFERROR(INDEX(Listas!$J$5:$J$13,MATCH(LEFT(F279,FIND("-",F279)-1),Listas!$I$5:$I$13,0)),"Module / area")))</f>
        <v/>
      </c>
      <c r="I279" s="95">
        <f>IF(AND(B279="",F279=""),"",IF(OR(C279="NOT FOUND",G279="NOT FOUND"),"✖ ID inexistente",IF(B279=F279,"✖ Autorreferência",IF(E279="","✖ Sem relação","✔ OK"))))</f>
        <v/>
      </c>
      <c r="J279" s="93" t="n"/>
    </row>
    <row r="280" ht="15" customHeight="1" s="50">
      <c r="A280" s="93" t="n"/>
      <c r="B280" s="93" t="n"/>
      <c r="C280" s="95">
        <f>IF(B280="","",IFERROR(INDEX('Constants &amp; Enums'!$B$5:$B$200,MATCH(B280,'Constants &amp; Enums'!$A$5:$A$200,0)),IFERROR(INDEX('Metrics &amp; Formulas'!$B$5:$B$200,MATCH(B280,'Metrics &amp; Formulas'!$A$5:$A$200,0)),IFERROR(INDEX('Projections &amp; Dashboards'!$B$5:$B$200,MATCH(B280,'Projections &amp; Dashboards'!$A$5:$A$200,0)),IFERROR(INDEX(Funções!$O$5:$O$300,MATCH(B280,Funções!$A$5:$A$300,0)),IFERROR(INDEX(Telas!$C$5:$C$400,MATCH(B280,Telas!$A$5:$A$400,0)),IFERROR(INDEX(Roadmap!$D$6:$D$200,MATCH(B280,Roadmap!$A$6:$A$200,0)),IFERROR(INDEX(Modules!$C$5:$C$100,MATCH(B280,Modules!$A$5:$A$100,0)),"NOT FOUND"))))))))</f>
        <v/>
      </c>
      <c r="D280" s="95">
        <f>IF(B280="","",IF(C280="NOT FOUND","—",IFERROR(INDEX(Listas!$J$5:$J$13,MATCH(LEFT(B280,FIND("-",B280)-1),Listas!$I$5:$I$13,0)),"Module / area")))</f>
        <v/>
      </c>
      <c r="E280" s="93" t="n"/>
      <c r="F280" s="93" t="n"/>
      <c r="G280" s="95">
        <f>IF(F280="","",IFERROR(INDEX('Constants &amp; Enums'!$B$5:$B$200,MATCH(F280,'Constants &amp; Enums'!$A$5:$A$200,0)),IFERROR(INDEX('Metrics &amp; Formulas'!$B$5:$B$200,MATCH(F280,'Metrics &amp; Formulas'!$A$5:$A$200,0)),IFERROR(INDEX('Projections &amp; Dashboards'!$B$5:$B$200,MATCH(F280,'Projections &amp; Dashboards'!$A$5:$A$200,0)),IFERROR(INDEX(Funções!$O$5:$O$300,MATCH(F280,Funções!$A$5:$A$300,0)),IFERROR(INDEX(Telas!$C$5:$C$400,MATCH(F280,Telas!$A$5:$A$400,0)),IFERROR(INDEX(Roadmap!$D$6:$D$200,MATCH(F280,Roadmap!$A$6:$A$200,0)),IFERROR(INDEX(Modules!$C$5:$C$100,MATCH(F280,Modules!$A$5:$A$100,0)),"NOT FOUND"))))))))</f>
        <v/>
      </c>
      <c r="H280" s="95">
        <f>IF(F280="","",IF(G280="NOT FOUND","—",IFERROR(INDEX(Listas!$J$5:$J$13,MATCH(LEFT(F280,FIND("-",F280)-1),Listas!$I$5:$I$13,0)),"Module / area")))</f>
        <v/>
      </c>
      <c r="I280" s="95">
        <f>IF(AND(B280="",F280=""),"",IF(OR(C280="NOT FOUND",G280="NOT FOUND"),"✖ ID inexistente",IF(B280=F280,"✖ Autorreferência",IF(E280="","✖ Sem relação","✔ OK"))))</f>
        <v/>
      </c>
      <c r="J280" s="93" t="n"/>
    </row>
    <row r="281" ht="15" customHeight="1" s="50">
      <c r="A281" s="93" t="n"/>
      <c r="B281" s="93" t="n"/>
      <c r="C281" s="95">
        <f>IF(B281="","",IFERROR(INDEX('Constants &amp; Enums'!$B$5:$B$200,MATCH(B281,'Constants &amp; Enums'!$A$5:$A$200,0)),IFERROR(INDEX('Metrics &amp; Formulas'!$B$5:$B$200,MATCH(B281,'Metrics &amp; Formulas'!$A$5:$A$200,0)),IFERROR(INDEX('Projections &amp; Dashboards'!$B$5:$B$200,MATCH(B281,'Projections &amp; Dashboards'!$A$5:$A$200,0)),IFERROR(INDEX(Funções!$O$5:$O$300,MATCH(B281,Funções!$A$5:$A$300,0)),IFERROR(INDEX(Telas!$C$5:$C$400,MATCH(B281,Telas!$A$5:$A$400,0)),IFERROR(INDEX(Roadmap!$D$6:$D$200,MATCH(B281,Roadmap!$A$6:$A$200,0)),IFERROR(INDEX(Modules!$C$5:$C$100,MATCH(B281,Modules!$A$5:$A$100,0)),"NOT FOUND"))))))))</f>
        <v/>
      </c>
      <c r="D281" s="95">
        <f>IF(B281="","",IF(C281="NOT FOUND","—",IFERROR(INDEX(Listas!$J$5:$J$13,MATCH(LEFT(B281,FIND("-",B281)-1),Listas!$I$5:$I$13,0)),"Module / area")))</f>
        <v/>
      </c>
      <c r="E281" s="93" t="n"/>
      <c r="F281" s="93" t="n"/>
      <c r="G281" s="95">
        <f>IF(F281="","",IFERROR(INDEX('Constants &amp; Enums'!$B$5:$B$200,MATCH(F281,'Constants &amp; Enums'!$A$5:$A$200,0)),IFERROR(INDEX('Metrics &amp; Formulas'!$B$5:$B$200,MATCH(F281,'Metrics &amp; Formulas'!$A$5:$A$200,0)),IFERROR(INDEX('Projections &amp; Dashboards'!$B$5:$B$200,MATCH(F281,'Projections &amp; Dashboards'!$A$5:$A$200,0)),IFERROR(INDEX(Funções!$O$5:$O$300,MATCH(F281,Funções!$A$5:$A$300,0)),IFERROR(INDEX(Telas!$C$5:$C$400,MATCH(F281,Telas!$A$5:$A$400,0)),IFERROR(INDEX(Roadmap!$D$6:$D$200,MATCH(F281,Roadmap!$A$6:$A$200,0)),IFERROR(INDEX(Modules!$C$5:$C$100,MATCH(F281,Modules!$A$5:$A$100,0)),"NOT FOUND"))))))))</f>
        <v/>
      </c>
      <c r="H281" s="95">
        <f>IF(F281="","",IF(G281="NOT FOUND","—",IFERROR(INDEX(Listas!$J$5:$J$13,MATCH(LEFT(F281,FIND("-",F281)-1),Listas!$I$5:$I$13,0)),"Module / area")))</f>
        <v/>
      </c>
      <c r="I281" s="95">
        <f>IF(AND(B281="",F281=""),"",IF(OR(C281="NOT FOUND",G281="NOT FOUND"),"✖ ID inexistente",IF(B281=F281,"✖ Autorreferência",IF(E281="","✖ Sem relação","✔ OK"))))</f>
        <v/>
      </c>
      <c r="J281" s="93" t="n"/>
    </row>
    <row r="282" ht="15" customHeight="1" s="50">
      <c r="A282" s="93" t="n"/>
      <c r="B282" s="93" t="n"/>
      <c r="C282" s="95">
        <f>IF(B282="","",IFERROR(INDEX('Constants &amp; Enums'!$B$5:$B$200,MATCH(B282,'Constants &amp; Enums'!$A$5:$A$200,0)),IFERROR(INDEX('Metrics &amp; Formulas'!$B$5:$B$200,MATCH(B282,'Metrics &amp; Formulas'!$A$5:$A$200,0)),IFERROR(INDEX('Projections &amp; Dashboards'!$B$5:$B$200,MATCH(B282,'Projections &amp; Dashboards'!$A$5:$A$200,0)),IFERROR(INDEX(Funções!$O$5:$O$300,MATCH(B282,Funções!$A$5:$A$300,0)),IFERROR(INDEX(Telas!$C$5:$C$400,MATCH(B282,Telas!$A$5:$A$400,0)),IFERROR(INDEX(Roadmap!$D$6:$D$200,MATCH(B282,Roadmap!$A$6:$A$200,0)),IFERROR(INDEX(Modules!$C$5:$C$100,MATCH(B282,Modules!$A$5:$A$100,0)),"NOT FOUND"))))))))</f>
        <v/>
      </c>
      <c r="D282" s="95">
        <f>IF(B282="","",IF(C282="NOT FOUND","—",IFERROR(INDEX(Listas!$J$5:$J$13,MATCH(LEFT(B282,FIND("-",B282)-1),Listas!$I$5:$I$13,0)),"Module / area")))</f>
        <v/>
      </c>
      <c r="E282" s="93" t="n"/>
      <c r="F282" s="93" t="n"/>
      <c r="G282" s="95">
        <f>IF(F282="","",IFERROR(INDEX('Constants &amp; Enums'!$B$5:$B$200,MATCH(F282,'Constants &amp; Enums'!$A$5:$A$200,0)),IFERROR(INDEX('Metrics &amp; Formulas'!$B$5:$B$200,MATCH(F282,'Metrics &amp; Formulas'!$A$5:$A$200,0)),IFERROR(INDEX('Projections &amp; Dashboards'!$B$5:$B$200,MATCH(F282,'Projections &amp; Dashboards'!$A$5:$A$200,0)),IFERROR(INDEX(Funções!$O$5:$O$300,MATCH(F282,Funções!$A$5:$A$300,0)),IFERROR(INDEX(Telas!$C$5:$C$400,MATCH(F282,Telas!$A$5:$A$400,0)),IFERROR(INDEX(Roadmap!$D$6:$D$200,MATCH(F282,Roadmap!$A$6:$A$200,0)),IFERROR(INDEX(Modules!$C$5:$C$100,MATCH(F282,Modules!$A$5:$A$100,0)),"NOT FOUND"))))))))</f>
        <v/>
      </c>
      <c r="H282" s="95">
        <f>IF(F282="","",IF(G282="NOT FOUND","—",IFERROR(INDEX(Listas!$J$5:$J$13,MATCH(LEFT(F282,FIND("-",F282)-1),Listas!$I$5:$I$13,0)),"Module / area")))</f>
        <v/>
      </c>
      <c r="I282" s="95">
        <f>IF(AND(B282="",F282=""),"",IF(OR(C282="NOT FOUND",G282="NOT FOUND"),"✖ ID inexistente",IF(B282=F282,"✖ Autorreferência",IF(E282="","✖ Sem relação","✔ OK"))))</f>
        <v/>
      </c>
      <c r="J282" s="93" t="n"/>
    </row>
    <row r="283" ht="15" customHeight="1" s="50">
      <c r="A283" s="93" t="n"/>
      <c r="B283" s="93" t="n"/>
      <c r="C283" s="95">
        <f>IF(B283="","",IFERROR(INDEX('Constants &amp; Enums'!$B$5:$B$200,MATCH(B283,'Constants &amp; Enums'!$A$5:$A$200,0)),IFERROR(INDEX('Metrics &amp; Formulas'!$B$5:$B$200,MATCH(B283,'Metrics &amp; Formulas'!$A$5:$A$200,0)),IFERROR(INDEX('Projections &amp; Dashboards'!$B$5:$B$200,MATCH(B283,'Projections &amp; Dashboards'!$A$5:$A$200,0)),IFERROR(INDEX(Funções!$O$5:$O$300,MATCH(B283,Funções!$A$5:$A$300,0)),IFERROR(INDEX(Telas!$C$5:$C$400,MATCH(B283,Telas!$A$5:$A$400,0)),IFERROR(INDEX(Roadmap!$D$6:$D$200,MATCH(B283,Roadmap!$A$6:$A$200,0)),IFERROR(INDEX(Modules!$C$5:$C$100,MATCH(B283,Modules!$A$5:$A$100,0)),"NOT FOUND"))))))))</f>
        <v/>
      </c>
      <c r="D283" s="95">
        <f>IF(B283="","",IF(C283="NOT FOUND","—",IFERROR(INDEX(Listas!$J$5:$J$13,MATCH(LEFT(B283,FIND("-",B283)-1),Listas!$I$5:$I$13,0)),"Module / area")))</f>
        <v/>
      </c>
      <c r="E283" s="93" t="n"/>
      <c r="F283" s="93" t="n"/>
      <c r="G283" s="95">
        <f>IF(F283="","",IFERROR(INDEX('Constants &amp; Enums'!$B$5:$B$200,MATCH(F283,'Constants &amp; Enums'!$A$5:$A$200,0)),IFERROR(INDEX('Metrics &amp; Formulas'!$B$5:$B$200,MATCH(F283,'Metrics &amp; Formulas'!$A$5:$A$200,0)),IFERROR(INDEX('Projections &amp; Dashboards'!$B$5:$B$200,MATCH(F283,'Projections &amp; Dashboards'!$A$5:$A$200,0)),IFERROR(INDEX(Funções!$O$5:$O$300,MATCH(F283,Funções!$A$5:$A$300,0)),IFERROR(INDEX(Telas!$C$5:$C$400,MATCH(F283,Telas!$A$5:$A$400,0)),IFERROR(INDEX(Roadmap!$D$6:$D$200,MATCH(F283,Roadmap!$A$6:$A$200,0)),IFERROR(INDEX(Modules!$C$5:$C$100,MATCH(F283,Modules!$A$5:$A$100,0)),"NOT FOUND"))))))))</f>
        <v/>
      </c>
      <c r="H283" s="95">
        <f>IF(F283="","",IF(G283="NOT FOUND","—",IFERROR(INDEX(Listas!$J$5:$J$13,MATCH(LEFT(F283,FIND("-",F283)-1),Listas!$I$5:$I$13,0)),"Module / area")))</f>
        <v/>
      </c>
      <c r="I283" s="95">
        <f>IF(AND(B283="",F283=""),"",IF(OR(C283="NOT FOUND",G283="NOT FOUND"),"✖ ID inexistente",IF(B283=F283,"✖ Autorreferência",IF(E283="","✖ Sem relação","✔ OK"))))</f>
        <v/>
      </c>
      <c r="J283" s="93" t="n"/>
    </row>
    <row r="284" ht="15" customHeight="1" s="50">
      <c r="A284" s="93" t="n"/>
      <c r="B284" s="93" t="n"/>
      <c r="C284" s="95">
        <f>IF(B284="","",IFERROR(INDEX('Constants &amp; Enums'!$B$5:$B$200,MATCH(B284,'Constants &amp; Enums'!$A$5:$A$200,0)),IFERROR(INDEX('Metrics &amp; Formulas'!$B$5:$B$200,MATCH(B284,'Metrics &amp; Formulas'!$A$5:$A$200,0)),IFERROR(INDEX('Projections &amp; Dashboards'!$B$5:$B$200,MATCH(B284,'Projections &amp; Dashboards'!$A$5:$A$200,0)),IFERROR(INDEX(Funções!$O$5:$O$300,MATCH(B284,Funções!$A$5:$A$300,0)),IFERROR(INDEX(Telas!$C$5:$C$400,MATCH(B284,Telas!$A$5:$A$400,0)),IFERROR(INDEX(Roadmap!$D$6:$D$200,MATCH(B284,Roadmap!$A$6:$A$200,0)),IFERROR(INDEX(Modules!$C$5:$C$100,MATCH(B284,Modules!$A$5:$A$100,0)),"NOT FOUND"))))))))</f>
        <v/>
      </c>
      <c r="D284" s="95">
        <f>IF(B284="","",IF(C284="NOT FOUND","—",IFERROR(INDEX(Listas!$J$5:$J$13,MATCH(LEFT(B284,FIND("-",B284)-1),Listas!$I$5:$I$13,0)),"Module / area")))</f>
        <v/>
      </c>
      <c r="E284" s="93" t="n"/>
      <c r="F284" s="93" t="n"/>
      <c r="G284" s="95">
        <f>IF(F284="","",IFERROR(INDEX('Constants &amp; Enums'!$B$5:$B$200,MATCH(F284,'Constants &amp; Enums'!$A$5:$A$200,0)),IFERROR(INDEX('Metrics &amp; Formulas'!$B$5:$B$200,MATCH(F284,'Metrics &amp; Formulas'!$A$5:$A$200,0)),IFERROR(INDEX('Projections &amp; Dashboards'!$B$5:$B$200,MATCH(F284,'Projections &amp; Dashboards'!$A$5:$A$200,0)),IFERROR(INDEX(Funções!$O$5:$O$300,MATCH(F284,Funções!$A$5:$A$300,0)),IFERROR(INDEX(Telas!$C$5:$C$400,MATCH(F284,Telas!$A$5:$A$400,0)),IFERROR(INDEX(Roadmap!$D$6:$D$200,MATCH(F284,Roadmap!$A$6:$A$200,0)),IFERROR(INDEX(Modules!$C$5:$C$100,MATCH(F284,Modules!$A$5:$A$100,0)),"NOT FOUND"))))))))</f>
        <v/>
      </c>
      <c r="H284" s="95">
        <f>IF(F284="","",IF(G284="NOT FOUND","—",IFERROR(INDEX(Listas!$J$5:$J$13,MATCH(LEFT(F284,FIND("-",F284)-1),Listas!$I$5:$I$13,0)),"Module / area")))</f>
        <v/>
      </c>
      <c r="I284" s="95">
        <f>IF(AND(B284="",F284=""),"",IF(OR(C284="NOT FOUND",G284="NOT FOUND"),"✖ ID inexistente",IF(B284=F284,"✖ Autorreferência",IF(E284="","✖ Sem relação","✔ OK"))))</f>
        <v/>
      </c>
      <c r="J284" s="93" t="n"/>
    </row>
    <row r="285" ht="15" customHeight="1" s="50">
      <c r="A285" s="93" t="n"/>
      <c r="B285" s="93" t="n"/>
      <c r="C285" s="95">
        <f>IF(B285="","",IFERROR(INDEX('Constants &amp; Enums'!$B$5:$B$200,MATCH(B285,'Constants &amp; Enums'!$A$5:$A$200,0)),IFERROR(INDEX('Metrics &amp; Formulas'!$B$5:$B$200,MATCH(B285,'Metrics &amp; Formulas'!$A$5:$A$200,0)),IFERROR(INDEX('Projections &amp; Dashboards'!$B$5:$B$200,MATCH(B285,'Projections &amp; Dashboards'!$A$5:$A$200,0)),IFERROR(INDEX(Funções!$O$5:$O$300,MATCH(B285,Funções!$A$5:$A$300,0)),IFERROR(INDEX(Telas!$C$5:$C$400,MATCH(B285,Telas!$A$5:$A$400,0)),IFERROR(INDEX(Roadmap!$D$6:$D$200,MATCH(B285,Roadmap!$A$6:$A$200,0)),IFERROR(INDEX(Modules!$C$5:$C$100,MATCH(B285,Modules!$A$5:$A$100,0)),"NOT FOUND"))))))))</f>
        <v/>
      </c>
      <c r="D285" s="95">
        <f>IF(B285="","",IF(C285="NOT FOUND","—",IFERROR(INDEX(Listas!$J$5:$J$13,MATCH(LEFT(B285,FIND("-",B285)-1),Listas!$I$5:$I$13,0)),"Module / area")))</f>
        <v/>
      </c>
      <c r="E285" s="93" t="n"/>
      <c r="F285" s="93" t="n"/>
      <c r="G285" s="95">
        <f>IF(F285="","",IFERROR(INDEX('Constants &amp; Enums'!$B$5:$B$200,MATCH(F285,'Constants &amp; Enums'!$A$5:$A$200,0)),IFERROR(INDEX('Metrics &amp; Formulas'!$B$5:$B$200,MATCH(F285,'Metrics &amp; Formulas'!$A$5:$A$200,0)),IFERROR(INDEX('Projections &amp; Dashboards'!$B$5:$B$200,MATCH(F285,'Projections &amp; Dashboards'!$A$5:$A$200,0)),IFERROR(INDEX(Funções!$O$5:$O$300,MATCH(F285,Funções!$A$5:$A$300,0)),IFERROR(INDEX(Telas!$C$5:$C$400,MATCH(F285,Telas!$A$5:$A$400,0)),IFERROR(INDEX(Roadmap!$D$6:$D$200,MATCH(F285,Roadmap!$A$6:$A$200,0)),IFERROR(INDEX(Modules!$C$5:$C$100,MATCH(F285,Modules!$A$5:$A$100,0)),"NOT FOUND"))))))))</f>
        <v/>
      </c>
      <c r="H285" s="95">
        <f>IF(F285="","",IF(G285="NOT FOUND","—",IFERROR(INDEX(Listas!$J$5:$J$13,MATCH(LEFT(F285,FIND("-",F285)-1),Listas!$I$5:$I$13,0)),"Module / area")))</f>
        <v/>
      </c>
      <c r="I285" s="95">
        <f>IF(AND(B285="",F285=""),"",IF(OR(C285="NOT FOUND",G285="NOT FOUND"),"✖ ID inexistente",IF(B285=F285,"✖ Autorreferência",IF(E285="","✖ Sem relação","✔ OK"))))</f>
        <v/>
      </c>
      <c r="J285" s="93" t="n"/>
    </row>
    <row r="286" ht="15" customHeight="1" s="50">
      <c r="A286" s="93" t="n"/>
      <c r="B286" s="93" t="n"/>
      <c r="C286" s="95">
        <f>IF(B286="","",IFERROR(INDEX('Constants &amp; Enums'!$B$5:$B$200,MATCH(B286,'Constants &amp; Enums'!$A$5:$A$200,0)),IFERROR(INDEX('Metrics &amp; Formulas'!$B$5:$B$200,MATCH(B286,'Metrics &amp; Formulas'!$A$5:$A$200,0)),IFERROR(INDEX('Projections &amp; Dashboards'!$B$5:$B$200,MATCH(B286,'Projections &amp; Dashboards'!$A$5:$A$200,0)),IFERROR(INDEX(Funções!$O$5:$O$300,MATCH(B286,Funções!$A$5:$A$300,0)),IFERROR(INDEX(Telas!$C$5:$C$400,MATCH(B286,Telas!$A$5:$A$400,0)),IFERROR(INDEX(Roadmap!$D$6:$D$200,MATCH(B286,Roadmap!$A$6:$A$200,0)),IFERROR(INDEX(Modules!$C$5:$C$100,MATCH(B286,Modules!$A$5:$A$100,0)),"NOT FOUND"))))))))</f>
        <v/>
      </c>
      <c r="D286" s="95">
        <f>IF(B286="","",IF(C286="NOT FOUND","—",IFERROR(INDEX(Listas!$J$5:$J$13,MATCH(LEFT(B286,FIND("-",B286)-1),Listas!$I$5:$I$13,0)),"Module / area")))</f>
        <v/>
      </c>
      <c r="E286" s="93" t="n"/>
      <c r="F286" s="93" t="n"/>
      <c r="G286" s="95">
        <f>IF(F286="","",IFERROR(INDEX('Constants &amp; Enums'!$B$5:$B$200,MATCH(F286,'Constants &amp; Enums'!$A$5:$A$200,0)),IFERROR(INDEX('Metrics &amp; Formulas'!$B$5:$B$200,MATCH(F286,'Metrics &amp; Formulas'!$A$5:$A$200,0)),IFERROR(INDEX('Projections &amp; Dashboards'!$B$5:$B$200,MATCH(F286,'Projections &amp; Dashboards'!$A$5:$A$200,0)),IFERROR(INDEX(Funções!$O$5:$O$300,MATCH(F286,Funções!$A$5:$A$300,0)),IFERROR(INDEX(Telas!$C$5:$C$400,MATCH(F286,Telas!$A$5:$A$400,0)),IFERROR(INDEX(Roadmap!$D$6:$D$200,MATCH(F286,Roadmap!$A$6:$A$200,0)),IFERROR(INDEX(Modules!$C$5:$C$100,MATCH(F286,Modules!$A$5:$A$100,0)),"NOT FOUND"))))))))</f>
        <v/>
      </c>
      <c r="H286" s="95">
        <f>IF(F286="","",IF(G286="NOT FOUND","—",IFERROR(INDEX(Listas!$J$5:$J$13,MATCH(LEFT(F286,FIND("-",F286)-1),Listas!$I$5:$I$13,0)),"Module / area")))</f>
        <v/>
      </c>
      <c r="I286" s="95">
        <f>IF(AND(B286="",F286=""),"",IF(OR(C286="NOT FOUND",G286="NOT FOUND"),"✖ ID inexistente",IF(B286=F286,"✖ Autorreferência",IF(E286="","✖ Sem relação","✔ OK"))))</f>
        <v/>
      </c>
      <c r="J286" s="93" t="n"/>
    </row>
    <row r="287" ht="15" customHeight="1" s="50">
      <c r="A287" s="93" t="n"/>
      <c r="B287" s="93" t="n"/>
      <c r="C287" s="95">
        <f>IF(B287="","",IFERROR(INDEX('Constants &amp; Enums'!$B$5:$B$200,MATCH(B287,'Constants &amp; Enums'!$A$5:$A$200,0)),IFERROR(INDEX('Metrics &amp; Formulas'!$B$5:$B$200,MATCH(B287,'Metrics &amp; Formulas'!$A$5:$A$200,0)),IFERROR(INDEX('Projections &amp; Dashboards'!$B$5:$B$200,MATCH(B287,'Projections &amp; Dashboards'!$A$5:$A$200,0)),IFERROR(INDEX(Funções!$O$5:$O$300,MATCH(B287,Funções!$A$5:$A$300,0)),IFERROR(INDEX(Telas!$C$5:$C$400,MATCH(B287,Telas!$A$5:$A$400,0)),IFERROR(INDEX(Roadmap!$D$6:$D$200,MATCH(B287,Roadmap!$A$6:$A$200,0)),IFERROR(INDEX(Modules!$C$5:$C$100,MATCH(B287,Modules!$A$5:$A$100,0)),"NOT FOUND"))))))))</f>
        <v/>
      </c>
      <c r="D287" s="95">
        <f>IF(B287="","",IF(C287="NOT FOUND","—",IFERROR(INDEX(Listas!$J$5:$J$13,MATCH(LEFT(B287,FIND("-",B287)-1),Listas!$I$5:$I$13,0)),"Module / area")))</f>
        <v/>
      </c>
      <c r="E287" s="93" t="n"/>
      <c r="F287" s="93" t="n"/>
      <c r="G287" s="95">
        <f>IF(F287="","",IFERROR(INDEX('Constants &amp; Enums'!$B$5:$B$200,MATCH(F287,'Constants &amp; Enums'!$A$5:$A$200,0)),IFERROR(INDEX('Metrics &amp; Formulas'!$B$5:$B$200,MATCH(F287,'Metrics &amp; Formulas'!$A$5:$A$200,0)),IFERROR(INDEX('Projections &amp; Dashboards'!$B$5:$B$200,MATCH(F287,'Projections &amp; Dashboards'!$A$5:$A$200,0)),IFERROR(INDEX(Funções!$O$5:$O$300,MATCH(F287,Funções!$A$5:$A$300,0)),IFERROR(INDEX(Telas!$C$5:$C$400,MATCH(F287,Telas!$A$5:$A$400,0)),IFERROR(INDEX(Roadmap!$D$6:$D$200,MATCH(F287,Roadmap!$A$6:$A$200,0)),IFERROR(INDEX(Modules!$C$5:$C$100,MATCH(F287,Modules!$A$5:$A$100,0)),"NOT FOUND"))))))))</f>
        <v/>
      </c>
      <c r="H287" s="95">
        <f>IF(F287="","",IF(G287="NOT FOUND","—",IFERROR(INDEX(Listas!$J$5:$J$13,MATCH(LEFT(F287,FIND("-",F287)-1),Listas!$I$5:$I$13,0)),"Module / area")))</f>
        <v/>
      </c>
      <c r="I287" s="95">
        <f>IF(AND(B287="",F287=""),"",IF(OR(C287="NOT FOUND",G287="NOT FOUND"),"✖ ID inexistente",IF(B287=F287,"✖ Autorreferência",IF(E287="","✖ Sem relação","✔ OK"))))</f>
        <v/>
      </c>
      <c r="J287" s="93" t="n"/>
    </row>
    <row r="288" ht="15" customHeight="1" s="50">
      <c r="A288" s="93" t="n"/>
      <c r="B288" s="93" t="n"/>
      <c r="C288" s="95">
        <f>IF(B288="","",IFERROR(INDEX('Constants &amp; Enums'!$B$5:$B$200,MATCH(B288,'Constants &amp; Enums'!$A$5:$A$200,0)),IFERROR(INDEX('Metrics &amp; Formulas'!$B$5:$B$200,MATCH(B288,'Metrics &amp; Formulas'!$A$5:$A$200,0)),IFERROR(INDEX('Projections &amp; Dashboards'!$B$5:$B$200,MATCH(B288,'Projections &amp; Dashboards'!$A$5:$A$200,0)),IFERROR(INDEX(Funções!$O$5:$O$300,MATCH(B288,Funções!$A$5:$A$300,0)),IFERROR(INDEX(Telas!$C$5:$C$400,MATCH(B288,Telas!$A$5:$A$400,0)),IFERROR(INDEX(Roadmap!$D$6:$D$200,MATCH(B288,Roadmap!$A$6:$A$200,0)),IFERROR(INDEX(Modules!$C$5:$C$100,MATCH(B288,Modules!$A$5:$A$100,0)),"NOT FOUND"))))))))</f>
        <v/>
      </c>
      <c r="D288" s="95">
        <f>IF(B288="","",IF(C288="NOT FOUND","—",IFERROR(INDEX(Listas!$J$5:$J$13,MATCH(LEFT(B288,FIND("-",B288)-1),Listas!$I$5:$I$13,0)),"Module / area")))</f>
        <v/>
      </c>
      <c r="E288" s="93" t="n"/>
      <c r="F288" s="93" t="n"/>
      <c r="G288" s="95">
        <f>IF(F288="","",IFERROR(INDEX('Constants &amp; Enums'!$B$5:$B$200,MATCH(F288,'Constants &amp; Enums'!$A$5:$A$200,0)),IFERROR(INDEX('Metrics &amp; Formulas'!$B$5:$B$200,MATCH(F288,'Metrics &amp; Formulas'!$A$5:$A$200,0)),IFERROR(INDEX('Projections &amp; Dashboards'!$B$5:$B$200,MATCH(F288,'Projections &amp; Dashboards'!$A$5:$A$200,0)),IFERROR(INDEX(Funções!$O$5:$O$300,MATCH(F288,Funções!$A$5:$A$300,0)),IFERROR(INDEX(Telas!$C$5:$C$400,MATCH(F288,Telas!$A$5:$A$400,0)),IFERROR(INDEX(Roadmap!$D$6:$D$200,MATCH(F288,Roadmap!$A$6:$A$200,0)),IFERROR(INDEX(Modules!$C$5:$C$100,MATCH(F288,Modules!$A$5:$A$100,0)),"NOT FOUND"))))))))</f>
        <v/>
      </c>
      <c r="H288" s="95">
        <f>IF(F288="","",IF(G288="NOT FOUND","—",IFERROR(INDEX(Listas!$J$5:$J$13,MATCH(LEFT(F288,FIND("-",F288)-1),Listas!$I$5:$I$13,0)),"Module / area")))</f>
        <v/>
      </c>
      <c r="I288" s="95">
        <f>IF(AND(B288="",F288=""),"",IF(OR(C288="NOT FOUND",G288="NOT FOUND"),"✖ ID inexistente",IF(B288=F288,"✖ Autorreferência",IF(E288="","✖ Sem relação","✔ OK"))))</f>
        <v/>
      </c>
      <c r="J288" s="93" t="n"/>
    </row>
    <row r="289" ht="15" customHeight="1" s="50">
      <c r="A289" s="93" t="n"/>
      <c r="B289" s="93" t="n"/>
      <c r="C289" s="95">
        <f>IF(B289="","",IFERROR(INDEX('Constants &amp; Enums'!$B$5:$B$200,MATCH(B289,'Constants &amp; Enums'!$A$5:$A$200,0)),IFERROR(INDEX('Metrics &amp; Formulas'!$B$5:$B$200,MATCH(B289,'Metrics &amp; Formulas'!$A$5:$A$200,0)),IFERROR(INDEX('Projections &amp; Dashboards'!$B$5:$B$200,MATCH(B289,'Projections &amp; Dashboards'!$A$5:$A$200,0)),IFERROR(INDEX(Funções!$O$5:$O$300,MATCH(B289,Funções!$A$5:$A$300,0)),IFERROR(INDEX(Telas!$C$5:$C$400,MATCH(B289,Telas!$A$5:$A$400,0)),IFERROR(INDEX(Roadmap!$D$6:$D$200,MATCH(B289,Roadmap!$A$6:$A$200,0)),IFERROR(INDEX(Modules!$C$5:$C$100,MATCH(B289,Modules!$A$5:$A$100,0)),"NOT FOUND"))))))))</f>
        <v/>
      </c>
      <c r="D289" s="95">
        <f>IF(B289="","",IF(C289="NOT FOUND","—",IFERROR(INDEX(Listas!$J$5:$J$13,MATCH(LEFT(B289,FIND("-",B289)-1),Listas!$I$5:$I$13,0)),"Module / area")))</f>
        <v/>
      </c>
      <c r="E289" s="93" t="n"/>
      <c r="F289" s="93" t="n"/>
      <c r="G289" s="95">
        <f>IF(F289="","",IFERROR(INDEX('Constants &amp; Enums'!$B$5:$B$200,MATCH(F289,'Constants &amp; Enums'!$A$5:$A$200,0)),IFERROR(INDEX('Metrics &amp; Formulas'!$B$5:$B$200,MATCH(F289,'Metrics &amp; Formulas'!$A$5:$A$200,0)),IFERROR(INDEX('Projections &amp; Dashboards'!$B$5:$B$200,MATCH(F289,'Projections &amp; Dashboards'!$A$5:$A$200,0)),IFERROR(INDEX(Funções!$O$5:$O$300,MATCH(F289,Funções!$A$5:$A$300,0)),IFERROR(INDEX(Telas!$C$5:$C$400,MATCH(F289,Telas!$A$5:$A$400,0)),IFERROR(INDEX(Roadmap!$D$6:$D$200,MATCH(F289,Roadmap!$A$6:$A$200,0)),IFERROR(INDEX(Modules!$C$5:$C$100,MATCH(F289,Modules!$A$5:$A$100,0)),"NOT FOUND"))))))))</f>
        <v/>
      </c>
      <c r="H289" s="95">
        <f>IF(F289="","",IF(G289="NOT FOUND","—",IFERROR(INDEX(Listas!$J$5:$J$13,MATCH(LEFT(F289,FIND("-",F289)-1),Listas!$I$5:$I$13,0)),"Module / area")))</f>
        <v/>
      </c>
      <c r="I289" s="95">
        <f>IF(AND(B289="",F289=""),"",IF(OR(C289="NOT FOUND",G289="NOT FOUND"),"✖ ID inexistente",IF(B289=F289,"✖ Autorreferência",IF(E289="","✖ Sem relação","✔ OK"))))</f>
        <v/>
      </c>
      <c r="J289" s="93" t="n"/>
    </row>
    <row r="290" ht="15" customHeight="1" s="50">
      <c r="A290" s="93" t="n"/>
      <c r="B290" s="93" t="n"/>
      <c r="C290" s="95">
        <f>IF(B290="","",IFERROR(INDEX('Constants &amp; Enums'!$B$5:$B$200,MATCH(B290,'Constants &amp; Enums'!$A$5:$A$200,0)),IFERROR(INDEX('Metrics &amp; Formulas'!$B$5:$B$200,MATCH(B290,'Metrics &amp; Formulas'!$A$5:$A$200,0)),IFERROR(INDEX('Projections &amp; Dashboards'!$B$5:$B$200,MATCH(B290,'Projections &amp; Dashboards'!$A$5:$A$200,0)),IFERROR(INDEX(Funções!$O$5:$O$300,MATCH(B290,Funções!$A$5:$A$300,0)),IFERROR(INDEX(Telas!$C$5:$C$400,MATCH(B290,Telas!$A$5:$A$400,0)),IFERROR(INDEX(Roadmap!$D$6:$D$200,MATCH(B290,Roadmap!$A$6:$A$200,0)),IFERROR(INDEX(Modules!$C$5:$C$100,MATCH(B290,Modules!$A$5:$A$100,0)),"NOT FOUND"))))))))</f>
        <v/>
      </c>
      <c r="D290" s="95">
        <f>IF(B290="","",IF(C290="NOT FOUND","—",IFERROR(INDEX(Listas!$J$5:$J$13,MATCH(LEFT(B290,FIND("-",B290)-1),Listas!$I$5:$I$13,0)),"Module / area")))</f>
        <v/>
      </c>
      <c r="E290" s="93" t="n"/>
      <c r="F290" s="93" t="n"/>
      <c r="G290" s="95">
        <f>IF(F290="","",IFERROR(INDEX('Constants &amp; Enums'!$B$5:$B$200,MATCH(F290,'Constants &amp; Enums'!$A$5:$A$200,0)),IFERROR(INDEX('Metrics &amp; Formulas'!$B$5:$B$200,MATCH(F290,'Metrics &amp; Formulas'!$A$5:$A$200,0)),IFERROR(INDEX('Projections &amp; Dashboards'!$B$5:$B$200,MATCH(F290,'Projections &amp; Dashboards'!$A$5:$A$200,0)),IFERROR(INDEX(Funções!$O$5:$O$300,MATCH(F290,Funções!$A$5:$A$300,0)),IFERROR(INDEX(Telas!$C$5:$C$400,MATCH(F290,Telas!$A$5:$A$400,0)),IFERROR(INDEX(Roadmap!$D$6:$D$200,MATCH(F290,Roadmap!$A$6:$A$200,0)),IFERROR(INDEX(Modules!$C$5:$C$100,MATCH(F290,Modules!$A$5:$A$100,0)),"NOT FOUND"))))))))</f>
        <v/>
      </c>
      <c r="H290" s="95">
        <f>IF(F290="","",IF(G290="NOT FOUND","—",IFERROR(INDEX(Listas!$J$5:$J$13,MATCH(LEFT(F290,FIND("-",F290)-1),Listas!$I$5:$I$13,0)),"Module / area")))</f>
        <v/>
      </c>
      <c r="I290" s="95">
        <f>IF(AND(B290="",F290=""),"",IF(OR(C290="NOT FOUND",G290="NOT FOUND"),"✖ ID inexistente",IF(B290=F290,"✖ Autorreferência",IF(E290="","✖ Sem relação","✔ OK"))))</f>
        <v/>
      </c>
      <c r="J290" s="93" t="n"/>
    </row>
    <row r="291" ht="15" customHeight="1" s="50">
      <c r="A291" s="93" t="n"/>
      <c r="B291" s="93" t="n"/>
      <c r="C291" s="95">
        <f>IF(B291="","",IFERROR(INDEX('Constants &amp; Enums'!$B$5:$B$200,MATCH(B291,'Constants &amp; Enums'!$A$5:$A$200,0)),IFERROR(INDEX('Metrics &amp; Formulas'!$B$5:$B$200,MATCH(B291,'Metrics &amp; Formulas'!$A$5:$A$200,0)),IFERROR(INDEX('Projections &amp; Dashboards'!$B$5:$B$200,MATCH(B291,'Projections &amp; Dashboards'!$A$5:$A$200,0)),IFERROR(INDEX(Funções!$O$5:$O$300,MATCH(B291,Funções!$A$5:$A$300,0)),IFERROR(INDEX(Telas!$C$5:$C$400,MATCH(B291,Telas!$A$5:$A$400,0)),IFERROR(INDEX(Roadmap!$D$6:$D$200,MATCH(B291,Roadmap!$A$6:$A$200,0)),IFERROR(INDEX(Modules!$C$5:$C$100,MATCH(B291,Modules!$A$5:$A$100,0)),"NOT FOUND"))))))))</f>
        <v/>
      </c>
      <c r="D291" s="95">
        <f>IF(B291="","",IF(C291="NOT FOUND","—",IFERROR(INDEX(Listas!$J$5:$J$13,MATCH(LEFT(B291,FIND("-",B291)-1),Listas!$I$5:$I$13,0)),"Module / area")))</f>
        <v/>
      </c>
      <c r="E291" s="93" t="n"/>
      <c r="F291" s="93" t="n"/>
      <c r="G291" s="95">
        <f>IF(F291="","",IFERROR(INDEX('Constants &amp; Enums'!$B$5:$B$200,MATCH(F291,'Constants &amp; Enums'!$A$5:$A$200,0)),IFERROR(INDEX('Metrics &amp; Formulas'!$B$5:$B$200,MATCH(F291,'Metrics &amp; Formulas'!$A$5:$A$200,0)),IFERROR(INDEX('Projections &amp; Dashboards'!$B$5:$B$200,MATCH(F291,'Projections &amp; Dashboards'!$A$5:$A$200,0)),IFERROR(INDEX(Funções!$O$5:$O$300,MATCH(F291,Funções!$A$5:$A$300,0)),IFERROR(INDEX(Telas!$C$5:$C$400,MATCH(F291,Telas!$A$5:$A$400,0)),IFERROR(INDEX(Roadmap!$D$6:$D$200,MATCH(F291,Roadmap!$A$6:$A$200,0)),IFERROR(INDEX(Modules!$C$5:$C$100,MATCH(F291,Modules!$A$5:$A$100,0)),"NOT FOUND"))))))))</f>
        <v/>
      </c>
      <c r="H291" s="95">
        <f>IF(F291="","",IF(G291="NOT FOUND","—",IFERROR(INDEX(Listas!$J$5:$J$13,MATCH(LEFT(F291,FIND("-",F291)-1),Listas!$I$5:$I$13,0)),"Module / area")))</f>
        <v/>
      </c>
      <c r="I291" s="95">
        <f>IF(AND(B291="",F291=""),"",IF(OR(C291="NOT FOUND",G291="NOT FOUND"),"✖ ID inexistente",IF(B291=F291,"✖ Autorreferência",IF(E291="","✖ Sem relação","✔ OK"))))</f>
        <v/>
      </c>
      <c r="J291" s="93" t="n"/>
    </row>
    <row r="292" ht="15" customHeight="1" s="50">
      <c r="A292" s="93" t="n"/>
      <c r="B292" s="93" t="n"/>
      <c r="C292" s="95">
        <f>IF(B292="","",IFERROR(INDEX('Constants &amp; Enums'!$B$5:$B$200,MATCH(B292,'Constants &amp; Enums'!$A$5:$A$200,0)),IFERROR(INDEX('Metrics &amp; Formulas'!$B$5:$B$200,MATCH(B292,'Metrics &amp; Formulas'!$A$5:$A$200,0)),IFERROR(INDEX('Projections &amp; Dashboards'!$B$5:$B$200,MATCH(B292,'Projections &amp; Dashboards'!$A$5:$A$200,0)),IFERROR(INDEX(Funções!$O$5:$O$300,MATCH(B292,Funções!$A$5:$A$300,0)),IFERROR(INDEX(Telas!$C$5:$C$400,MATCH(B292,Telas!$A$5:$A$400,0)),IFERROR(INDEX(Roadmap!$D$6:$D$200,MATCH(B292,Roadmap!$A$6:$A$200,0)),IFERROR(INDEX(Modules!$C$5:$C$100,MATCH(B292,Modules!$A$5:$A$100,0)),"NOT FOUND"))))))))</f>
        <v/>
      </c>
      <c r="D292" s="95">
        <f>IF(B292="","",IF(C292="NOT FOUND","—",IFERROR(INDEX(Listas!$J$5:$J$13,MATCH(LEFT(B292,FIND("-",B292)-1),Listas!$I$5:$I$13,0)),"Module / area")))</f>
        <v/>
      </c>
      <c r="E292" s="93" t="n"/>
      <c r="F292" s="93" t="n"/>
      <c r="G292" s="95">
        <f>IF(F292="","",IFERROR(INDEX('Constants &amp; Enums'!$B$5:$B$200,MATCH(F292,'Constants &amp; Enums'!$A$5:$A$200,0)),IFERROR(INDEX('Metrics &amp; Formulas'!$B$5:$B$200,MATCH(F292,'Metrics &amp; Formulas'!$A$5:$A$200,0)),IFERROR(INDEX('Projections &amp; Dashboards'!$B$5:$B$200,MATCH(F292,'Projections &amp; Dashboards'!$A$5:$A$200,0)),IFERROR(INDEX(Funções!$O$5:$O$300,MATCH(F292,Funções!$A$5:$A$300,0)),IFERROR(INDEX(Telas!$C$5:$C$400,MATCH(F292,Telas!$A$5:$A$400,0)),IFERROR(INDEX(Roadmap!$D$6:$D$200,MATCH(F292,Roadmap!$A$6:$A$200,0)),IFERROR(INDEX(Modules!$C$5:$C$100,MATCH(F292,Modules!$A$5:$A$100,0)),"NOT FOUND"))))))))</f>
        <v/>
      </c>
      <c r="H292" s="95">
        <f>IF(F292="","",IF(G292="NOT FOUND","—",IFERROR(INDEX(Listas!$J$5:$J$13,MATCH(LEFT(F292,FIND("-",F292)-1),Listas!$I$5:$I$13,0)),"Module / area")))</f>
        <v/>
      </c>
      <c r="I292" s="95">
        <f>IF(AND(B292="",F292=""),"",IF(OR(C292="NOT FOUND",G292="NOT FOUND"),"✖ ID inexistente",IF(B292=F292,"✖ Autorreferência",IF(E292="","✖ Sem relação","✔ OK"))))</f>
        <v/>
      </c>
      <c r="J292" s="93" t="n"/>
    </row>
    <row r="293" ht="15" customHeight="1" s="50">
      <c r="A293" s="93" t="n"/>
      <c r="B293" s="93" t="n"/>
      <c r="C293" s="95">
        <f>IF(B293="","",IFERROR(INDEX('Constants &amp; Enums'!$B$5:$B$200,MATCH(B293,'Constants &amp; Enums'!$A$5:$A$200,0)),IFERROR(INDEX('Metrics &amp; Formulas'!$B$5:$B$200,MATCH(B293,'Metrics &amp; Formulas'!$A$5:$A$200,0)),IFERROR(INDEX('Projections &amp; Dashboards'!$B$5:$B$200,MATCH(B293,'Projections &amp; Dashboards'!$A$5:$A$200,0)),IFERROR(INDEX(Funções!$O$5:$O$300,MATCH(B293,Funções!$A$5:$A$300,0)),IFERROR(INDEX(Telas!$C$5:$C$400,MATCH(B293,Telas!$A$5:$A$400,0)),IFERROR(INDEX(Roadmap!$D$6:$D$200,MATCH(B293,Roadmap!$A$6:$A$200,0)),IFERROR(INDEX(Modules!$C$5:$C$100,MATCH(B293,Modules!$A$5:$A$100,0)),"NOT FOUND"))))))))</f>
        <v/>
      </c>
      <c r="D293" s="95">
        <f>IF(B293="","",IF(C293="NOT FOUND","—",IFERROR(INDEX(Listas!$J$5:$J$13,MATCH(LEFT(B293,FIND("-",B293)-1),Listas!$I$5:$I$13,0)),"Module / area")))</f>
        <v/>
      </c>
      <c r="E293" s="93" t="n"/>
      <c r="F293" s="93" t="n"/>
      <c r="G293" s="95">
        <f>IF(F293="","",IFERROR(INDEX('Constants &amp; Enums'!$B$5:$B$200,MATCH(F293,'Constants &amp; Enums'!$A$5:$A$200,0)),IFERROR(INDEX('Metrics &amp; Formulas'!$B$5:$B$200,MATCH(F293,'Metrics &amp; Formulas'!$A$5:$A$200,0)),IFERROR(INDEX('Projections &amp; Dashboards'!$B$5:$B$200,MATCH(F293,'Projections &amp; Dashboards'!$A$5:$A$200,0)),IFERROR(INDEX(Funções!$O$5:$O$300,MATCH(F293,Funções!$A$5:$A$300,0)),IFERROR(INDEX(Telas!$C$5:$C$400,MATCH(F293,Telas!$A$5:$A$400,0)),IFERROR(INDEX(Roadmap!$D$6:$D$200,MATCH(F293,Roadmap!$A$6:$A$200,0)),IFERROR(INDEX(Modules!$C$5:$C$100,MATCH(F293,Modules!$A$5:$A$100,0)),"NOT FOUND"))))))))</f>
        <v/>
      </c>
      <c r="H293" s="95">
        <f>IF(F293="","",IF(G293="NOT FOUND","—",IFERROR(INDEX(Listas!$J$5:$J$13,MATCH(LEFT(F293,FIND("-",F293)-1),Listas!$I$5:$I$13,0)),"Module / area")))</f>
        <v/>
      </c>
      <c r="I293" s="95">
        <f>IF(AND(B293="",F293=""),"",IF(OR(C293="NOT FOUND",G293="NOT FOUND"),"✖ ID inexistente",IF(B293=F293,"✖ Autorreferência",IF(E293="","✖ Sem relação","✔ OK"))))</f>
        <v/>
      </c>
      <c r="J293" s="93" t="n"/>
    </row>
    <row r="294" ht="15" customHeight="1" s="50">
      <c r="A294" s="93" t="n"/>
      <c r="B294" s="93" t="n"/>
      <c r="C294" s="95">
        <f>IF(B294="","",IFERROR(INDEX('Constants &amp; Enums'!$B$5:$B$200,MATCH(B294,'Constants &amp; Enums'!$A$5:$A$200,0)),IFERROR(INDEX('Metrics &amp; Formulas'!$B$5:$B$200,MATCH(B294,'Metrics &amp; Formulas'!$A$5:$A$200,0)),IFERROR(INDEX('Projections &amp; Dashboards'!$B$5:$B$200,MATCH(B294,'Projections &amp; Dashboards'!$A$5:$A$200,0)),IFERROR(INDEX(Funções!$O$5:$O$300,MATCH(B294,Funções!$A$5:$A$300,0)),IFERROR(INDEX(Telas!$C$5:$C$400,MATCH(B294,Telas!$A$5:$A$400,0)),IFERROR(INDEX(Roadmap!$D$6:$D$200,MATCH(B294,Roadmap!$A$6:$A$200,0)),IFERROR(INDEX(Modules!$C$5:$C$100,MATCH(B294,Modules!$A$5:$A$100,0)),"NOT FOUND"))))))))</f>
        <v/>
      </c>
      <c r="D294" s="95">
        <f>IF(B294="","",IF(C294="NOT FOUND","—",IFERROR(INDEX(Listas!$J$5:$J$13,MATCH(LEFT(B294,FIND("-",B294)-1),Listas!$I$5:$I$13,0)),"Module / area")))</f>
        <v/>
      </c>
      <c r="E294" s="93" t="n"/>
      <c r="F294" s="93" t="n"/>
      <c r="G294" s="95">
        <f>IF(F294="","",IFERROR(INDEX('Constants &amp; Enums'!$B$5:$B$200,MATCH(F294,'Constants &amp; Enums'!$A$5:$A$200,0)),IFERROR(INDEX('Metrics &amp; Formulas'!$B$5:$B$200,MATCH(F294,'Metrics &amp; Formulas'!$A$5:$A$200,0)),IFERROR(INDEX('Projections &amp; Dashboards'!$B$5:$B$200,MATCH(F294,'Projections &amp; Dashboards'!$A$5:$A$200,0)),IFERROR(INDEX(Funções!$O$5:$O$300,MATCH(F294,Funções!$A$5:$A$300,0)),IFERROR(INDEX(Telas!$C$5:$C$400,MATCH(F294,Telas!$A$5:$A$400,0)),IFERROR(INDEX(Roadmap!$D$6:$D$200,MATCH(F294,Roadmap!$A$6:$A$200,0)),IFERROR(INDEX(Modules!$C$5:$C$100,MATCH(F294,Modules!$A$5:$A$100,0)),"NOT FOUND"))))))))</f>
        <v/>
      </c>
      <c r="H294" s="95">
        <f>IF(F294="","",IF(G294="NOT FOUND","—",IFERROR(INDEX(Listas!$J$5:$J$13,MATCH(LEFT(F294,FIND("-",F294)-1),Listas!$I$5:$I$13,0)),"Module / area")))</f>
        <v/>
      </c>
      <c r="I294" s="95">
        <f>IF(AND(B294="",F294=""),"",IF(OR(C294="NOT FOUND",G294="NOT FOUND"),"✖ ID inexistente",IF(B294=F294,"✖ Autorreferência",IF(E294="","✖ Sem relação","✔ OK"))))</f>
        <v/>
      </c>
      <c r="J294" s="93" t="n"/>
    </row>
    <row r="295" ht="15" customHeight="1" s="50">
      <c r="A295" s="93" t="n"/>
      <c r="B295" s="93" t="n"/>
      <c r="C295" s="95">
        <f>IF(B295="","",IFERROR(INDEX('Constants &amp; Enums'!$B$5:$B$200,MATCH(B295,'Constants &amp; Enums'!$A$5:$A$200,0)),IFERROR(INDEX('Metrics &amp; Formulas'!$B$5:$B$200,MATCH(B295,'Metrics &amp; Formulas'!$A$5:$A$200,0)),IFERROR(INDEX('Projections &amp; Dashboards'!$B$5:$B$200,MATCH(B295,'Projections &amp; Dashboards'!$A$5:$A$200,0)),IFERROR(INDEX(Funções!$O$5:$O$300,MATCH(B295,Funções!$A$5:$A$300,0)),IFERROR(INDEX(Telas!$C$5:$C$400,MATCH(B295,Telas!$A$5:$A$400,0)),IFERROR(INDEX(Roadmap!$D$6:$D$200,MATCH(B295,Roadmap!$A$6:$A$200,0)),IFERROR(INDEX(Modules!$C$5:$C$100,MATCH(B295,Modules!$A$5:$A$100,0)),"NOT FOUND"))))))))</f>
        <v/>
      </c>
      <c r="D295" s="95">
        <f>IF(B295="","",IF(C295="NOT FOUND","—",IFERROR(INDEX(Listas!$J$5:$J$13,MATCH(LEFT(B295,FIND("-",B295)-1),Listas!$I$5:$I$13,0)),"Module / area")))</f>
        <v/>
      </c>
      <c r="E295" s="93" t="n"/>
      <c r="F295" s="93" t="n"/>
      <c r="G295" s="95">
        <f>IF(F295="","",IFERROR(INDEX('Constants &amp; Enums'!$B$5:$B$200,MATCH(F295,'Constants &amp; Enums'!$A$5:$A$200,0)),IFERROR(INDEX('Metrics &amp; Formulas'!$B$5:$B$200,MATCH(F295,'Metrics &amp; Formulas'!$A$5:$A$200,0)),IFERROR(INDEX('Projections &amp; Dashboards'!$B$5:$B$200,MATCH(F295,'Projections &amp; Dashboards'!$A$5:$A$200,0)),IFERROR(INDEX(Funções!$O$5:$O$300,MATCH(F295,Funções!$A$5:$A$300,0)),IFERROR(INDEX(Telas!$C$5:$C$400,MATCH(F295,Telas!$A$5:$A$400,0)),IFERROR(INDEX(Roadmap!$D$6:$D$200,MATCH(F295,Roadmap!$A$6:$A$200,0)),IFERROR(INDEX(Modules!$C$5:$C$100,MATCH(F295,Modules!$A$5:$A$100,0)),"NOT FOUND"))))))))</f>
        <v/>
      </c>
      <c r="H295" s="95">
        <f>IF(F295="","",IF(G295="NOT FOUND","—",IFERROR(INDEX(Listas!$J$5:$J$13,MATCH(LEFT(F295,FIND("-",F295)-1),Listas!$I$5:$I$13,0)),"Module / area")))</f>
        <v/>
      </c>
      <c r="I295" s="95">
        <f>IF(AND(B295="",F295=""),"",IF(OR(C295="NOT FOUND",G295="NOT FOUND"),"✖ ID inexistente",IF(B295=F295,"✖ Autorreferência",IF(E295="","✖ Sem relação","✔ OK"))))</f>
        <v/>
      </c>
      <c r="J295" s="93" t="n"/>
    </row>
    <row r="296" ht="15" customHeight="1" s="50">
      <c r="A296" s="93" t="n"/>
      <c r="B296" s="93" t="n"/>
      <c r="C296" s="95">
        <f>IF(B296="","",IFERROR(INDEX('Constants &amp; Enums'!$B$5:$B$200,MATCH(B296,'Constants &amp; Enums'!$A$5:$A$200,0)),IFERROR(INDEX('Metrics &amp; Formulas'!$B$5:$B$200,MATCH(B296,'Metrics &amp; Formulas'!$A$5:$A$200,0)),IFERROR(INDEX('Projections &amp; Dashboards'!$B$5:$B$200,MATCH(B296,'Projections &amp; Dashboards'!$A$5:$A$200,0)),IFERROR(INDEX(Funções!$O$5:$O$300,MATCH(B296,Funções!$A$5:$A$300,0)),IFERROR(INDEX(Telas!$C$5:$C$400,MATCH(B296,Telas!$A$5:$A$400,0)),IFERROR(INDEX(Roadmap!$D$6:$D$200,MATCH(B296,Roadmap!$A$6:$A$200,0)),IFERROR(INDEX(Modules!$C$5:$C$100,MATCH(B296,Modules!$A$5:$A$100,0)),"NOT FOUND"))))))))</f>
        <v/>
      </c>
      <c r="D296" s="95">
        <f>IF(B296="","",IF(C296="NOT FOUND","—",IFERROR(INDEX(Listas!$J$5:$J$13,MATCH(LEFT(B296,FIND("-",B296)-1),Listas!$I$5:$I$13,0)),"Module / area")))</f>
        <v/>
      </c>
      <c r="E296" s="93" t="n"/>
      <c r="F296" s="93" t="n"/>
      <c r="G296" s="95">
        <f>IF(F296="","",IFERROR(INDEX('Constants &amp; Enums'!$B$5:$B$200,MATCH(F296,'Constants &amp; Enums'!$A$5:$A$200,0)),IFERROR(INDEX('Metrics &amp; Formulas'!$B$5:$B$200,MATCH(F296,'Metrics &amp; Formulas'!$A$5:$A$200,0)),IFERROR(INDEX('Projections &amp; Dashboards'!$B$5:$B$200,MATCH(F296,'Projections &amp; Dashboards'!$A$5:$A$200,0)),IFERROR(INDEX(Funções!$O$5:$O$300,MATCH(F296,Funções!$A$5:$A$300,0)),IFERROR(INDEX(Telas!$C$5:$C$400,MATCH(F296,Telas!$A$5:$A$400,0)),IFERROR(INDEX(Roadmap!$D$6:$D$200,MATCH(F296,Roadmap!$A$6:$A$200,0)),IFERROR(INDEX(Modules!$C$5:$C$100,MATCH(F296,Modules!$A$5:$A$100,0)),"NOT FOUND"))))))))</f>
        <v/>
      </c>
      <c r="H296" s="95">
        <f>IF(F296="","",IF(G296="NOT FOUND","—",IFERROR(INDEX(Listas!$J$5:$J$13,MATCH(LEFT(F296,FIND("-",F296)-1),Listas!$I$5:$I$13,0)),"Module / area")))</f>
        <v/>
      </c>
      <c r="I296" s="95">
        <f>IF(AND(B296="",F296=""),"",IF(OR(C296="NOT FOUND",G296="NOT FOUND"),"✖ ID inexistente",IF(B296=F296,"✖ Autorreferência",IF(E296="","✖ Sem relação","✔ OK"))))</f>
        <v/>
      </c>
      <c r="J296" s="93" t="n"/>
    </row>
    <row r="297" ht="15" customHeight="1" s="50">
      <c r="A297" s="93" t="n"/>
      <c r="B297" s="93" t="n"/>
      <c r="C297" s="95">
        <f>IF(B297="","",IFERROR(INDEX('Constants &amp; Enums'!$B$5:$B$200,MATCH(B297,'Constants &amp; Enums'!$A$5:$A$200,0)),IFERROR(INDEX('Metrics &amp; Formulas'!$B$5:$B$200,MATCH(B297,'Metrics &amp; Formulas'!$A$5:$A$200,0)),IFERROR(INDEX('Projections &amp; Dashboards'!$B$5:$B$200,MATCH(B297,'Projections &amp; Dashboards'!$A$5:$A$200,0)),IFERROR(INDEX(Funções!$O$5:$O$300,MATCH(B297,Funções!$A$5:$A$300,0)),IFERROR(INDEX(Telas!$C$5:$C$400,MATCH(B297,Telas!$A$5:$A$400,0)),IFERROR(INDEX(Roadmap!$D$6:$D$200,MATCH(B297,Roadmap!$A$6:$A$200,0)),IFERROR(INDEX(Modules!$C$5:$C$100,MATCH(B297,Modules!$A$5:$A$100,0)),"NOT FOUND"))))))))</f>
        <v/>
      </c>
      <c r="D297" s="95">
        <f>IF(B297="","",IF(C297="NOT FOUND","—",IFERROR(INDEX(Listas!$J$5:$J$13,MATCH(LEFT(B297,FIND("-",B297)-1),Listas!$I$5:$I$13,0)),"Module / area")))</f>
        <v/>
      </c>
      <c r="E297" s="93" t="n"/>
      <c r="F297" s="93" t="n"/>
      <c r="G297" s="95">
        <f>IF(F297="","",IFERROR(INDEX('Constants &amp; Enums'!$B$5:$B$200,MATCH(F297,'Constants &amp; Enums'!$A$5:$A$200,0)),IFERROR(INDEX('Metrics &amp; Formulas'!$B$5:$B$200,MATCH(F297,'Metrics &amp; Formulas'!$A$5:$A$200,0)),IFERROR(INDEX('Projections &amp; Dashboards'!$B$5:$B$200,MATCH(F297,'Projections &amp; Dashboards'!$A$5:$A$200,0)),IFERROR(INDEX(Funções!$O$5:$O$300,MATCH(F297,Funções!$A$5:$A$300,0)),IFERROR(INDEX(Telas!$C$5:$C$400,MATCH(F297,Telas!$A$5:$A$400,0)),IFERROR(INDEX(Roadmap!$D$6:$D$200,MATCH(F297,Roadmap!$A$6:$A$200,0)),IFERROR(INDEX(Modules!$C$5:$C$100,MATCH(F297,Modules!$A$5:$A$100,0)),"NOT FOUND"))))))))</f>
        <v/>
      </c>
      <c r="H297" s="95">
        <f>IF(F297="","",IF(G297="NOT FOUND","—",IFERROR(INDEX(Listas!$J$5:$J$13,MATCH(LEFT(F297,FIND("-",F297)-1),Listas!$I$5:$I$13,0)),"Module / area")))</f>
        <v/>
      </c>
      <c r="I297" s="95">
        <f>IF(AND(B297="",F297=""),"",IF(OR(C297="NOT FOUND",G297="NOT FOUND"),"✖ ID inexistente",IF(B297=F297,"✖ Autorreferência",IF(E297="","✖ Sem relação","✔ OK"))))</f>
        <v/>
      </c>
      <c r="J297" s="93" t="n"/>
    </row>
    <row r="298" ht="15" customHeight="1" s="50">
      <c r="A298" s="93" t="n"/>
      <c r="B298" s="93" t="n"/>
      <c r="C298" s="95">
        <f>IF(B298="","",IFERROR(INDEX('Constants &amp; Enums'!$B$5:$B$200,MATCH(B298,'Constants &amp; Enums'!$A$5:$A$200,0)),IFERROR(INDEX('Metrics &amp; Formulas'!$B$5:$B$200,MATCH(B298,'Metrics &amp; Formulas'!$A$5:$A$200,0)),IFERROR(INDEX('Projections &amp; Dashboards'!$B$5:$B$200,MATCH(B298,'Projections &amp; Dashboards'!$A$5:$A$200,0)),IFERROR(INDEX(Funções!$O$5:$O$300,MATCH(B298,Funções!$A$5:$A$300,0)),IFERROR(INDEX(Telas!$C$5:$C$400,MATCH(B298,Telas!$A$5:$A$400,0)),IFERROR(INDEX(Roadmap!$D$6:$D$200,MATCH(B298,Roadmap!$A$6:$A$200,0)),IFERROR(INDEX(Modules!$C$5:$C$100,MATCH(B298,Modules!$A$5:$A$100,0)),"NOT FOUND"))))))))</f>
        <v/>
      </c>
      <c r="D298" s="95">
        <f>IF(B298="","",IF(C298="NOT FOUND","—",IFERROR(INDEX(Listas!$J$5:$J$13,MATCH(LEFT(B298,FIND("-",B298)-1),Listas!$I$5:$I$13,0)),"Module / area")))</f>
        <v/>
      </c>
      <c r="E298" s="93" t="n"/>
      <c r="F298" s="93" t="n"/>
      <c r="G298" s="95">
        <f>IF(F298="","",IFERROR(INDEX('Constants &amp; Enums'!$B$5:$B$200,MATCH(F298,'Constants &amp; Enums'!$A$5:$A$200,0)),IFERROR(INDEX('Metrics &amp; Formulas'!$B$5:$B$200,MATCH(F298,'Metrics &amp; Formulas'!$A$5:$A$200,0)),IFERROR(INDEX('Projections &amp; Dashboards'!$B$5:$B$200,MATCH(F298,'Projections &amp; Dashboards'!$A$5:$A$200,0)),IFERROR(INDEX(Funções!$O$5:$O$300,MATCH(F298,Funções!$A$5:$A$300,0)),IFERROR(INDEX(Telas!$C$5:$C$400,MATCH(F298,Telas!$A$5:$A$400,0)),IFERROR(INDEX(Roadmap!$D$6:$D$200,MATCH(F298,Roadmap!$A$6:$A$200,0)),IFERROR(INDEX(Modules!$C$5:$C$100,MATCH(F298,Modules!$A$5:$A$100,0)),"NOT FOUND"))))))))</f>
        <v/>
      </c>
      <c r="H298" s="95">
        <f>IF(F298="","",IF(G298="NOT FOUND","—",IFERROR(INDEX(Listas!$J$5:$J$13,MATCH(LEFT(F298,FIND("-",F298)-1),Listas!$I$5:$I$13,0)),"Module / area")))</f>
        <v/>
      </c>
      <c r="I298" s="95">
        <f>IF(AND(B298="",F298=""),"",IF(OR(C298="NOT FOUND",G298="NOT FOUND"),"✖ ID inexistente",IF(B298=F298,"✖ Autorreferência",IF(E298="","✖ Sem relação","✔ OK"))))</f>
        <v/>
      </c>
      <c r="J298" s="93" t="n"/>
    </row>
    <row r="299" ht="15" customHeight="1" s="50">
      <c r="A299" s="93" t="n"/>
      <c r="B299" s="93" t="n"/>
      <c r="C299" s="95">
        <f>IF(B299="","",IFERROR(INDEX('Constants &amp; Enums'!$B$5:$B$200,MATCH(B299,'Constants &amp; Enums'!$A$5:$A$200,0)),IFERROR(INDEX('Metrics &amp; Formulas'!$B$5:$B$200,MATCH(B299,'Metrics &amp; Formulas'!$A$5:$A$200,0)),IFERROR(INDEX('Projections &amp; Dashboards'!$B$5:$B$200,MATCH(B299,'Projections &amp; Dashboards'!$A$5:$A$200,0)),IFERROR(INDEX(Funções!$O$5:$O$300,MATCH(B299,Funções!$A$5:$A$300,0)),IFERROR(INDEX(Telas!$C$5:$C$400,MATCH(B299,Telas!$A$5:$A$400,0)),IFERROR(INDEX(Roadmap!$D$6:$D$200,MATCH(B299,Roadmap!$A$6:$A$200,0)),IFERROR(INDEX(Modules!$C$5:$C$100,MATCH(B299,Modules!$A$5:$A$100,0)),"NOT FOUND"))))))))</f>
        <v/>
      </c>
      <c r="D299" s="95">
        <f>IF(B299="","",IF(C299="NOT FOUND","—",IFERROR(INDEX(Listas!$J$5:$J$13,MATCH(LEFT(B299,FIND("-",B299)-1),Listas!$I$5:$I$13,0)),"Module / area")))</f>
        <v/>
      </c>
      <c r="E299" s="93" t="n"/>
      <c r="F299" s="93" t="n"/>
      <c r="G299" s="95">
        <f>IF(F299="","",IFERROR(INDEX('Constants &amp; Enums'!$B$5:$B$200,MATCH(F299,'Constants &amp; Enums'!$A$5:$A$200,0)),IFERROR(INDEX('Metrics &amp; Formulas'!$B$5:$B$200,MATCH(F299,'Metrics &amp; Formulas'!$A$5:$A$200,0)),IFERROR(INDEX('Projections &amp; Dashboards'!$B$5:$B$200,MATCH(F299,'Projections &amp; Dashboards'!$A$5:$A$200,0)),IFERROR(INDEX(Funções!$O$5:$O$300,MATCH(F299,Funções!$A$5:$A$300,0)),IFERROR(INDEX(Telas!$C$5:$C$400,MATCH(F299,Telas!$A$5:$A$400,0)),IFERROR(INDEX(Roadmap!$D$6:$D$200,MATCH(F299,Roadmap!$A$6:$A$200,0)),IFERROR(INDEX(Modules!$C$5:$C$100,MATCH(F299,Modules!$A$5:$A$100,0)),"NOT FOUND"))))))))</f>
        <v/>
      </c>
      <c r="H299" s="95">
        <f>IF(F299="","",IF(G299="NOT FOUND","—",IFERROR(INDEX(Listas!$J$5:$J$13,MATCH(LEFT(F299,FIND("-",F299)-1),Listas!$I$5:$I$13,0)),"Module / area")))</f>
        <v/>
      </c>
      <c r="I299" s="95">
        <f>IF(AND(B299="",F299=""),"",IF(OR(C299="NOT FOUND",G299="NOT FOUND"),"✖ ID inexistente",IF(B299=F299,"✖ Autorreferência",IF(E299="","✖ Sem relação","✔ OK"))))</f>
        <v/>
      </c>
      <c r="J299" s="93" t="n"/>
    </row>
    <row r="300" ht="15" customHeight="1" s="50">
      <c r="A300" s="93" t="n"/>
      <c r="B300" s="93" t="n"/>
      <c r="C300" s="95">
        <f>IF(B300="","",IFERROR(INDEX('Constants &amp; Enums'!$B$5:$B$200,MATCH(B300,'Constants &amp; Enums'!$A$5:$A$200,0)),IFERROR(INDEX('Metrics &amp; Formulas'!$B$5:$B$200,MATCH(B300,'Metrics &amp; Formulas'!$A$5:$A$200,0)),IFERROR(INDEX('Projections &amp; Dashboards'!$B$5:$B$200,MATCH(B300,'Projections &amp; Dashboards'!$A$5:$A$200,0)),IFERROR(INDEX(Funções!$O$5:$O$300,MATCH(B300,Funções!$A$5:$A$300,0)),IFERROR(INDEX(Telas!$C$5:$C$400,MATCH(B300,Telas!$A$5:$A$400,0)),IFERROR(INDEX(Roadmap!$D$6:$D$200,MATCH(B300,Roadmap!$A$6:$A$200,0)),IFERROR(INDEX(Modules!$C$5:$C$100,MATCH(B300,Modules!$A$5:$A$100,0)),"NOT FOUND"))))))))</f>
        <v/>
      </c>
      <c r="D300" s="95">
        <f>IF(B300="","",IF(C300="NOT FOUND","—",IFERROR(INDEX(Listas!$J$5:$J$13,MATCH(LEFT(B300,FIND("-",B300)-1),Listas!$I$5:$I$13,0)),"Module / area")))</f>
        <v/>
      </c>
      <c r="E300" s="93" t="n"/>
      <c r="F300" s="93" t="n"/>
      <c r="G300" s="95">
        <f>IF(F300="","",IFERROR(INDEX('Constants &amp; Enums'!$B$5:$B$200,MATCH(F300,'Constants &amp; Enums'!$A$5:$A$200,0)),IFERROR(INDEX('Metrics &amp; Formulas'!$B$5:$B$200,MATCH(F300,'Metrics &amp; Formulas'!$A$5:$A$200,0)),IFERROR(INDEX('Projections &amp; Dashboards'!$B$5:$B$200,MATCH(F300,'Projections &amp; Dashboards'!$A$5:$A$200,0)),IFERROR(INDEX(Funções!$O$5:$O$300,MATCH(F300,Funções!$A$5:$A$300,0)),IFERROR(INDEX(Telas!$C$5:$C$400,MATCH(F300,Telas!$A$5:$A$400,0)),IFERROR(INDEX(Roadmap!$D$6:$D$200,MATCH(F300,Roadmap!$A$6:$A$200,0)),IFERROR(INDEX(Modules!$C$5:$C$100,MATCH(F300,Modules!$A$5:$A$100,0)),"NOT FOUND"))))))))</f>
        <v/>
      </c>
      <c r="H300" s="95">
        <f>IF(F300="","",IF(G300="NOT FOUND","—",IFERROR(INDEX(Listas!$J$5:$J$13,MATCH(LEFT(F300,FIND("-",F300)-1),Listas!$I$5:$I$13,0)),"Module / area")))</f>
        <v/>
      </c>
      <c r="I300" s="95">
        <f>IF(AND(B300="",F300=""),"",IF(OR(C300="NOT FOUND",G300="NOT FOUND"),"✖ ID inexistente",IF(B300=F300,"✖ Autorreferência",IF(E300="","✖ Sem relação","✔ OK"))))</f>
        <v/>
      </c>
      <c r="J300" s="93" t="n"/>
    </row>
  </sheetData>
  <autoFilter ref="A4:J300"/>
  <conditionalFormatting sqref="I5:I300">
    <cfRule type="expression" rank="0" priority="2" equalAverage="0" aboveAverage="0" dxfId="30" text="" percent="0" bottom="0">
      <formula>LEFT($I5,1)="✖"</formula>
    </cfRule>
    <cfRule type="expression" rank="0" priority="3" equalAverage="0" aboveAverage="0" dxfId="33" text="" percent="0" bottom="0">
      <formula>LEFT($I5,1)="✔"</formula>
    </cfRule>
  </conditionalFormatting>
  <conditionalFormatting sqref="C5:C300">
    <cfRule type="expression" rank="0" priority="4" equalAverage="0" aboveAverage="0" dxfId="34" text="" percent="0" bottom="0">
      <formula>$C5="NOT FOUND"</formula>
    </cfRule>
  </conditionalFormatting>
  <conditionalFormatting sqref="G5:G300">
    <cfRule type="expression" rank="0" priority="5" equalAverage="0" aboveAverage="0" dxfId="34" text="" percent="0" bottom="0">
      <formula>$G5="NOT FOUND"</formula>
    </cfRule>
  </conditionalFormatting>
  <dataValidations count="1">
    <dataValidation sqref="E5:E300" showDropDown="0" showInputMessage="0" showErrorMessage="1" allowBlank="1" type="list" errorStyle="stop" operator="between">
      <formula1>Listas!$M$5:$M$10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J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49" min="1" max="1"/>
    <col width="44" customWidth="1" style="49" min="2" max="2"/>
    <col width="22" customWidth="1" style="49" min="3" max="3"/>
    <col width="46" customWidth="1" style="49" min="4" max="5"/>
    <col width="40" customWidth="1" style="49" min="6" max="6"/>
    <col width="16" customWidth="1" style="49" min="7" max="7"/>
    <col width="14" customWidth="1" style="49" min="8" max="9"/>
    <col width="30" customWidth="1" style="49" min="10" max="10"/>
  </cols>
  <sheetData>
    <row r="1" ht="25.5" customHeight="1" s="50">
      <c r="A1" s="90" t="inlineStr">
        <is>
          <t>Decisões pendentes — proprietários e localização que NÃO devem ser inventados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</row>
    <row r="2" ht="15" customHeight="1" s="50">
      <c r="A2" s="60" t="inlineStr">
        <is>
          <t>Quando o proprietário de uma definição não está claro, registre aqui em vez de presumir uma localização. Status alimenta o Painel.</t>
        </is>
      </c>
    </row>
    <row r="4" ht="36" customHeight="1" s="50">
      <c r="A4" s="92" t="inlineStr">
        <is>
          <t>ID</t>
        </is>
      </c>
      <c r="B4" s="92" t="inlineStr">
        <is>
          <t>Decision needed</t>
        </is>
      </c>
      <c r="C4" s="92" t="inlineStr">
        <is>
          <t>Related IDs</t>
        </is>
      </c>
      <c r="D4" s="92" t="inlineStr">
        <is>
          <t>Options</t>
        </is>
      </c>
      <c r="E4" s="92" t="inlineStr">
        <is>
          <t>Proposed default (to confirm)</t>
        </is>
      </c>
      <c r="F4" s="92" t="inlineStr">
        <is>
          <t>Impact if undecided</t>
        </is>
      </c>
      <c r="G4" s="92" t="inlineStr">
        <is>
          <t>Owner</t>
        </is>
      </c>
      <c r="H4" s="92" t="inlineStr">
        <is>
          <t>Status</t>
        </is>
      </c>
      <c r="I4" s="92" t="inlineStr">
        <is>
          <t>Decision date</t>
        </is>
      </c>
      <c r="J4" s="92" t="inlineStr">
        <is>
          <t>ADR / link</t>
        </is>
      </c>
    </row>
    <row r="5" ht="28.35" customHeight="1" s="50">
      <c r="A5" s="93" t="inlineStr">
        <is>
          <t>DEC-001</t>
        </is>
      </c>
      <c r="B5" s="93" t="inlineStr">
        <is>
          <t>Who owns budget variance and actual-vs-budget?</t>
        </is>
      </c>
      <c r="C5" s="93" t="inlineStr">
        <is>
          <t>METRIC-006; PROJ-002</t>
        </is>
      </c>
      <c r="D5" s="93" t="inlineStr">
        <is>
          <t>(a) Keep inside accounting. (b) Create a dedicated budget module.</t>
        </is>
      </c>
      <c r="E5" s="93" t="inlineStr">
        <is>
          <t>Keep inside accounting until a budget module has a bounded use case, authorization and persistence.</t>
        </is>
      </c>
      <c r="F5" s="93" t="inlineStr">
        <is>
          <t>Budget metrics could be implemented twice (accounting and a future module).</t>
        </is>
      </c>
      <c r="G5" s="93" t="n"/>
      <c r="H5" s="93" t="inlineStr">
        <is>
          <t>Aberta</t>
        </is>
      </c>
      <c r="I5" s="93" t="n"/>
      <c r="J5" s="93" t="n"/>
    </row>
    <row r="6" ht="28.35" customHeight="1" s="50">
      <c r="A6" s="93" t="inlineStr">
        <is>
          <t>DEC-002</t>
        </is>
      </c>
      <c r="B6" s="93" t="inlineStr">
        <is>
          <t>Where do alert thresholds and targets live?</t>
        </is>
      </c>
      <c r="C6" s="93" t="inlineStr">
        <is>
          <t>POL-003</t>
        </is>
      </c>
      <c r="D6" s="93" t="inlineStr">
        <is>
          <t>(a) accounting configuration. (b) apps/kalkulisto settings. (c) admin-bi.</t>
        </is>
      </c>
      <c r="E6" s="93" t="inlineStr">
        <is>
          <t>Store as organization configuration owned by the domain that defines the metric; apps only edit it.</t>
        </is>
      </c>
      <c r="F6" s="93" t="inlineStr">
        <is>
          <t>Thresholds may end up hardcoded in dashboards.</t>
        </is>
      </c>
      <c r="G6" s="93" t="n"/>
      <c r="H6" s="93" t="inlineStr">
        <is>
          <t>Aberta</t>
        </is>
      </c>
      <c r="I6" s="93" t="n"/>
      <c r="J6" s="93" t="n"/>
    </row>
    <row r="7" ht="28.35" customHeight="1" s="50">
      <c r="A7" s="93" t="inlineStr">
        <is>
          <t>DEC-003</t>
        </is>
      </c>
      <c r="B7" s="93" t="inlineStr">
        <is>
          <t>Where is the canonical formula implemented in code?</t>
        </is>
      </c>
      <c r="C7" s="93" t="inlineStr">
        <is>
          <t>METRIC-001..006</t>
        </is>
      </c>
      <c r="D7" s="93" t="inlineStr">
        <is>
          <t>(a) Domain function in the module. (b) SQL read model. (c) Both, tied by a reconciliation test.</t>
        </is>
      </c>
      <c r="E7" s="93" t="inlineStr">
        <is>
          <t>Domain function is canonical; any SQL read model must pass a reconciliation test against it.</t>
        </is>
      </c>
      <c r="F7" s="93" t="inlineStr">
        <is>
          <t>Dashboards and reports may diverge.</t>
        </is>
      </c>
      <c r="G7" s="93" t="n"/>
      <c r="H7" s="93" t="inlineStr">
        <is>
          <t>Aberta</t>
        </is>
      </c>
      <c r="I7" s="93" t="n"/>
      <c r="J7" s="93" t="n"/>
    </row>
    <row r="8" ht="28.35" customHeight="1" s="50">
      <c r="A8" s="93" t="inlineStr">
        <is>
          <t>DEC-004</t>
        </is>
      </c>
      <c r="B8" s="93" t="inlineStr">
        <is>
          <t>How does the UI mark projections as non-official?</t>
        </is>
      </c>
      <c r="C8" s="93" t="inlineStr">
        <is>
          <t>PROJ-001; PROJ-002; DASH-001</t>
        </is>
      </c>
      <c r="D8" s="93" t="inlineStr">
        <is>
          <t>(a) Fixed label + generation instant on every projection widget. (b) Separate projection section.</t>
        </is>
      </c>
      <c r="E8" s="93" t="inlineStr">
        <is>
          <t>Fixed label, assumption version and generation instant on every projection output.</t>
        </is>
      </c>
      <c r="F8" s="93" t="inlineStr">
        <is>
          <t>A forecast may be read as an official ledger balance.</t>
        </is>
      </c>
      <c r="G8" s="93" t="n"/>
      <c r="H8" s="93" t="inlineStr">
        <is>
          <t>Aberta</t>
        </is>
      </c>
      <c r="I8" s="93" t="n"/>
      <c r="J8" s="93" t="n"/>
    </row>
    <row r="9" ht="41.75" customHeight="1" s="50">
      <c r="A9" s="93" t="inlineStr">
        <is>
          <t>DEC-005</t>
        </is>
      </c>
      <c r="B9" s="93" t="inlineStr">
        <is>
          <t>Does admin-bi own cross-module dashboards?</t>
        </is>
      </c>
      <c r="C9" s="93" t="inlineStr">
        <is>
          <t>DASH-001; DASH-002</t>
        </is>
      </c>
      <c r="D9" s="93" t="inlineStr">
        <is>
          <t>(a) Domain modules expose read models, apps compose. (b) admin-bi composes cross-module views.</t>
        </is>
      </c>
      <c r="E9" s="93" t="inlineStr">
        <is>
          <t>Decide after the admin-bi code audit (Modules tab says completeness is not established).</t>
        </is>
      </c>
      <c r="F9" s="93" t="inlineStr">
        <is>
          <t>Unclear ownership of cross-module dashboards.</t>
        </is>
      </c>
      <c r="G9" s="93" t="n"/>
      <c r="H9" s="93" t="inlineStr">
        <is>
          <t>Aberta</t>
        </is>
      </c>
      <c r="I9" s="93" t="n"/>
      <c r="J9" s="93" t="n"/>
    </row>
    <row r="10" ht="28.35" customHeight="1" s="50">
      <c r="A10" s="93" t="inlineStr">
        <is>
          <t>DEC-006</t>
        </is>
      </c>
      <c r="B10" s="93" t="inlineStr">
        <is>
          <t>Restore gate G-01 in the acceptance gates tab</t>
        </is>
      </c>
      <c r="C10" s="93" t="inlineStr">
        <is>
          <t>Gates de aceite</t>
        </is>
      </c>
      <c r="D10" s="93" t="inlineStr">
        <is>
          <t>Recover the original G-01 wording from the source file or redefine it.</t>
        </is>
      </c>
      <c r="E10" s="93" t="inlineStr">
        <is>
          <t>Recover from the original file; do not invent wording.</t>
        </is>
      </c>
      <c r="F10" s="93" t="inlineStr">
        <is>
          <t>Gate numbering starts at G-02 and the first gate may be missing from acceptance checks.</t>
        </is>
      </c>
      <c r="G10" s="93" t="n"/>
      <c r="H10" s="93" t="inlineStr">
        <is>
          <t>Aberta</t>
        </is>
      </c>
      <c r="I10" s="93" t="n"/>
      <c r="J10" s="93" t="n"/>
    </row>
    <row r="11" ht="15" customHeight="1" s="50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</row>
    <row r="12" ht="15" customHeight="1" s="50">
      <c r="A12" s="93" t="n"/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</row>
    <row r="13" ht="15" customHeight="1" s="50">
      <c r="A13" s="93" t="n"/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</row>
    <row r="14" ht="15" customHeight="1" s="50">
      <c r="A14" s="93" t="n"/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</row>
    <row r="15" ht="15" customHeight="1" s="50">
      <c r="A15" s="93" t="n"/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</row>
    <row r="16" ht="15" customHeight="1" s="50">
      <c r="A16" s="93" t="n"/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</row>
    <row r="17" ht="15" customHeight="1" s="50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</row>
    <row r="18" ht="15" customHeight="1" s="50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</row>
    <row r="19" ht="15" customHeight="1" s="50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</row>
    <row r="20" ht="15" customHeight="1" s="5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</row>
    <row r="21" ht="15" customHeight="1" s="50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</row>
    <row r="22" ht="15" customHeight="1" s="50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</row>
    <row r="23" ht="15" customHeight="1" s="50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</row>
    <row r="24" ht="15" customHeight="1" s="50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</row>
    <row r="25" ht="15" customHeight="1" s="50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</row>
    <row r="26" ht="15" customHeight="1" s="50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</row>
    <row r="27" ht="15" customHeight="1" s="50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</row>
    <row r="28" ht="15" customHeight="1" s="50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</row>
    <row r="29" ht="15" customHeight="1" s="50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</row>
    <row r="30" ht="15" customHeight="1" s="50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</row>
    <row r="31" ht="15" customHeight="1" s="50">
      <c r="A31" s="93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</row>
    <row r="32" ht="15" customHeight="1" s="50">
      <c r="A32" s="93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</row>
    <row r="33" ht="15" customHeight="1" s="50">
      <c r="A33" s="93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</row>
    <row r="34" ht="15" customHeight="1" s="50">
      <c r="A34" s="93" t="n"/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</row>
    <row r="35" ht="15" customHeight="1" s="50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</row>
    <row r="36" ht="15" customHeight="1" s="50">
      <c r="A36" s="93" t="n"/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</row>
    <row r="37" ht="15" customHeight="1" s="50">
      <c r="A37" s="93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</row>
    <row r="38" ht="15" customHeight="1" s="50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</row>
    <row r="39" ht="15" customHeight="1" s="50">
      <c r="A39" s="93" t="n"/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</row>
    <row r="40" ht="15" customHeight="1" s="50">
      <c r="A40" s="93" t="n"/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</row>
    <row r="41" ht="15" customHeight="1" s="50">
      <c r="A41" s="93" t="n"/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</row>
    <row r="42" ht="15" customHeight="1" s="50">
      <c r="A42" s="93" t="n"/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</row>
    <row r="43" ht="15" customHeight="1" s="50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</row>
    <row r="44" ht="15" customHeight="1" s="50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</row>
    <row r="45" ht="15" customHeight="1" s="50">
      <c r="A45" s="93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</row>
    <row r="46" ht="15" customHeight="1" s="50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</row>
    <row r="47" ht="15" customHeight="1" s="50">
      <c r="A47" s="93" t="n"/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</row>
    <row r="48" ht="15" customHeight="1" s="50">
      <c r="A48" s="93" t="n"/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</row>
    <row r="49" ht="15" customHeight="1" s="50">
      <c r="A49" s="93" t="n"/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</row>
    <row r="50" ht="15" customHeight="1" s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</row>
    <row r="51" ht="15" customHeight="1" s="50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</row>
    <row r="52" ht="15" customHeight="1" s="50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</row>
    <row r="53" ht="15" customHeight="1" s="50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</row>
    <row r="54" ht="15" customHeight="1" s="50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</row>
    <row r="55" ht="15" customHeight="1" s="50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</row>
    <row r="56" ht="15" customHeight="1" s="50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</row>
    <row r="57" ht="15" customHeight="1" s="50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</row>
    <row r="58" ht="15" customHeight="1" s="50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</row>
    <row r="59" ht="15" customHeight="1" s="50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</row>
    <row r="60" ht="15" customHeight="1" s="5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</row>
    <row r="61" ht="15" customHeight="1" s="50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</row>
    <row r="62" ht="15" customHeight="1" s="50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</row>
    <row r="63" ht="15" customHeight="1" s="50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</row>
    <row r="64" ht="15" customHeight="1" s="50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</row>
    <row r="65" ht="15" customHeight="1" s="50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</row>
    <row r="66" ht="15" customHeight="1" s="50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</row>
    <row r="67" ht="15" customHeight="1" s="50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</row>
    <row r="68" ht="15" customHeight="1" s="50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</row>
    <row r="69" ht="15" customHeight="1" s="50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</row>
    <row r="70" ht="15" customHeight="1" s="5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</row>
    <row r="71" ht="15" customHeight="1" s="50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</row>
    <row r="72" ht="15" customHeight="1" s="50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</row>
    <row r="73" ht="15" customHeight="1" s="50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</row>
    <row r="74" ht="15" customHeight="1" s="50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</row>
    <row r="75" ht="15" customHeight="1" s="50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</row>
    <row r="76" ht="15" customHeight="1" s="50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</row>
    <row r="77" ht="15" customHeight="1" s="50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</row>
    <row r="78" ht="15" customHeight="1" s="50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</row>
    <row r="79" ht="15" customHeight="1" s="50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</row>
    <row r="80" ht="15" customHeight="1" s="5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</row>
    <row r="81" ht="15" customHeight="1" s="50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</row>
    <row r="82" ht="15" customHeight="1" s="50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</row>
    <row r="83" ht="15" customHeight="1" s="50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</row>
    <row r="84" ht="15" customHeight="1" s="50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</row>
    <row r="85" ht="15" customHeight="1" s="50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</row>
    <row r="86" ht="15" customHeight="1" s="50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</row>
    <row r="87" ht="15" customHeight="1" s="50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</row>
    <row r="88" ht="15" customHeight="1" s="50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</row>
    <row r="89" ht="15" customHeight="1" s="50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</row>
    <row r="90" ht="15" customHeight="1" s="5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</row>
    <row r="91" ht="15" customHeight="1" s="50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</row>
    <row r="92" ht="15" customHeight="1" s="50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</row>
    <row r="93" ht="15" customHeight="1" s="50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</row>
    <row r="94" ht="15" customHeight="1" s="50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</row>
    <row r="95" ht="15" customHeight="1" s="50">
      <c r="A95" s="93" t="n"/>
      <c r="B95" s="93" t="n"/>
      <c r="C95" s="93" t="n"/>
      <c r="D95" s="93" t="n"/>
      <c r="E95" s="93" t="n"/>
      <c r="F95" s="93" t="n"/>
      <c r="G95" s="93" t="n"/>
      <c r="H95" s="93" t="n"/>
      <c r="I95" s="93" t="n"/>
      <c r="J95" s="93" t="n"/>
    </row>
    <row r="96" ht="15" customHeight="1" s="50">
      <c r="A96" s="93" t="n"/>
      <c r="B96" s="93" t="n"/>
      <c r="C96" s="93" t="n"/>
      <c r="D96" s="93" t="n"/>
      <c r="E96" s="93" t="n"/>
      <c r="F96" s="93" t="n"/>
      <c r="G96" s="93" t="n"/>
      <c r="H96" s="93" t="n"/>
      <c r="I96" s="93" t="n"/>
      <c r="J96" s="93" t="n"/>
    </row>
    <row r="97" ht="15" customHeight="1" s="50">
      <c r="A97" s="93" t="n"/>
      <c r="B97" s="93" t="n"/>
      <c r="C97" s="93" t="n"/>
      <c r="D97" s="93" t="n"/>
      <c r="E97" s="93" t="n"/>
      <c r="F97" s="93" t="n"/>
      <c r="G97" s="93" t="n"/>
      <c r="H97" s="93" t="n"/>
      <c r="I97" s="93" t="n"/>
      <c r="J97" s="93" t="n"/>
    </row>
    <row r="98" ht="15" customHeight="1" s="50">
      <c r="A98" s="93" t="n"/>
      <c r="B98" s="93" t="n"/>
      <c r="C98" s="93" t="n"/>
      <c r="D98" s="93" t="n"/>
      <c r="E98" s="93" t="n"/>
      <c r="F98" s="93" t="n"/>
      <c r="G98" s="93" t="n"/>
      <c r="H98" s="93" t="n"/>
      <c r="I98" s="93" t="n"/>
      <c r="J98" s="93" t="n"/>
    </row>
    <row r="99" ht="15" customHeight="1" s="50">
      <c r="A99" s="93" t="n"/>
      <c r="B99" s="93" t="n"/>
      <c r="C99" s="93" t="n"/>
      <c r="D99" s="93" t="n"/>
      <c r="E99" s="93" t="n"/>
      <c r="F99" s="93" t="n"/>
      <c r="G99" s="93" t="n"/>
      <c r="H99" s="93" t="n"/>
      <c r="I99" s="93" t="n"/>
      <c r="J99" s="93" t="n"/>
    </row>
    <row r="100" ht="15" customHeight="1" s="50">
      <c r="A100" s="93" t="n"/>
      <c r="B100" s="93" t="n"/>
      <c r="C100" s="93" t="n"/>
      <c r="D100" s="93" t="n"/>
      <c r="E100" s="93" t="n"/>
      <c r="F100" s="93" t="n"/>
      <c r="G100" s="93" t="n"/>
      <c r="H100" s="93" t="n"/>
      <c r="I100" s="93" t="n"/>
      <c r="J100" s="93" t="n"/>
    </row>
    <row r="101" ht="15" customHeight="1" s="50">
      <c r="A101" s="93" t="n"/>
      <c r="B101" s="93" t="n"/>
      <c r="C101" s="93" t="n"/>
      <c r="D101" s="93" t="n"/>
      <c r="E101" s="93" t="n"/>
      <c r="F101" s="93" t="n"/>
      <c r="G101" s="93" t="n"/>
      <c r="H101" s="93" t="n"/>
      <c r="I101" s="93" t="n"/>
      <c r="J101" s="93" t="n"/>
    </row>
    <row r="102" ht="15" customHeight="1" s="50">
      <c r="A102" s="93" t="n"/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</row>
    <row r="103" ht="15" customHeight="1" s="50">
      <c r="A103" s="93" t="n"/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</row>
    <row r="104" ht="15" customHeight="1" s="50">
      <c r="A104" s="93" t="n"/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</row>
  </sheetData>
  <autoFilter ref="A4:J104"/>
  <conditionalFormatting sqref="H5:H104">
    <cfRule type="cellIs" rank="0" priority="2" equalAverage="0" operator="equal" aboveAverage="0" dxfId="19" text="" percent="0" bottom="0">
      <formula>"Aberta"</formula>
    </cfRule>
    <cfRule type="cellIs" rank="0" priority="3" equalAverage="0" operator="equal" aboveAverage="0" dxfId="35" text="" percent="0" bottom="0">
      <formula>"Decidida"</formula>
    </cfRule>
    <cfRule type="cellIs" rank="0" priority="4" equalAverage="0" operator="equal" aboveAverage="0" dxfId="20" text="" percent="0" bottom="0">
      <formula>"Adiada"</formula>
    </cfRule>
  </conditionalFormatting>
  <dataValidations count="1">
    <dataValidation sqref="H5:H104" showDropDown="0" showInputMessage="0" showErrorMessage="1" allowBlank="1" type="list" errorStyle="stop" operator="between">
      <formula1>"Aberta,Decidida,Adiada"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G18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9" min="1" max="1"/>
    <col width="22" customWidth="1" style="49" min="2" max="2"/>
    <col width="48" customWidth="1" style="49" min="3" max="3"/>
    <col width="58" customWidth="1" style="49" min="4" max="4"/>
    <col width="18" customWidth="1" style="49" min="5" max="5"/>
    <col width="35" customWidth="1" style="49" min="6" max="6"/>
    <col width="40" customWidth="1" style="49" min="7" max="7"/>
  </cols>
  <sheetData>
    <row r="1" ht="30" customHeight="1" s="50">
      <c r="A1" s="51" t="inlineStr">
        <is>
          <t>Gate transversal de conclusão — aplicar a cada capacidade</t>
        </is>
      </c>
      <c r="B1" s="52" t="n"/>
      <c r="C1" s="52" t="n"/>
      <c r="D1" s="52" t="n"/>
      <c r="E1" s="52" t="n"/>
      <c r="F1" s="52" t="n"/>
      <c r="G1" s="52" t="n"/>
    </row>
    <row r="2" ht="176.1" customHeight="1" s="50">
      <c r="A2" s="53" t="inlineStr">
        <is>
          <t>Marque evidência real. “Não se aplica” precisa de justificativa; superfície ausente ou stub não conta como concluída.</t>
        </is>
      </c>
    </row>
    <row r="4" ht="15" customHeight="1" s="50">
      <c r="A4" s="53" t="inlineStr">
        <is>
          <t>ID</t>
        </is>
      </c>
      <c r="B4" s="53" t="inlineStr">
        <is>
          <t>Área</t>
        </is>
      </c>
      <c r="C4" s="53" t="inlineStr">
        <is>
          <t>Pergunta de aceite</t>
        </is>
      </c>
      <c r="D4" s="53" t="inlineStr">
        <is>
          <t>Evidência mínima esperada</t>
        </is>
      </c>
      <c r="E4" s="53" t="inlineStr">
        <is>
          <t>Estado</t>
        </is>
      </c>
      <c r="F4" s="53" t="inlineStr">
        <is>
          <t>Link/caminho/comando</t>
        </is>
      </c>
      <c r="G4" s="53" t="inlineStr">
        <is>
          <t>Notas / justificativa N/A</t>
        </is>
      </c>
    </row>
    <row r="5" ht="48" customHeight="1" s="50">
      <c r="A5" s="80" t="inlineStr">
        <is>
          <t>ID</t>
        </is>
      </c>
      <c r="B5" s="80" t="inlineStr">
        <is>
          <t>Area</t>
        </is>
      </c>
      <c r="C5" s="80" t="inlineStr">
        <is>
          <t>Acceptance Question</t>
        </is>
      </c>
      <c r="D5" s="80" t="inlineStr">
        <is>
          <t>Minimum Evidence</t>
        </is>
      </c>
      <c r="E5" s="80" t="inlineStr">
        <is>
          <t>Status</t>
        </is>
      </c>
      <c r="F5" s="80" t="inlineStr">
        <is>
          <t>Link / Path / Command</t>
        </is>
      </c>
      <c r="G5" s="80" t="inlineStr">
        <is>
          <t>N/A Notes / Justification</t>
        </is>
      </c>
    </row>
    <row r="6" ht="28.35" customHeight="1" s="50">
      <c r="A6" s="53" t="inlineStr">
        <is>
          <t>G-02</t>
        </is>
      </c>
      <c r="B6" s="53" t="inlineStr">
        <is>
          <t>Domínio</t>
        </is>
      </c>
      <c r="C6" s="53" t="inlineStr">
        <is>
          <t>Regra de negócio existe uma única vez no módulo de domínio/use case?</t>
        </is>
      </c>
      <c r="D6" s="53" t="inlineStr">
        <is>
          <t>Teste de domínio e ausência de regra duplicada nas superfícies.</t>
        </is>
      </c>
      <c r="E6" s="53" t="inlineStr">
        <is>
          <t>A validar</t>
        </is>
      </c>
      <c r="F6" s="53" t="n"/>
      <c r="G6" s="53" t="n"/>
    </row>
    <row r="7" ht="28.35" customHeight="1" s="50">
      <c r="A7" s="53" t="inlineStr">
        <is>
          <t>G-03</t>
        </is>
      </c>
      <c r="B7" s="53" t="inlineStr">
        <is>
          <t>HTTP</t>
        </is>
      </c>
      <c r="C7" s="53" t="inlineStr">
        <is>
          <t>API implementada e com erros/validação/autorização estáveis?</t>
        </is>
      </c>
      <c r="D7" s="53" t="inlineStr">
        <is>
          <t>Teste de integração API e caso negativo.</t>
        </is>
      </c>
      <c r="E7" s="53" t="inlineStr">
        <is>
          <t>A validar</t>
        </is>
      </c>
      <c r="F7" s="53" t="n"/>
      <c r="G7" s="53" t="n"/>
    </row>
    <row r="8" ht="28.35" customHeight="1" s="50">
      <c r="A8" s="53" t="inlineStr">
        <is>
          <t>G-04</t>
        </is>
      </c>
      <c r="B8" s="53" t="inlineStr">
        <is>
          <t>CLI</t>
        </is>
      </c>
      <c r="C8" s="53" t="inlineStr">
        <is>
          <t>CLI oferece saída humana, --json e schema quando aplicável?</t>
        </is>
      </c>
      <c r="D8" s="53" t="inlineStr">
        <is>
          <t>Teste de CLI para sucesso, erro e formato JSON/schema.</t>
        </is>
      </c>
      <c r="E8" s="53" t="inlineStr">
        <is>
          <t>A validar</t>
        </is>
      </c>
      <c r="F8" s="53" t="n"/>
      <c r="G8" s="53" t="n"/>
    </row>
    <row r="9" ht="28.35" customHeight="1" s="50">
      <c r="A9" s="53" t="inlineStr">
        <is>
          <t>G-05</t>
        </is>
      </c>
      <c r="B9" s="53" t="inlineStr">
        <is>
          <t>MCP</t>
        </is>
      </c>
      <c r="C9" s="53" t="inlineStr">
        <is>
          <t>MCP stdio JSON-RPC é exercitado de verdade e registrado/descobrível no kodoo-ai-center?</t>
        </is>
      </c>
      <c r="D9" s="53" t="inlineStr">
        <is>
          <t>Teste de protocolo + prova de registro/discovery.</t>
        </is>
      </c>
      <c r="E9" s="53" t="inlineStr">
        <is>
          <t>A validar</t>
        </is>
      </c>
      <c r="F9" s="53" t="n"/>
      <c r="G9" s="53" t="n"/>
    </row>
    <row r="10" ht="28.35" customHeight="1" s="50">
      <c r="A10" s="53" t="inlineStr">
        <is>
          <t>G-06</t>
        </is>
      </c>
      <c r="B10" s="53" t="inlineStr">
        <is>
          <t>Ratatui</t>
        </is>
      </c>
      <c r="C10" s="53" t="inlineStr">
        <is>
          <t>A superfície operacional de verificação existe e é conectada à TUI quando aplicável?</t>
        </is>
      </c>
      <c r="D10" s="53" t="inlineStr">
        <is>
          <t>Roteiro/comando de verificação com o mesmo use case.</t>
        </is>
      </c>
      <c r="E10" s="53" t="inlineStr">
        <is>
          <t>A validar</t>
        </is>
      </c>
      <c r="F10" s="53" t="n"/>
      <c r="G10" s="53" t="n"/>
    </row>
    <row r="11" ht="28.35" customHeight="1" s="50">
      <c r="A11" s="53" t="inlineStr">
        <is>
          <t>G-07</t>
        </is>
      </c>
      <c r="B11" s="53" t="inlineStr">
        <is>
          <t>Dioxus Direct</t>
        </is>
      </c>
      <c r="C11" s="53" t="inlineStr">
        <is>
          <t>Contrato neutro, cliente e view Direct implementados quando metadata indica aplicabilidade?</t>
        </is>
      </c>
      <c r="D11" s="53" t="inlineStr">
        <is>
          <t>Teste do contrato/cliente/view e estados de UI.</t>
        </is>
      </c>
      <c r="E11" s="53" t="inlineStr">
        <is>
          <t>A validar</t>
        </is>
      </c>
      <c r="F11" s="53" t="n"/>
      <c r="G11" s="53" t="n"/>
    </row>
    <row r="12" ht="15" customHeight="1" s="50">
      <c r="A12" s="53" t="inlineStr">
        <is>
          <t>G-08</t>
        </is>
      </c>
      <c r="B12" s="53" t="inlineStr">
        <is>
          <t>App host</t>
        </is>
      </c>
      <c r="C12" s="53" t="inlineStr">
        <is>
          <t>A view está montada na aplicação de domínio correta?</t>
        </is>
      </c>
      <c r="D12" s="53" t="inlineStr">
        <is>
          <t>Build/teste da app host e fluxo navegável.</t>
        </is>
      </c>
      <c r="E12" s="53" t="inlineStr">
        <is>
          <t>A validar</t>
        </is>
      </c>
      <c r="F12" s="53" t="n"/>
      <c r="G12" s="53" t="n"/>
    </row>
    <row r="13" ht="28.35" customHeight="1" s="50">
      <c r="A13" s="53" t="inlineStr">
        <is>
          <t>G-09</t>
        </is>
      </c>
      <c r="B13" s="53" t="inlineStr">
        <is>
          <t>Autorização</t>
        </is>
      </c>
      <c r="C13" s="53" t="inlineStr">
        <is>
          <t>Ator e organização são validados no servidor; acesso cruzado é negado?</t>
        </is>
      </c>
      <c r="D13" s="53" t="inlineStr">
        <is>
          <t>Testes negativos com contexto ausente, inválido e de outra organização.</t>
        </is>
      </c>
      <c r="E13" s="53" t="inlineStr">
        <is>
          <t>A validar</t>
        </is>
      </c>
      <c r="F13" s="53" t="n"/>
      <c r="G13" s="53" t="n"/>
    </row>
    <row r="14" ht="28.35" customHeight="1" s="50">
      <c r="A14" s="53" t="inlineStr">
        <is>
          <t>G-10</t>
        </is>
      </c>
      <c r="B14" s="53" t="inlineStr">
        <is>
          <t>Contabilidade</t>
        </is>
      </c>
      <c r="C14" s="53" t="inlineStr">
        <is>
          <t>Postagem/saldo/reversão respeita TigerBeetle como autoridade do ledger?</t>
        </is>
      </c>
      <c r="D14" s="53" t="inlineStr">
        <is>
          <t>Teste de integração com TigerBeetle e reconciliação independente.</t>
        </is>
      </c>
      <c r="E14" s="53" t="inlineStr">
        <is>
          <t>A validar</t>
        </is>
      </c>
      <c r="F14" s="53" t="n"/>
      <c r="G14" s="53" t="n"/>
    </row>
    <row r="15" ht="28.35" customHeight="1" s="50">
      <c r="A15" s="53" t="inlineStr">
        <is>
          <t>G-11</t>
        </is>
      </c>
      <c r="B15" s="53" t="inlineStr">
        <is>
          <t>Falhas</t>
        </is>
      </c>
      <c r="C15" s="53" t="inlineStr">
        <is>
          <t>Timeout, duplicação, rollback, retry e recuperação são cobertos onde relevantes?</t>
        </is>
      </c>
      <c r="D15" s="53" t="inlineStr">
        <is>
          <t>Testes de falha e resultado idempotente/reconciliável.</t>
        </is>
      </c>
      <c r="E15" s="53" t="inlineStr">
        <is>
          <t>A validar</t>
        </is>
      </c>
      <c r="F15" s="53" t="n"/>
      <c r="G15" s="53" t="n"/>
    </row>
    <row r="16" ht="28.35" customHeight="1" s="50">
      <c r="A16" s="53" t="inlineStr">
        <is>
          <t>G-12</t>
        </is>
      </c>
      <c r="B16" s="53" t="inlineStr">
        <is>
          <t>QA real</t>
        </is>
      </c>
      <c r="C16" s="53" t="inlineStr">
        <is>
          <t>Capacidade foi testada com a stack real, não apenas mocks/fixtures?</t>
        </is>
      </c>
      <c r="D16" s="53" t="inlineStr">
        <is>
          <t>Comando reproduzível e resultado de execução.</t>
        </is>
      </c>
      <c r="E16" s="53" t="inlineStr">
        <is>
          <t>A validar</t>
        </is>
      </c>
      <c r="F16" s="53" t="n"/>
      <c r="G16" s="53" t="n"/>
    </row>
    <row r="17" ht="28.35" customHeight="1" s="50">
      <c r="A17" s="53" t="inlineStr">
        <is>
          <t>G-13</t>
        </is>
      </c>
      <c r="B17" s="53" t="inlineStr">
        <is>
          <t>Operação</t>
        </is>
      </c>
      <c r="C17" s="53" t="inlineStr">
        <is>
          <t>Configuração, logs, métricas, backup e runbook estão tratados quando aplicáveis?</t>
        </is>
      </c>
      <c r="D17" s="53" t="inlineStr">
        <is>
          <t>Checklist operacional e teste de restauração/recuperação relevante.</t>
        </is>
      </c>
      <c r="E17" s="53" t="inlineStr">
        <is>
          <t>A validar</t>
        </is>
      </c>
      <c r="F17" s="53" t="n"/>
      <c r="G17" s="53" t="n"/>
    </row>
    <row r="18" ht="28.35" customHeight="1" s="50">
      <c r="A18" s="53" t="inlineStr">
        <is>
          <t>G-14</t>
        </is>
      </c>
      <c r="B18" s="53" t="inlineStr">
        <is>
          <t>Documentação</t>
        </is>
      </c>
      <c r="C18" s="53" t="inlineStr">
        <is>
          <t>Critério de aceite, limitações conhecidas e evidência estão registradas?</t>
        </is>
      </c>
      <c r="D18" s="53" t="inlineStr">
        <is>
          <t>Doc atualizado com links para código/testes/CI.</t>
        </is>
      </c>
      <c r="E18" s="53" t="inlineStr">
        <is>
          <t>A validar</t>
        </is>
      </c>
      <c r="F18" s="53" t="n"/>
      <c r="G18" s="53" t="n"/>
    </row>
  </sheetData>
  <autoFilter ref="A4:G18"/>
  <dataValidations count="1">
    <dataValidation sqref="E5:E18" showDropDown="0" showInputMessage="0" showErrorMessage="0" allowBlank="1" type="list" errorStyle="stop" operator="between">
      <formula1>"A validar,Não iniciado,Em andamento,Concluído,Bloqueado,Não se aplica"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F18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9" min="1" max="1"/>
    <col width="37" customWidth="1" style="49" min="2" max="2"/>
    <col width="48" customWidth="1" style="49" min="3" max="4"/>
    <col width="15" customWidth="1" style="49" min="5" max="5"/>
    <col width="62" customWidth="1" style="49" min="6" max="6"/>
  </cols>
  <sheetData>
    <row r="1" ht="30" customHeight="1" s="50">
      <c r="A1" s="51" t="inlineStr">
        <is>
          <t>Achados da revisão documental</t>
        </is>
      </c>
      <c r="B1" s="52" t="n"/>
      <c r="C1" s="52" t="n"/>
      <c r="D1" s="52" t="n"/>
      <c r="E1" s="52" t="n"/>
      <c r="F1" s="52" t="n"/>
    </row>
    <row r="2" ht="202.95" customHeight="1" s="50">
      <c r="A2" s="53" t="inlineStr">
        <is>
          <t>Os achados descrevem riscos de planejamento, não defeitos confirmados no código. Confirmar cada item contra o branch/HEAD atual.</t>
        </is>
      </c>
    </row>
    <row r="4" ht="48" customHeight="1" s="50">
      <c r="A4" s="80" t="inlineStr">
        <is>
          <t>ID</t>
        </is>
      </c>
      <c r="B4" s="80" t="inlineStr">
        <is>
          <t>Finding</t>
        </is>
      </c>
      <c r="C4" s="80" t="inlineStr">
        <is>
          <t>Why It Matters</t>
        </is>
      </c>
      <c r="D4" s="80" t="inlineStr">
        <is>
          <t>Adjustment Made</t>
        </is>
      </c>
      <c r="E4" s="80" t="inlineStr">
        <is>
          <t>Risk</t>
        </is>
      </c>
      <c r="F4" s="80" t="inlineStr">
        <is>
          <t>How to Close</t>
        </is>
      </c>
    </row>
    <row r="5" ht="43.5" customHeight="1" s="50">
      <c r="A5" s="83" t="inlineStr">
        <is>
          <t>A-01</t>
        </is>
      </c>
      <c r="B5" s="83" t="inlineStr">
        <is>
          <t>Taxonomia de fases divergente</t>
        </is>
      </c>
      <c r="C5" s="83" t="inlineStr">
        <is>
          <t>O mesmo código F0–F6 representa entregas diferentes na planilha antiga e no roadmap do repositório.</t>
        </is>
      </c>
      <c r="D5" s="83" t="inlineStr">
        <is>
          <t>Fases da aba Roadmap/Fases agora seguem context/roadmap.md; fases antigas permanecem rotuladas como legado.</t>
        </is>
      </c>
      <c r="E5" s="83" t="inlineStr">
        <is>
          <t>Alto</t>
        </is>
      </c>
      <c r="F5" s="83" t="inlineStr">
        <is>
          <t>Reclassificar as telas/funções uma a uma na coluna Fase Kodoo (reclassificar).</t>
        </is>
      </c>
    </row>
    <row r="6" ht="28.35" customHeight="1" s="50">
      <c r="A6" s="53" t="inlineStr">
        <is>
          <t>A-02</t>
        </is>
      </c>
      <c r="B6" s="53" t="inlineStr">
        <is>
          <t>Inventário mede telas/funções, não capacidade pronta</t>
        </is>
      </c>
      <c r="C6" s="53" t="inlineStr">
        <is>
          <t>Uma tela listada não prova domínio, API, CLI/MCP, Ratatui, integração com app ou QA real.</t>
        </is>
      </c>
      <c r="D6" s="53" t="inlineStr">
        <is>
          <t>Roadmap usa entregas com critérios de aceite; aba Gates de aceite mede superfícies.</t>
        </is>
      </c>
      <c r="E6" s="53" t="inlineStr">
        <is>
          <t>Alto</t>
        </is>
      </c>
      <c r="F6" s="53" t="inlineStr">
        <is>
          <t>Relacionar cada capacidade aos IDs T-/FN- e anexar evidência por superfície.</t>
        </is>
      </c>
    </row>
    <row r="7" ht="28.35" customHeight="1" s="50">
      <c r="A7" s="53" t="inlineStr">
        <is>
          <t>A-03</t>
        </is>
      </c>
      <c r="B7" s="53" t="inlineStr">
        <is>
          <t>Status original não é evidência do estado atual</t>
        </is>
      </c>
      <c r="C7" s="53" t="inlineStr">
        <is>
          <t>Status como Existe/Em andamento podem ser apenas suposições de inventário.</t>
        </is>
      </c>
      <c r="D7" s="53" t="inlineStr">
        <is>
          <t>Colunas de status/fase antigas foram renomeadas para explicitar que não foram verificadas contra o código.</t>
        </is>
      </c>
      <c r="E7" s="53" t="inlineStr">
        <is>
          <t>Alto</t>
        </is>
      </c>
      <c r="F7" s="53" t="inlineStr">
        <is>
          <t>Auditar linha a linha com links de código, testes e CI.</t>
        </is>
      </c>
    </row>
    <row r="8" ht="28.35" customHeight="1" s="50">
      <c r="A8" s="53" t="inlineStr">
        <is>
          <t>A-04</t>
        </is>
      </c>
      <c r="B8" s="53" t="inlineStr">
        <is>
          <t>Autenticação não equivale a autorização/isolamento</t>
        </is>
      </c>
      <c r="C8" s="53" t="inlineStr">
        <is>
          <t>Login ou contexto na UI não garantem proteção de dados por organização no servidor.</t>
        </is>
      </c>
      <c r="D8" s="53" t="inlineStr">
        <is>
          <t>F2 e RM-003/RM-004 exigem testes negativos e isolamento transversal.</t>
        </is>
      </c>
      <c r="E8" s="53" t="inlineStr">
        <is>
          <t>Crítico</t>
        </is>
      </c>
      <c r="F8" s="53" t="inlineStr">
        <is>
          <t>Demonstrar rejeição de contexto ausente/malformado e acesso cruzado, incluindo rollback e reuso de conexão.</t>
        </is>
      </c>
    </row>
    <row r="9" ht="28.35" customHeight="1" s="50">
      <c r="A9" s="53" t="inlineStr">
        <is>
          <t>A-05</t>
        </is>
      </c>
      <c r="B9" s="53" t="inlineStr">
        <is>
          <t>PostgreSQL e TigerBeetle têm papéis diferentes</t>
        </is>
      </c>
      <c r="C9" s="53" t="inlineStr">
        <is>
          <t>Persistência operacional não deve substituir o ledger autoritativo; fronteira de dependência importa.</t>
        </is>
      </c>
      <c r="D9" s="53" t="inlineStr">
        <is>
          <t>A1 separa autoridade do ledger, postagem/reversão e reconciliação.</t>
        </is>
      </c>
      <c r="E9" s="53" t="inlineStr">
        <is>
          <t>Crítico</t>
        </is>
      </c>
      <c r="F9" s="53" t="inlineStr">
        <is>
          <t>Provar posting e reconciliação com TigerBeetle real e checar que kodoo-core não depende dele.</t>
        </is>
      </c>
    </row>
    <row r="10" ht="28.35" customHeight="1" s="50">
      <c r="A10" s="53" t="inlineStr">
        <is>
          <t>A-06</t>
        </is>
      </c>
      <c r="B10" s="53" t="inlineStr">
        <is>
          <t>Migração e cutover não são apenas importação de dados</t>
        </is>
      </c>
      <c r="C10" s="53" t="inlineStr">
        <is>
          <t>Sem proveniência, reconciliação, fencing e recovery, migração pode criar perda ou divergência de escrita.</t>
        </is>
      </c>
      <c r="D10" s="53" t="inlineStr">
        <is>
          <t>F5 e F6 têm critérios de saída próprios e dependências explícitas.</t>
        </is>
      </c>
      <c r="E10" s="53" t="inlineStr">
        <is>
          <t>Alto</t>
        </is>
      </c>
      <c r="F10" s="53" t="inlineStr">
        <is>
          <t>Produzir ensaio repetível e relatório de reconciliação antes de planejar cutover.</t>
        </is>
      </c>
    </row>
    <row r="11" ht="28.35" customHeight="1" s="50">
      <c r="A11" s="53" t="inlineStr">
        <is>
          <t>A-07</t>
        </is>
      </c>
      <c r="B11" s="53" t="inlineStr">
        <is>
          <t>MCP/CLI/TUI/Direct são superfícies com critérios próprios</t>
        </is>
      </c>
      <c r="C11" s="53" t="inlineStr">
        <is>
          <t>Compilar uma interface ou ter um stub não comprova operação real nem descoberta por agentes.</t>
        </is>
      </c>
      <c r="D11" s="53" t="inlineStr">
        <is>
          <t>Gates de aceite cobrem CLI JSON/schema, MCP stdio, Ratatui, Direct e app host.</t>
        </is>
      </c>
      <c r="E11" s="53" t="inlineStr">
        <is>
          <t>Alto</t>
        </is>
      </c>
      <c r="F11" s="53" t="inlineStr">
        <is>
          <t>Manter matriz por capacidade, marcando N/A com justificativa.</t>
        </is>
      </c>
    </row>
    <row r="12" ht="28.35" customHeight="1" s="50">
      <c r="A12" s="53" t="inlineStr">
        <is>
          <t>A-08</t>
        </is>
      </c>
      <c r="B12" s="53" t="inlineStr">
        <is>
          <t>Documentação e CI oferecem gates, mas não prova automática de tudo</t>
        </is>
      </c>
      <c r="C12" s="53" t="inlineStr">
        <is>
          <t>CI cobre builds/testes rotineiros; caos/carga e QA de stack real podem exigir execução separada.</t>
        </is>
      </c>
      <c r="D12" s="53" t="inlineStr">
        <is>
          <t>RM-018/RM-020 pedem evidência por fatia e registro de ensaios manuais relevantes.</t>
        </is>
      </c>
      <c r="E12" s="53" t="inlineStr">
        <is>
          <t>Médio/alto</t>
        </is>
      </c>
      <c r="F12" s="53" t="inlineStr">
        <is>
          <t>Anexar link de CI e relatório específico de QA/chaos/load quando necessário.</t>
        </is>
      </c>
    </row>
    <row r="13" ht="28.35" customHeight="1" s="50">
      <c r="A13" s="53" t="inlineStr">
        <is>
          <t>A-09</t>
        </is>
      </c>
      <c r="B13" s="53" t="inlineStr">
        <is>
          <t>Sem issues abertas não significa roadmap completo</t>
        </is>
      </c>
      <c r="C13" s="53" t="inlineStr">
        <is>
          <t>A busca de issues abertas não substitui gap analysis nem critérios de aceite.</t>
        </is>
      </c>
      <c r="D13" s="53" t="inlineStr">
        <is>
          <t>Plano tem tarefas explícitas sem presumir que já existem issues.</t>
        </is>
      </c>
      <c r="E13" s="53" t="inlineStr">
        <is>
          <t>Médio</t>
        </is>
      </c>
      <c r="F13" s="53" t="inlineStr">
        <is>
          <t>Criar issues apenas depois de revisar/priorizar as entregas deste roadmap.</t>
        </is>
      </c>
    </row>
    <row r="14" ht="41.75" customHeight="1" s="50">
      <c r="A14" s="53" t="inlineStr">
        <is>
          <t>A-10</t>
        </is>
      </c>
      <c r="B14" s="53" t="inlineStr">
        <is>
          <t>Gráficos do Roadmap apontavam para células de texto</t>
        </is>
      </c>
      <c r="C14" s="53" t="inlineStr">
        <is>
          <t>Os dois gráficos da aba Roadmap liam intervalos (C16:E22, C30:E36) que hoje contêm itens do roadmap, não contagens.</t>
        </is>
      </c>
      <c r="D14" s="53" t="inlineStr">
        <is>
          <t>Gráficos removidos; o Painel traz gráficos novos ligados a fórmulas.</t>
        </is>
      </c>
      <c r="E14" s="53" t="inlineStr">
        <is>
          <t>Médio</t>
        </is>
      </c>
      <c r="F14" s="53" t="inlineStr">
        <is>
          <t>Conferir o Painel; recriar gráficos extras somente sobre intervalos calculados.</t>
        </is>
      </c>
    </row>
    <row r="15" ht="41.75" customHeight="1" s="50">
      <c r="A15" s="53" t="inlineStr">
        <is>
          <t>A-11</t>
        </is>
      </c>
      <c r="B15" s="53" t="inlineStr">
        <is>
          <t>Gates de aceite sem G-01 e com cabeçalho duplicado</t>
        </is>
      </c>
      <c r="C15" s="53" t="inlineStr">
        <is>
          <t>A numeração começa em G-02 e a linha 5 repete o cabeçalho em inglês; a primeira pergunta de aceite pode ter sido perdida.</t>
        </is>
      </c>
      <c r="D15" s="53" t="inlineStr">
        <is>
          <t>Não alterado (texto original desconhecido); registrado como DEC-006.</t>
        </is>
      </c>
      <c r="E15" s="53" t="inlineStr">
        <is>
          <t>Médio</t>
        </is>
      </c>
      <c r="F15" s="53" t="inlineStr">
        <is>
          <t>Recuperar o G-01 do arquivo original e remover a linha de cabeçalho duplicada.</t>
        </is>
      </c>
    </row>
    <row r="16" ht="41.75" customHeight="1" s="50">
      <c r="A16" s="53" t="inlineStr">
        <is>
          <t>A-12</t>
        </is>
      </c>
      <c r="B16" s="53" t="inlineStr">
        <is>
          <t>Sem catálogo de constantes, métricas e projeções</t>
        </is>
      </c>
      <c r="C16" s="53" t="inlineStr">
        <is>
          <t>Dashboards e relatórios podem implementar cálculos divergentes e criar dependências ocultas entre módulos.</t>
        </is>
      </c>
      <c r="D16" s="53" t="inlineStr">
        <is>
          <t>Abas Constants &amp; Enums, Metrics &amp; Formulas, Projections &amp; Dashboards e Dependencies; itens RM-023 a RM-026.</t>
        </is>
      </c>
      <c r="E16" s="53" t="inlineStr">
        <is>
          <t>Alto</t>
        </is>
      </c>
      <c r="F16" s="53" t="inlineStr">
        <is>
          <t>Verificar cada proposta no código, preencher Code Link e Tests / Evidence e subir o status só com prova.</t>
        </is>
      </c>
    </row>
    <row r="17" ht="41.75" customHeight="1" s="50">
      <c r="A17" s="53" t="inlineStr">
        <is>
          <t>A-13</t>
        </is>
      </c>
      <c r="B17" s="53" t="inlineStr">
        <is>
          <t>Projeção pode ser lida como saldo oficial</t>
        </is>
      </c>
      <c r="C17" s="53" t="inlineStr">
        <is>
          <t>Previsões sem data de referência, premissas versionadas e rótulo podem ser confundidas com saldo contábil.</t>
        </is>
      </c>
      <c r="D17" s="53" t="inlineStr">
        <is>
          <t>Colunas de horizonte, premissas/instante e aviso de não autoridade; DEC-004.</t>
        </is>
      </c>
      <c r="E17" s="53" t="inlineStr">
        <is>
          <t>Alto</t>
        </is>
      </c>
      <c r="F17" s="53" t="inlineStr">
        <is>
          <t>Exigir rótulo e instante de geração em toda saída de projeção e testar na UI.</t>
        </is>
      </c>
    </row>
    <row r="18" ht="28.35" customHeight="1" s="50">
      <c r="A18" s="53" t="inlineStr">
        <is>
          <t>A-14</t>
        </is>
      </c>
      <c r="B18" s="53" t="inlineStr">
        <is>
          <t>Status inicial do Roadmap em texto livre</t>
        </is>
      </c>
      <c r="C18" s="53" t="inlineStr">
        <is>
          <t>A coluna Initial Status mistura frases livres com uma lista suspensa, o que impede medir progresso.</t>
        </is>
      </c>
      <c r="D18" s="53" t="inlineStr">
        <is>
          <t>Coluna Current Status adicionada com lista suspensa; Initial Status preservada como hipótese.</t>
        </is>
      </c>
      <c r="E18" s="53" t="inlineStr">
        <is>
          <t>Baixo</t>
        </is>
      </c>
      <c r="F18" s="53" t="inlineStr">
        <is>
          <t>Atualizar Current Status somente após conferir código, testes e CI.</t>
        </is>
      </c>
    </row>
  </sheetData>
  <autoFilter ref="A4:F13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B8860B"/>
    <outlinePr summaryBelow="1" summaryRight="1"/>
    <pageSetUpPr fitToPage="0"/>
  </sheetPr>
  <dimension ref="A1:C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9" min="1" max="1"/>
    <col width="110" customWidth="1" style="49" min="2" max="2"/>
    <col width="46" customWidth="1" style="49" min="3" max="3"/>
  </cols>
  <sheetData>
    <row r="1" ht="25.5" customHeight="1" s="50">
      <c r="A1" s="90" t="inlineStr">
        <is>
          <t>Racional — constantes, métricas e projeções no roadmap do Kodoo</t>
        </is>
      </c>
      <c r="B1" s="59" t="n"/>
      <c r="C1" s="59" t="n"/>
    </row>
    <row r="2" ht="15" customHeight="1" s="50">
      <c r="A2" s="60" t="inlineStr">
        <is>
          <t>Resposta de assistente de IA (ChatGPT) fornecida pelo proprietário, preservada como registro de decisão; o proprietário concordou. A seção "Aplicação nesta planilha" foi adicionada nesta revisão.</t>
        </is>
      </c>
    </row>
    <row r="4" ht="21.75" customHeight="1" s="50">
      <c r="A4" s="69" t="inlineStr">
        <is>
          <t>Resposta</t>
        </is>
      </c>
      <c r="B4" s="70" t="n"/>
      <c r="C4" s="70" t="n"/>
    </row>
    <row r="5" ht="28.35" customHeight="1" s="50">
      <c r="A5" s="96" t="inlineStr">
        <is>
          <t>Resposta</t>
        </is>
      </c>
      <c r="B5" s="93" t="inlineStr">
        <is>
          <t>Sim — e eu diria que constantes, definições de métricas e contratos de projeção devem fazer parte do roadmap do Kodoo, especialmente para dashboards, relatórios financeiros e indicadores gerenciais.</t>
        </is>
      </c>
      <c r="C5" s="93" t="n"/>
    </row>
    <row r="6" ht="28.35" customHeight="1" s="50">
      <c r="A6" s="96" t="inlineStr">
        <is>
          <t>Distinção importante</t>
        </is>
      </c>
      <c r="B6" s="93" t="inlineStr">
        <is>
          <t>Nem tudo deve ser uma constante. Precisamos separar valores imutáveis, configurações, fórmulas de negócio e modelos de leitura (read models).</t>
        </is>
      </c>
      <c r="C6" s="93" t="n"/>
    </row>
    <row r="7" ht="21.75" customHeight="1" s="50">
      <c r="A7" s="69" t="inlineStr">
        <is>
          <t>1. O que precisamos catalogar</t>
        </is>
      </c>
      <c r="B7" s="70" t="n"/>
      <c r="C7" s="70" t="n"/>
    </row>
    <row r="8" ht="28.35" customHeight="1" s="50">
      <c r="A8" s="96" t="inlineStr">
        <is>
          <t>1. Constantes de domínio</t>
        </is>
      </c>
      <c r="B8" s="93" t="inlineStr">
        <is>
          <t>Valores estáveis que definem regras e significados do negócio. Exemplos: precisão monetária, estados permitidos, códigos de eventos contábeis e limites definidos por norma.</t>
        </is>
      </c>
      <c r="C8" s="93" t="n"/>
    </row>
    <row r="9" ht="28.35" customHeight="1" s="50">
      <c r="A9" s="96" t="inlineStr">
        <is>
          <t>2. Fórmulas e métricas</t>
        </is>
      </c>
      <c r="B9" s="93" t="inlineStr">
        <is>
          <t>Definições únicas e testáveis para indicadores financeiros e gerenciais. Exemplos: saldo disponível, contas vencidas, margem, fluxo de caixa projetado e variação orçamentária.</t>
        </is>
      </c>
      <c r="C9" s="93" t="n"/>
    </row>
    <row r="10" ht="28.35" customHeight="1" s="50">
      <c r="A10" s="96" t="inlineStr">
        <is>
          <t>3. Projeções e dashboards</t>
        </is>
      </c>
      <c r="B10" s="93" t="inlineStr">
        <is>
          <t>Contratos de leitura que especificam indicadores, dimensões, filtros, períodos e origem dos dados. Exemplos: receita mensal, aging de recebíveis, realizado versus orçado e previsão de caixa em 30/60/90 dias.</t>
        </is>
      </c>
      <c r="C10" s="93" t="n"/>
    </row>
    <row r="11" ht="28.35" customHeight="1" s="50">
      <c r="A11" s="96" t="inlineStr">
        <is>
          <t>4. Configurações e políticas</t>
        </is>
      </c>
      <c r="B11" s="93" t="inlineStr">
        <is>
          <t>Valores que podem variar por organização, exercício, usuário ou ambiente. Exemplos: moeda de apresentação, metas, limites de alerta, horizonte da previsão e periodicidade de atualização.</t>
        </is>
      </c>
      <c r="C11" s="93" t="n"/>
    </row>
    <row r="12" ht="21.75" customHeight="1" s="50">
      <c r="A12" s="69" t="inlineStr">
        <is>
          <t>2. Como isso deveria aparecer no repositório</t>
        </is>
      </c>
      <c r="B12" s="70" t="n"/>
      <c r="C12" s="70" t="n"/>
    </row>
    <row r="13" ht="28.35" customHeight="1" s="50">
      <c r="A13" s="96" t="inlineStr">
        <is>
          <t>Proposta</t>
        </is>
      </c>
      <c r="B13" s="93" t="inlineStr">
        <is>
          <t>Adicionar uma aba específica à planilha: `Constants &amp; Projections`, com um registro por definição. Ela não substituiria as abas de funções e módulos.</t>
        </is>
      </c>
      <c r="C13" s="93" t="n"/>
    </row>
    <row r="14" ht="15" customHeight="1" s="50">
      <c r="A14" s="97" t="inlineStr">
        <is>
          <t>Campo</t>
        </is>
      </c>
      <c r="B14" s="97" t="inlineStr">
        <is>
          <t>Finalidade</t>
        </is>
      </c>
      <c r="C14" s="97" t="n"/>
    </row>
    <row r="15" ht="15" customHeight="1" s="50">
      <c r="A15" s="96" t="inlineStr">
        <is>
          <t>ID</t>
        </is>
      </c>
      <c r="B15" s="93" t="inlineStr">
        <is>
          <t>Identificador estável, como `METRIC-001`</t>
        </is>
      </c>
      <c r="C15" s="93" t="n"/>
    </row>
    <row r="16" ht="15" customHeight="1" s="50">
      <c r="A16" s="96" t="inlineStr">
        <is>
          <t>Name (EN)</t>
        </is>
      </c>
      <c r="B16" s="93" t="inlineStr">
        <is>
          <t>Nome canônico em inglês</t>
        </is>
      </c>
      <c r="C16" s="93" t="n"/>
    </row>
    <row r="17" ht="15" customHeight="1" s="50">
      <c r="A17" s="96" t="inlineStr">
        <is>
          <t>Type</t>
        </is>
      </c>
      <c r="B17" s="93" t="inlineStr">
        <is>
          <t>`DomainConstant`, `Metric`, `Projection`, `Dashboard`, `Policy` ou `Enum`</t>
        </is>
      </c>
      <c r="C17" s="93" t="n"/>
    </row>
    <row r="18" ht="15" customHeight="1" s="50">
      <c r="A18" s="96" t="inlineStr">
        <is>
          <t>Parent Module</t>
        </is>
      </c>
      <c r="B18" s="93" t="inlineStr">
        <is>
          <t>Módulo responsável</t>
        </is>
      </c>
      <c r="C18" s="93" t="n"/>
    </row>
    <row r="19" ht="15" customHeight="1" s="50">
      <c r="A19" s="96" t="inlineStr">
        <is>
          <t>Submodule</t>
        </is>
      </c>
      <c r="B19" s="93" t="inlineStr">
        <is>
          <t>Área específica</t>
        </is>
      </c>
      <c r="C19" s="93" t="n"/>
    </row>
    <row r="20" ht="15" customHeight="1" s="50">
      <c r="A20" s="96" t="inlineStr">
        <is>
          <t>Definition / Formula</t>
        </is>
      </c>
      <c r="B20" s="93" t="inlineStr">
        <is>
          <t>Regra ou fórmula formal</t>
        </is>
      </c>
      <c r="C20" s="93" t="n"/>
    </row>
    <row r="21" ht="15" customHeight="1" s="50">
      <c r="A21" s="96" t="inlineStr">
        <is>
          <t>Data Source</t>
        </is>
      </c>
      <c r="B21" s="93" t="inlineStr">
        <is>
          <t>Ledger, PostgreSQL, subledger ou outra fonte</t>
        </is>
      </c>
      <c r="C21" s="93" t="n"/>
    </row>
    <row r="22" ht="15" customHeight="1" s="50">
      <c r="A22" s="96" t="inlineStr">
        <is>
          <t>Dimensions &amp; Filters</t>
        </is>
      </c>
      <c r="B22" s="93" t="inlineStr">
        <is>
          <t>Organização, período, moeda e demais dimensões</t>
        </is>
      </c>
      <c r="C22" s="93" t="n"/>
    </row>
    <row r="23" ht="15" customHeight="1" s="50">
      <c r="A23" s="96" t="inlineStr">
        <is>
          <t>Implementation Status</t>
        </is>
      </c>
      <c r="B23" s="93" t="inlineStr">
        <is>
          <t>`Planned`, `Partial`, `Implemented`, `Verified`</t>
        </is>
      </c>
      <c r="C23" s="93" t="n"/>
    </row>
    <row r="24" ht="15" customHeight="1" s="50">
      <c r="A24" s="96" t="inlineStr">
        <is>
          <t>Code Link</t>
        </is>
      </c>
      <c r="B24" s="93" t="inlineStr">
        <is>
          <t>Link para o código real, quando existente</t>
        </is>
      </c>
      <c r="C24" s="93" t="n"/>
    </row>
    <row r="25" ht="15" customHeight="1" s="50">
      <c r="A25" s="96" t="inlineStr">
        <is>
          <t>Tests / Evidence</t>
        </is>
      </c>
      <c r="B25" s="93" t="inlineStr">
        <is>
          <t>Testes de cálculo, reconciliação e atualização</t>
        </is>
      </c>
      <c r="C25" s="93" t="n"/>
    </row>
    <row r="26" ht="15" customHeight="1" s="50">
      <c r="A26" s="96" t="inlineStr">
        <is>
          <t>Princípio central</t>
        </is>
      </c>
      <c r="B26" s="93" t="inlineStr">
        <is>
          <t>O ponto central é que cada métrica tenha uma definição canônica, em vez de cada dashboard implementar seu próprio cálculo.</t>
        </is>
      </c>
      <c r="C26" s="93" t="n"/>
    </row>
    <row r="27" ht="21.75" customHeight="1" s="50">
      <c r="A27" s="69" t="inlineStr">
        <is>
          <t>3. Exemplos para o Kodoo</t>
        </is>
      </c>
      <c r="B27" s="70" t="n"/>
      <c r="C27" s="70" t="n"/>
    </row>
    <row r="28" ht="15" customHeight="1" s="50">
      <c r="A28" s="96" t="inlineStr">
        <is>
          <t>Nota</t>
        </is>
      </c>
      <c r="B28" s="93" t="inlineStr">
        <is>
          <t>Estes são exemplos de itens que eu catalogaria, não afirmações de que já existam no código.</t>
        </is>
      </c>
      <c r="C28" s="93" t="n"/>
    </row>
    <row r="29" ht="15" customHeight="1" s="50">
      <c r="A29" s="97" t="inlineStr">
        <is>
          <t>ID</t>
        </is>
      </c>
      <c r="B29" s="97" t="inlineStr">
        <is>
          <t>Definição</t>
        </is>
      </c>
      <c r="C29" s="97" t="inlineStr">
        <is>
          <t>Módulo pai proposto</t>
        </is>
      </c>
    </row>
    <row r="30" ht="15" customHeight="1" s="50">
      <c r="A30" s="96" t="inlineStr">
        <is>
          <t>CONST-001</t>
        </is>
      </c>
      <c r="B30" s="93" t="inlineStr">
        <is>
          <t>Currency precision and rounding rules</t>
        </is>
      </c>
      <c r="C30" s="93" t="inlineStr">
        <is>
          <t>accounting</t>
        </is>
      </c>
    </row>
    <row r="31" ht="15" customHeight="1" s="50">
      <c r="A31" s="96" t="inlineStr">
        <is>
          <t>ENUM-001</t>
        </is>
      </c>
      <c r="B31" s="93" t="inlineStr">
        <is>
          <t>Journal entry lifecycle states</t>
        </is>
      </c>
      <c r="C31" s="93" t="inlineStr">
        <is>
          <t>accounting</t>
        </is>
      </c>
    </row>
    <row r="32" ht="15" customHeight="1" s="50">
      <c r="A32" s="96" t="inlineStr">
        <is>
          <t>METRIC-001</t>
        </is>
      </c>
      <c r="B32" s="93" t="inlineStr">
        <is>
          <t>Posted revenue by period</t>
        </is>
      </c>
      <c r="C32" s="93" t="inlineStr">
        <is>
          <t>accounting</t>
        </is>
      </c>
    </row>
    <row r="33" ht="15" customHeight="1" s="50">
      <c r="A33" s="96" t="inlineStr">
        <is>
          <t>METRIC-002</t>
        </is>
      </c>
      <c r="B33" s="93" t="inlineStr">
        <is>
          <t>Accounts receivable aging</t>
        </is>
      </c>
      <c r="C33" s="93" t="inlineStr">
        <is>
          <t>accounting</t>
        </is>
      </c>
    </row>
    <row r="34" ht="15" customHeight="1" s="50">
      <c r="A34" s="96" t="inlineStr">
        <is>
          <t>PROJ-001</t>
        </is>
      </c>
      <c r="B34" s="93" t="inlineStr">
        <is>
          <t>Cash flow forecast, 30/60/90 days</t>
        </is>
      </c>
      <c r="C34" s="93" t="inlineStr">
        <is>
          <t>accounting</t>
        </is>
      </c>
    </row>
    <row r="35" ht="15" customHeight="1" s="50">
      <c r="A35" s="96" t="inlineStr">
        <is>
          <t>PROJ-002</t>
        </is>
      </c>
      <c r="B35" s="93" t="inlineStr">
        <is>
          <t>Actual versus budget</t>
        </is>
      </c>
      <c r="C35" s="93" t="inlineStr">
        <is>
          <t>accounting ou futuro módulo de orçamento</t>
        </is>
      </c>
    </row>
    <row r="36" ht="15" customHeight="1" s="50">
      <c r="A36" s="96" t="inlineStr">
        <is>
          <t>DASH-001</t>
        </is>
      </c>
      <c r="B36" s="93" t="inlineStr">
        <is>
          <t>Finance overview dashboard</t>
        </is>
      </c>
      <c r="C36" s="93" t="inlineStr">
        <is>
          <t>apps/kalkulisto — composição de interface</t>
        </is>
      </c>
    </row>
    <row r="37" ht="15" customHeight="1" s="50">
      <c r="A37" s="96" t="inlineStr">
        <is>
          <t>DASH-002</t>
        </is>
      </c>
      <c r="B37" s="93" t="inlineStr">
        <is>
          <t>Reconciliation exceptions dashboard</t>
        </is>
      </c>
      <c r="C37" s="93" t="inlineStr">
        <is>
          <t>accounting — dados e regras; app — apresentação</t>
        </is>
      </c>
    </row>
    <row r="38" ht="28.35" customHeight="1" s="50">
      <c r="A38" s="96" t="inlineStr">
        <is>
          <t>Arquitetura</t>
        </is>
      </c>
      <c r="B38" s="93" t="inlineStr">
        <is>
          <t>Essa separação respeita a arquitetura documentada do Kodoo: o módulo de domínio é responsável pelas regras e pelos dados; a aplicação apresenta as informações, sem se tornar a autoridade do cálculo contábil.</t>
        </is>
      </c>
      <c r="C38" s="93" t="n"/>
    </row>
    <row r="39" ht="21.75" customHeight="1" s="50">
      <c r="A39" s="69" t="inlineStr">
        <is>
          <t>4. Um cuidado especial com projeções financeiras</t>
        </is>
      </c>
      <c r="B39" s="70" t="n"/>
      <c r="C39" s="70" t="n"/>
    </row>
    <row r="40" ht="15" customHeight="1" s="50">
      <c r="A40" s="96" t="inlineStr">
        <is>
          <t>Princípio</t>
        </is>
      </c>
      <c r="B40" s="93" t="inlineStr">
        <is>
          <t>Uma projeção não é uma constante. Ela é um cálculo baseado em dados, premissas e um instante de referência.</t>
        </is>
      </c>
      <c r="C40" s="93" t="n"/>
    </row>
    <row r="41" ht="95.5" customHeight="1" s="50">
      <c r="A41" s="96" t="inlineStr">
        <is>
          <t>Previsão de caixa deve especificar</t>
        </is>
      </c>
      <c r="B41" s="93" t="inlineStr">
        <is>
          <t>• saldo inicial e data de referência;
• recebimentos e pagamentos previstos;
• tratamento de itens vencidos, recorrentes e incertos;
• moeda e regras de conversão;
• horizonte temporal;
• versão das premissas e instante de geração;
• diferença entre valores realizados e projetados.</t>
        </is>
      </c>
      <c r="C41" s="93" t="n"/>
    </row>
    <row r="42" ht="28.35" customHeight="1" s="50">
      <c r="A42" s="96" t="inlineStr">
        <is>
          <t>Restrição</t>
        </is>
      </c>
      <c r="B42" s="93" t="inlineStr">
        <is>
          <t>Também precisamos impedir que uma projeção seja apresentada como saldo contábil oficial. O ledger autoritativo e os modelos de leitura têm responsabilidades distintas.</t>
        </is>
      </c>
      <c r="C42" s="93" t="n"/>
    </row>
    <row r="43" ht="21.75" customHeight="1" s="50">
      <c r="A43" s="69" t="inlineStr">
        <is>
          <t>5. O que eu faria em seguida</t>
        </is>
      </c>
      <c r="B43" s="70" t="n"/>
      <c r="C43" s="70" t="n"/>
    </row>
    <row r="44" ht="68.65000000000001" customHeight="1" s="50">
      <c r="A44" s="96" t="inlineStr">
        <is>
          <t>Quatro inventários</t>
        </is>
      </c>
      <c r="B44" s="93" t="inlineStr">
        <is>
          <t>Eu ampliaria a planilha com quatro inventários relacionados:
1. `Constants &amp; Enums` — constantes, estados e códigos de domínio.
2. `Metrics &amp; Formulas` — indicadores e cálculos canônicos.
3. `Projections &amp; Dashboards` — contratos de leitura, projeções e composições visuais.
4. `Dependencies` — relações entre métricas, funções, tabelas, módulos e telas.</t>
        </is>
      </c>
      <c r="C44" s="93" t="n"/>
    </row>
    <row r="45" ht="28.35" customHeight="1" s="50">
      <c r="A45" s="96" t="inlineStr">
        <is>
          <t>Registro</t>
        </is>
      </c>
      <c r="B45" s="93" t="inlineStr">
        <is>
          <t>Cada registro teria um módulo pai, submódulo, link para o repositório e evidência de implementação. Quando o proprietário ainda não estiver claro, isso ficaria explícito como decisão pendente, em vez de inventarmos uma localização.</t>
        </is>
      </c>
      <c r="C45" s="93" t="n"/>
    </row>
    <row r="46" ht="28.35" customHeight="1" s="50">
      <c r="A46" s="96" t="inlineStr">
        <is>
          <t>Recomendação</t>
        </is>
      </c>
      <c r="B46" s="93" t="inlineStr">
        <is>
          <t>Sim, devemos incluir esses itens antes de considerar o roadmap completo. Eles são especialmente importantes para impedir cálculos divergentes, dashboards inconsistentes e dependências ocultas entre módulos.</t>
        </is>
      </c>
      <c r="C46" s="93" t="n"/>
    </row>
    <row r="47" ht="21.75" customHeight="1" s="50">
      <c r="A47" s="69" t="inlineStr">
        <is>
          <t>Aplicação nesta planilha (adicionado na revisão v2)</t>
        </is>
      </c>
      <c r="B47" s="70" t="n"/>
      <c r="C47" s="70" t="n"/>
    </row>
    <row r="48" ht="15" customHeight="1" s="50">
      <c r="A48" s="97" t="inlineStr">
        <is>
          <t>Recomendação</t>
        </is>
      </c>
      <c r="B48" s="97" t="inlineStr">
        <is>
          <t>Onde está agora</t>
        </is>
      </c>
      <c r="C48" s="97" t="inlineStr">
        <is>
          <t>Observação</t>
        </is>
      </c>
    </row>
    <row r="49" ht="15" customHeight="1" s="50">
      <c r="A49" s="96" t="inlineStr">
        <is>
          <t>`Constants &amp; Enums`</t>
        </is>
      </c>
      <c r="B49" s="93" t="inlineStr">
        <is>
          <t>Aba Constants &amp; Enums</t>
        </is>
      </c>
      <c r="C49" s="93" t="inlineStr">
        <is>
          <t>Inclui Enum, DomainConstant e Policy.</t>
        </is>
      </c>
    </row>
    <row r="50" ht="15" customHeight="1" s="50">
      <c r="A50" s="96" t="inlineStr">
        <is>
          <t>`Metrics &amp; Formulas`</t>
        </is>
      </c>
      <c r="B50" s="93" t="inlineStr">
        <is>
          <t>Aba Metrics &amp; Formulas</t>
        </is>
      </c>
      <c r="C50" s="93" t="n"/>
    </row>
    <row r="51" ht="28.35" customHeight="1" s="50">
      <c r="A51" s="96" t="inlineStr">
        <is>
          <t>`Projections &amp; Dashboards`</t>
        </is>
      </c>
      <c r="B51" s="93" t="inlineStr">
        <is>
          <t>Aba Projections &amp; Dashboards</t>
        </is>
      </c>
      <c r="C51" s="93" t="inlineStr">
        <is>
          <t>Colunas extras: horizonte, premissas/instante de referência e aviso de não autoridade.</t>
        </is>
      </c>
    </row>
    <row r="52" ht="28.35" customHeight="1" s="50">
      <c r="A52" s="96" t="inlineStr">
        <is>
          <t>`Dependencies`</t>
        </is>
      </c>
      <c r="B52" s="93" t="inlineStr">
        <is>
          <t>Aba Dependencies</t>
        </is>
      </c>
      <c r="C52" s="93" t="inlineStr">
        <is>
          <t>Nome, tipo e validade dos IDs são calculados; aceita IDs de definições, FN-, T-, RM- e módulos.</t>
        </is>
      </c>
    </row>
    <row r="53" ht="41.75" customHeight="1" s="50">
      <c r="A53" s="96" t="inlineStr">
        <is>
          <t>Aba única `Constants &amp; Projections`</t>
        </is>
      </c>
      <c r="B53" s="93" t="inlineStr">
        <is>
          <t>Consolidada nos quatro inventários</t>
        </is>
      </c>
      <c r="C53" s="93" t="inlineStr">
        <is>
          <t>A seção 5 da resposta é a recomendação final; a visão unificada está no Painel (contagens por tipo, status e módulo).</t>
        </is>
      </c>
    </row>
    <row r="54" ht="28.35" customHeight="1" s="50">
      <c r="A54" s="96" t="inlineStr">
        <is>
          <t>Decisão pendente em vez de inventar localização</t>
        </is>
      </c>
      <c r="B54" s="93" t="inlineStr">
        <is>
          <t>Aba Decisões pendentes</t>
        </is>
      </c>
      <c r="C54" s="93" t="inlineStr">
        <is>
          <t>Parent Module = "TBD (owner pending)" e Ownership Decision Pending = Sim sinalizam o caso.</t>
        </is>
      </c>
    </row>
    <row r="55" ht="28.35" customHeight="1" s="50">
      <c r="A55" s="96" t="inlineStr">
        <is>
          <t>Roadmap completo antes de considerar concluído</t>
        </is>
      </c>
      <c r="B55" s="93" t="inlineStr">
        <is>
          <t>Roadmap RM-023 a RM-026</t>
        </is>
      </c>
      <c r="C55" s="93" t="inlineStr">
        <is>
          <t>Quatro itens novos com critério de aceite e evidência.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P38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49" min="1" max="1"/>
    <col width="22" customWidth="1" style="49" min="2" max="2"/>
    <col width="18" customWidth="1" style="49" min="3" max="3"/>
    <col width="22" customWidth="1" style="49" min="4" max="4"/>
    <col width="18" customWidth="1" style="49" min="5" max="5"/>
    <col width="14" customWidth="1" style="49" min="6" max="6"/>
    <col width="58" customWidth="1" style="49" min="7" max="7"/>
    <col width="4" customWidth="1" style="49" min="8" max="8"/>
    <col width="30" customWidth="1" style="49" min="9" max="14"/>
    <col width="4" customWidth="1" style="49" min="15" max="15"/>
    <col width="30" customWidth="1" style="49" min="16" max="16"/>
  </cols>
  <sheetData>
    <row r="1" ht="30" customHeight="1" s="50">
      <c r="A1" s="51" t="inlineStr">
        <is>
          <t>Listas de apoio (alimentam as listas suspensas)</t>
        </is>
      </c>
      <c r="B1" s="52" t="n"/>
      <c r="C1" s="52" t="n"/>
      <c r="D1" s="52" t="n"/>
      <c r="E1" s="52" t="n"/>
      <c r="F1" s="52" t="n"/>
      <c r="G1" s="52" t="n"/>
    </row>
    <row r="2" ht="15" customHeight="1" s="50">
      <c r="A2" s="81" t="inlineStr">
        <is>
          <t>Acrescente itens nas colunas abaixo; as listas suspensas e o Roadmap passam a usá-los.</t>
        </is>
      </c>
    </row>
    <row r="3" ht="15" customHeight="1" s="50">
      <c r="I3" s="60" t="inlineStr">
        <is>
          <t>Novas listas (revisão v2): prefixos de ID, tipos de definição, status de implementação, relações e níveis de autoridade alimentam as abas Constants &amp; Enums, Metrics &amp; Formulas, Projections &amp; Dashboards e Dependencies. A coluna P lista os módulos pai aceitos; acrescente novos módulos no fim.</t>
        </is>
      </c>
    </row>
    <row r="4" ht="43.5" customHeight="1" s="50">
      <c r="A4" s="82" t="inlineStr">
        <is>
          <t>Módulos</t>
        </is>
      </c>
      <c r="B4" s="82" t="inlineStr">
        <is>
          <t>Status</t>
        </is>
      </c>
      <c r="C4" s="82" t="inlineStr">
        <is>
          <t>Prioridade</t>
        </is>
      </c>
      <c r="D4" s="82" t="inlineStr">
        <is>
          <t>Tipo de função</t>
        </is>
      </c>
      <c r="E4" s="82" t="inlineStr">
        <is>
          <t>Sim / Não</t>
        </is>
      </c>
      <c r="F4" s="80" t="n"/>
      <c r="G4" s="83" t="inlineStr">
        <is>
          <t>Atenção</t>
        </is>
      </c>
      <c r="I4" s="82" t="inlineStr">
        <is>
          <t>Prefixo de ID</t>
        </is>
      </c>
      <c r="J4" s="82" t="inlineStr">
        <is>
          <t>Tipo de artefato</t>
        </is>
      </c>
      <c r="K4" s="82" t="inlineStr">
        <is>
          <t>Definition Type</t>
        </is>
      </c>
      <c r="L4" s="82" t="inlineStr">
        <is>
          <t>Implementation Status</t>
        </is>
      </c>
      <c r="M4" s="82" t="inlineStr">
        <is>
          <t>Relation</t>
        </is>
      </c>
      <c r="N4" s="82" t="inlineStr">
        <is>
          <t>Authority Level</t>
        </is>
      </c>
      <c r="P4" s="82" t="inlineStr">
        <is>
          <t>Parent Module (definições)</t>
        </is>
      </c>
    </row>
    <row r="5" ht="15" customHeight="1" s="50">
      <c r="A5" s="84" t="inlineStr">
        <is>
          <t>Shell e Navegação</t>
        </is>
      </c>
      <c r="B5" s="84" t="inlineStr">
        <is>
          <t>Existe</t>
        </is>
      </c>
      <c r="C5" s="84" t="inlineStr">
        <is>
          <t>Alta</t>
        </is>
      </c>
      <c r="D5" s="84" t="inlineStr">
        <is>
          <t>Comando</t>
        </is>
      </c>
      <c r="E5" s="84" t="inlineStr">
        <is>
          <t>Sim</t>
        </is>
      </c>
      <c r="G5" s="81" t="inlineStr">
        <is>
          <t>Status e Tipo alimentam fórmulas do Roadmap: não renomeie 'Existe', 'Em andamento', 'Planejada' e 'Descartada'.</t>
        </is>
      </c>
      <c r="I5" s="84" t="inlineStr">
        <is>
          <t>CONST</t>
        </is>
      </c>
      <c r="J5" s="84" t="inlineStr">
        <is>
          <t>Constant</t>
        </is>
      </c>
      <c r="K5" s="84" t="inlineStr">
        <is>
          <t>DomainConstant</t>
        </is>
      </c>
      <c r="L5" s="84" t="inlineStr">
        <is>
          <t>Planned</t>
        </is>
      </c>
      <c r="M5" s="84" t="inlineStr">
        <is>
          <t>depends on</t>
        </is>
      </c>
      <c r="N5" s="84" t="inlineStr">
        <is>
          <t>Domain rule (authoritative)</t>
        </is>
      </c>
      <c r="P5" s="84" t="inlineStr">
        <is>
          <t>accounting</t>
        </is>
      </c>
    </row>
    <row r="6" ht="15" customHeight="1" s="50">
      <c r="A6" s="84" t="inlineStr">
        <is>
          <t>Fundação e Infraestrutura</t>
        </is>
      </c>
      <c r="B6" s="84" t="inlineStr">
        <is>
          <t>Em andamento</t>
        </is>
      </c>
      <c r="C6" s="84" t="inlineStr">
        <is>
          <t>Média</t>
        </is>
      </c>
      <c r="D6" s="84" t="inlineStr">
        <is>
          <t>Consulta</t>
        </is>
      </c>
      <c r="E6" s="84" t="inlineStr">
        <is>
          <t>Parcial</t>
        </is>
      </c>
      <c r="I6" s="84" t="inlineStr">
        <is>
          <t>ENUM</t>
        </is>
      </c>
      <c r="J6" s="84" t="inlineStr">
        <is>
          <t>Enum</t>
        </is>
      </c>
      <c r="K6" s="84" t="inlineStr">
        <is>
          <t>Enum</t>
        </is>
      </c>
      <c r="L6" s="84" t="inlineStr">
        <is>
          <t>Partial</t>
        </is>
      </c>
      <c r="M6" s="84" t="inlineStr">
        <is>
          <t>reads from</t>
        </is>
      </c>
      <c r="N6" s="84" t="inlineStr">
        <is>
          <t>Configuration / policy</t>
        </is>
      </c>
      <c r="P6" s="84" t="inlineStr">
        <is>
          <t>people</t>
        </is>
      </c>
    </row>
    <row r="7" ht="15" customHeight="1" s="50">
      <c r="A7" s="84" t="inlineStr">
        <is>
          <t>Administração e Segurança</t>
        </is>
      </c>
      <c r="B7" s="84" t="inlineStr">
        <is>
          <t>Planejada</t>
        </is>
      </c>
      <c r="C7" s="84" t="inlineStr">
        <is>
          <t>Baixa</t>
        </is>
      </c>
      <c r="D7" s="84" t="inlineStr">
        <is>
          <t>Cálculo</t>
        </is>
      </c>
      <c r="E7" s="84" t="inlineStr">
        <is>
          <t>Não</t>
        </is>
      </c>
      <c r="I7" s="84" t="inlineStr">
        <is>
          <t>POL</t>
        </is>
      </c>
      <c r="J7" s="84" t="inlineStr">
        <is>
          <t>Policy</t>
        </is>
      </c>
      <c r="K7" s="84" t="inlineStr">
        <is>
          <t>Policy</t>
        </is>
      </c>
      <c r="L7" s="84" t="inlineStr">
        <is>
          <t>Implemented</t>
        </is>
      </c>
      <c r="M7" s="84" t="inlineStr">
        <is>
          <t>computed from</t>
        </is>
      </c>
      <c r="N7" s="84" t="inlineStr">
        <is>
          <t>Derived read model</t>
        </is>
      </c>
      <c r="P7" s="84" t="inlineStr">
        <is>
          <t>contests</t>
        </is>
      </c>
    </row>
    <row r="8" ht="15" customHeight="1" s="50">
      <c r="A8" s="84" t="inlineStr">
        <is>
          <t>Plano de Contas</t>
        </is>
      </c>
      <c r="B8" s="84" t="inlineStr">
        <is>
          <t>Descartada</t>
        </is>
      </c>
      <c r="C8" s="98" t="n"/>
      <c r="D8" s="84" t="inlineStr">
        <is>
          <t>Invariante</t>
        </is>
      </c>
      <c r="E8" s="84" t="inlineStr">
        <is>
          <t>N/A</t>
        </is>
      </c>
      <c r="I8" s="84" t="inlineStr">
        <is>
          <t>METRIC</t>
        </is>
      </c>
      <c r="J8" s="84" t="inlineStr">
        <is>
          <t>Metric</t>
        </is>
      </c>
      <c r="K8" s="84" t="inlineStr">
        <is>
          <t>Metric</t>
        </is>
      </c>
      <c r="L8" s="84" t="inlineStr">
        <is>
          <t>Verified</t>
        </is>
      </c>
      <c r="M8" s="84" t="inlineStr">
        <is>
          <t>governed by</t>
        </is>
      </c>
      <c r="N8" s="84" t="inlineStr">
        <is>
          <t>Projection (non-authoritative)</t>
        </is>
      </c>
      <c r="P8" s="84" t="inlineStr">
        <is>
          <t>knowledge</t>
        </is>
      </c>
    </row>
    <row r="9" ht="15" customHeight="1" s="50">
      <c r="A9" s="84" t="inlineStr">
        <is>
          <t>Lançamentos e Diários</t>
        </is>
      </c>
      <c r="B9" s="98" t="n"/>
      <c r="C9" s="98" t="n"/>
      <c r="D9" s="84" t="inlineStr">
        <is>
          <t>Relatório</t>
        </is>
      </c>
      <c r="E9" s="98" t="n"/>
      <c r="I9" s="84" t="inlineStr">
        <is>
          <t>PROJ</t>
        </is>
      </c>
      <c r="J9" s="84" t="inlineStr">
        <is>
          <t>Projection</t>
        </is>
      </c>
      <c r="K9" s="84" t="inlineStr">
        <is>
          <t>Projection</t>
        </is>
      </c>
      <c r="M9" s="84" t="inlineStr">
        <is>
          <t>validated by</t>
        </is>
      </c>
      <c r="N9" s="84" t="inlineStr">
        <is>
          <t>Presentation only</t>
        </is>
      </c>
      <c r="P9" s="84" t="inlineStr">
        <is>
          <t>admin-bi</t>
        </is>
      </c>
    </row>
    <row r="10" ht="15" customHeight="1" s="50">
      <c r="A10" s="84" t="inlineStr">
        <is>
          <t>Razão e Balancetes</t>
        </is>
      </c>
      <c r="B10" s="98" t="n"/>
      <c r="C10" s="98" t="n"/>
      <c r="D10" s="84" t="inlineStr">
        <is>
          <t>Importação</t>
        </is>
      </c>
      <c r="E10" s="98" t="n"/>
      <c r="I10" s="84" t="inlineStr">
        <is>
          <t>DASH</t>
        </is>
      </c>
      <c r="J10" s="84" t="inlineStr">
        <is>
          <t>Dashboard</t>
        </is>
      </c>
      <c r="K10" s="84" t="inlineStr">
        <is>
          <t>Dashboard</t>
        </is>
      </c>
      <c r="M10" s="84" t="inlineStr">
        <is>
          <t>displayed in</t>
        </is>
      </c>
      <c r="P10" s="84" t="inlineStr">
        <is>
          <t>project-manager</t>
        </is>
      </c>
    </row>
    <row r="11" ht="15" customHeight="1" s="50">
      <c r="A11" s="84" t="inlineStr">
        <is>
          <t>Períodos e Fechamento</t>
        </is>
      </c>
      <c r="B11" s="98" t="n"/>
      <c r="C11" s="98" t="n"/>
      <c r="D11" s="84" t="inlineStr">
        <is>
          <t>Segurança</t>
        </is>
      </c>
      <c r="E11" s="98" t="n"/>
      <c r="I11" s="84" t="inlineStr">
        <is>
          <t>FN</t>
        </is>
      </c>
      <c r="J11" s="84" t="inlineStr">
        <is>
          <t>Function</t>
        </is>
      </c>
      <c r="P11" s="84" t="inlineStr">
        <is>
          <t>proposals</t>
        </is>
      </c>
    </row>
    <row r="12" ht="15" customHeight="1" s="50">
      <c r="A12" s="84" t="inlineStr">
        <is>
          <t>Cadastros Base</t>
        </is>
      </c>
      <c r="B12" s="98" t="n"/>
      <c r="C12" s="98" t="n"/>
      <c r="D12" s="84" t="inlineStr">
        <is>
          <t>Infra</t>
        </is>
      </c>
      <c r="E12" s="98" t="n"/>
      <c r="I12" s="84" t="inlineStr">
        <is>
          <t>T</t>
        </is>
      </c>
      <c r="J12" s="84" t="inlineStr">
        <is>
          <t>Screen</t>
        </is>
      </c>
      <c r="P12" s="84" t="inlineStr">
        <is>
          <t>apps/kalkulisto</t>
        </is>
      </c>
    </row>
    <row r="13" ht="15" customHeight="1" s="50">
      <c r="A13" s="84" t="inlineStr">
        <is>
          <t>Moedas e Câmbio</t>
        </is>
      </c>
      <c r="B13" s="98" t="n"/>
      <c r="C13" s="98" t="n"/>
      <c r="D13" s="98" t="n"/>
      <c r="E13" s="98" t="n"/>
      <c r="I13" s="84" t="inlineStr">
        <is>
          <t>RM</t>
        </is>
      </c>
      <c r="J13" s="84" t="inlineStr">
        <is>
          <t>Roadmap item</t>
        </is>
      </c>
      <c r="P13" s="84" t="inlineStr">
        <is>
          <t>apps/kalkulisto-tui</t>
        </is>
      </c>
    </row>
    <row r="14" ht="15" customHeight="1" s="50">
      <c r="A14" s="84" t="inlineStr">
        <is>
          <t>Contas a Pagar</t>
        </is>
      </c>
      <c r="B14" s="98" t="n"/>
      <c r="C14" s="98" t="n"/>
      <c r="D14" s="98" t="n"/>
      <c r="E14" s="98" t="n"/>
      <c r="P14" s="84" t="inlineStr">
        <is>
          <t>apps/trivia</t>
        </is>
      </c>
    </row>
    <row r="15" ht="15" customHeight="1" s="50">
      <c r="A15" s="84" t="inlineStr">
        <is>
          <t>Contas a Receber</t>
        </is>
      </c>
      <c r="B15" s="98" t="n"/>
      <c r="C15" s="98" t="n"/>
      <c r="D15" s="98" t="n"/>
      <c r="E15" s="98" t="n"/>
      <c r="P15" s="84" t="inlineStr">
        <is>
          <t>apps/knowledge</t>
        </is>
      </c>
    </row>
    <row r="16" ht="15" customHeight="1" s="50">
      <c r="A16" s="84" t="inlineStr">
        <is>
          <t>Tesouraria e Bancos</t>
        </is>
      </c>
      <c r="B16" s="98" t="n"/>
      <c r="C16" s="98" t="n"/>
      <c r="D16" s="98" t="n"/>
      <c r="E16" s="98" t="n"/>
      <c r="P16" s="84" t="inlineStr">
        <is>
          <t>TBD (owner pending)</t>
        </is>
      </c>
    </row>
    <row r="17" ht="15" customHeight="1" s="50">
      <c r="A17" s="84" t="inlineStr">
        <is>
          <t>Orçamento</t>
        </is>
      </c>
      <c r="B17" s="98" t="n"/>
      <c r="C17" s="98" t="n"/>
      <c r="D17" s="98" t="n"/>
      <c r="E17" s="98" t="n"/>
    </row>
    <row r="18" ht="15" customHeight="1" s="50">
      <c r="A18" s="84" t="inlineStr">
        <is>
          <t>Relatórios Financeiros</t>
        </is>
      </c>
      <c r="B18" s="98" t="n"/>
      <c r="C18" s="98" t="n"/>
      <c r="D18" s="98" t="n"/>
      <c r="E18" s="98" t="n"/>
    </row>
    <row r="19" ht="15" customHeight="1" s="50">
      <c r="A19" s="84" t="inlineStr">
        <is>
          <t>Fiscal e Tributos</t>
        </is>
      </c>
      <c r="B19" s="98" t="n"/>
      <c r="C19" s="98" t="n"/>
      <c r="D19" s="98" t="n"/>
      <c r="E19" s="98" t="n"/>
    </row>
    <row r="20" ht="15" customHeight="1" s="50">
      <c r="A20" s="84" t="inlineStr">
        <is>
          <t>Ativo Imobilizado</t>
        </is>
      </c>
      <c r="B20" s="98" t="n"/>
      <c r="C20" s="98" t="n"/>
      <c r="D20" s="98" t="n"/>
      <c r="E20" s="98" t="n"/>
    </row>
    <row r="21" ht="15" customHeight="1" s="50">
      <c r="A21" s="84" t="inlineStr">
        <is>
          <t>Importação e Integração</t>
        </is>
      </c>
      <c r="B21" s="98" t="n"/>
      <c r="C21" s="98" t="n"/>
      <c r="D21" s="98" t="n"/>
      <c r="E21" s="98" t="n"/>
    </row>
    <row r="22" ht="15" customHeight="1" s="50">
      <c r="A22" s="84" t="inlineStr">
        <is>
          <t>Auditoria e Conformidade</t>
        </is>
      </c>
      <c r="B22" s="98" t="n"/>
      <c r="C22" s="98" t="n"/>
      <c r="D22" s="98" t="n"/>
      <c r="E22" s="98" t="n"/>
    </row>
    <row r="23" ht="15" customHeight="1" s="50">
      <c r="A23" s="84" t="inlineStr">
        <is>
          <t>Documentos e Impressão</t>
        </is>
      </c>
      <c r="B23" s="98" t="n"/>
      <c r="C23" s="98" t="n"/>
      <c r="D23" s="98" t="n"/>
      <c r="E23" s="98" t="n"/>
    </row>
    <row r="24" ht="15" customHeight="1" s="50">
      <c r="A24" s="84" t="inlineStr">
        <is>
          <t>Setor Público (opcional)</t>
        </is>
      </c>
      <c r="B24" s="98" t="n"/>
      <c r="C24" s="98" t="n"/>
      <c r="D24" s="98" t="n"/>
      <c r="E24" s="98" t="n"/>
    </row>
    <row r="25" ht="15" customHeight="1" s="50">
      <c r="A25" s="84" t="inlineStr">
        <is>
          <t>Painéis</t>
        </is>
      </c>
      <c r="B25" s="98" t="n"/>
      <c r="C25" s="98" t="n"/>
      <c r="D25" s="98" t="n"/>
      <c r="E25" s="98" t="n"/>
    </row>
    <row r="26" ht="15" customHeight="1" s="50">
      <c r="A26" s="98" t="n"/>
      <c r="B26" s="98" t="n"/>
      <c r="C26" s="98" t="n"/>
      <c r="D26" s="98" t="n"/>
      <c r="E26" s="98" t="n"/>
    </row>
    <row r="27" ht="15" customHeight="1" s="50">
      <c r="A27" s="98" t="n"/>
      <c r="B27" s="98" t="n"/>
      <c r="C27" s="98" t="n"/>
      <c r="D27" s="98" t="n"/>
      <c r="E27" s="98" t="n"/>
    </row>
    <row r="28" ht="15" customHeight="1" s="50">
      <c r="A28" s="98" t="n"/>
      <c r="B28" s="98" t="n"/>
      <c r="C28" s="98" t="n"/>
      <c r="D28" s="98" t="n"/>
      <c r="E28" s="98" t="n"/>
    </row>
    <row r="29" ht="15" customHeight="1" s="50">
      <c r="A29" s="98" t="n"/>
      <c r="B29" s="98" t="n"/>
      <c r="C29" s="98" t="n"/>
      <c r="D29" s="98" t="n"/>
      <c r="E29" s="98" t="n"/>
    </row>
    <row r="30" ht="15" customHeight="1" s="50">
      <c r="A30" s="98" t="n"/>
      <c r="B30" s="98" t="n"/>
      <c r="C30" s="98" t="n"/>
      <c r="D30" s="98" t="n"/>
      <c r="E30" s="98" t="n"/>
    </row>
    <row r="31" ht="15" customHeight="1" s="50">
      <c r="A31" s="98" t="n"/>
      <c r="B31" s="98" t="n"/>
      <c r="C31" s="98" t="n"/>
      <c r="D31" s="98" t="n"/>
      <c r="E31" s="98" t="n"/>
    </row>
    <row r="32" ht="15" customHeight="1" s="50">
      <c r="A32" s="98" t="n"/>
      <c r="B32" s="98" t="n"/>
      <c r="C32" s="98" t="n"/>
      <c r="D32" s="98" t="n"/>
      <c r="E32" s="98" t="n"/>
    </row>
    <row r="33" ht="15" customHeight="1" s="50">
      <c r="A33" s="98" t="n"/>
      <c r="B33" s="98" t="n"/>
      <c r="C33" s="98" t="n"/>
      <c r="D33" s="98" t="n"/>
      <c r="E33" s="98" t="n"/>
    </row>
    <row r="34" ht="15" customHeight="1" s="50">
      <c r="A34" s="98" t="n"/>
      <c r="B34" s="98" t="n"/>
      <c r="C34" s="98" t="n"/>
      <c r="D34" s="98" t="n"/>
      <c r="E34" s="98" t="n"/>
    </row>
    <row r="35" ht="15" customHeight="1" s="50">
      <c r="A35" s="98" t="n"/>
      <c r="B35" s="98" t="n"/>
      <c r="C35" s="98" t="n"/>
      <c r="D35" s="98" t="n"/>
      <c r="E35" s="98" t="n"/>
    </row>
    <row r="36" ht="15" customHeight="1" s="50">
      <c r="A36" s="98" t="n"/>
      <c r="B36" s="98" t="n"/>
      <c r="C36" s="98" t="n"/>
      <c r="D36" s="98" t="n"/>
      <c r="E36" s="98" t="n"/>
    </row>
    <row r="37" ht="15" customHeight="1" s="50">
      <c r="A37" s="98" t="n"/>
      <c r="B37" s="98" t="n"/>
      <c r="C37" s="98" t="n"/>
      <c r="D37" s="98" t="n"/>
      <c r="E37" s="98" t="n"/>
    </row>
    <row r="38" ht="15" customHeight="1" s="50">
      <c r="A38" s="98" t="n"/>
      <c r="B38" s="98" t="n"/>
      <c r="C38" s="98" t="n"/>
      <c r="D38" s="98" t="n"/>
      <c r="E38" s="9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style="50" min="1" max="1"/>
    <col width="20" customWidth="1" style="50" min="2" max="2"/>
    <col width="45" customWidth="1" style="50" min="3" max="3"/>
    <col width="48" customWidth="1" style="50" min="4" max="4"/>
    <col width="48" customWidth="1" style="50" min="5" max="5"/>
    <col width="22" customWidth="1" style="50" min="6" max="6"/>
    <col width="48" customWidth="1" style="50" min="7" max="7"/>
  </cols>
  <sheetData>
    <row r="1" ht="28" customHeight="1" s="50">
      <c r="A1" s="99" t="inlineStr">
        <is>
          <t>Kodoo — Manifesto de arquivos, funções e interconexões (Fase 3)</t>
        </is>
      </c>
    </row>
    <row r="2" ht="36" customHeight="1" s="50">
      <c r="A2" s="100" t="inlineStr">
        <is>
          <t>Inventário stand-alone da implementação auditada. Caminhos são relativos à raiz do repositório bootstrapprx/kodoo. F3 usa o Project Manager como primeira fatia nativa; o aceite PostgreSQL 18/CI ainda precisa ser executado.</t>
        </is>
      </c>
    </row>
    <row r="3">
      <c r="A3" s="100" t="inlineStr">
        <is>
          <t>Entrega Fase 3: commit 318195e | PR #56: https://github.com/bootstrapprx/kodoo/pull/56 | Branch: feat/f3-project-manager-slice</t>
        </is>
      </c>
    </row>
    <row r="4">
      <c r="A4" s="101" t="inlineStr">
        <is>
          <t>Arquivo / diretório</t>
        </is>
      </c>
      <c r="B4" s="101" t="inlineStr">
        <is>
          <t>Camada</t>
        </is>
      </c>
      <c r="C4" s="101" t="inlineStr">
        <is>
          <t>Função principal</t>
        </is>
      </c>
      <c r="D4" s="101" t="inlineStr">
        <is>
          <t>Interconecta com</t>
        </is>
      </c>
      <c r="E4" s="101" t="inlineStr">
        <is>
          <t>Evidência / comando</t>
        </is>
      </c>
      <c r="F4" s="101" t="inlineStr">
        <is>
          <t>Estado F2</t>
        </is>
      </c>
      <c r="G4" s="101" t="inlineStr">
        <is>
          <t>Observações</t>
        </is>
      </c>
    </row>
    <row r="5" ht="54" customHeight="1" s="50">
      <c r="A5" s="100" t="inlineStr">
        <is>
          <t>context/roadmap.md</t>
        </is>
      </c>
      <c r="B5" s="100" t="inlineStr">
        <is>
          <t>Governança</t>
        </is>
      </c>
      <c r="C5" s="100" t="inlineStr">
        <is>
          <t>Define fases F0–F6, dependências e critérios de saída</t>
        </is>
      </c>
      <c r="D5" s="100" t="inlineStr">
        <is>
          <t>context/identity-isolation.md; Roadmap; RM-003/RM-004</t>
        </is>
      </c>
      <c r="E5" s="100" t="inlineStr">
        <is>
          <t>Revisão documental + CI PostgreSQL 18</t>
        </is>
      </c>
      <c r="F5" s="100" t="inlineStr">
        <is>
          <t>Atualizado</t>
        </is>
      </c>
      <c r="G5" s="100" t="inlineStr">
        <is>
          <t>F2 permanece pendente até evidência CI.</t>
        </is>
      </c>
    </row>
    <row r="6" ht="54" customHeight="1" s="50">
      <c r="A6" s="102" t="inlineStr">
        <is>
          <t>context/identity-isolation.md</t>
        </is>
      </c>
      <c r="B6" s="102" t="inlineStr">
        <is>
          <t>Contrato</t>
        </is>
      </c>
      <c r="C6" s="102" t="inlineStr">
        <is>
          <t>Decide organização, principal, membership, proveniência e ameaça D-07</t>
        </is>
      </c>
      <c r="D6" s="102" t="inlineStr">
        <is>
          <t>schema/postgresql/migrations; kodoo-core; kodoo-postgres</t>
        </is>
      </c>
      <c r="E6" s="102" t="inlineStr">
        <is>
          <t>Leitura do contrato + testes SQL F2</t>
        </is>
      </c>
      <c r="F6" s="102" t="inlineStr">
        <is>
          <t>Implementado</t>
        </is>
      </c>
      <c r="G6" s="102" t="inlineStr">
        <is>
          <t>GUC é transporte transacional, não prova criptográfica.</t>
        </is>
      </c>
    </row>
    <row r="7" ht="54" customHeight="1" s="50">
      <c r="A7" s="100" t="inlineStr">
        <is>
          <t>context/f2-authorization-matrix.md</t>
        </is>
      </c>
      <c r="B7" s="100" t="inlineStr">
        <is>
          <t>Evidência</t>
        </is>
      </c>
      <c r="C7" s="100" t="inlineStr">
        <is>
          <t>Matriz de operação × escopo × capacidade × teste</t>
        </is>
      </c>
      <c r="D7" s="100" t="inlineStr">
        <is>
          <t>project-manager; kodoo-postgres; testes SQL</t>
        </is>
      </c>
      <c r="E7" s="100" t="inlineStr">
        <is>
          <t>cargo test -p kodoo-core --test identity_contract</t>
        </is>
      </c>
      <c r="F7" s="100" t="inlineStr">
        <is>
          <t>Implementado</t>
        </is>
      </c>
      <c r="G7" s="100" t="inlineStr">
        <is>
          <t>Novo artefato da Fase 2; aceite CI ainda pendente.</t>
        </is>
      </c>
    </row>
    <row r="8" ht="54" customHeight="1" s="50">
      <c r="A8" s="102" t="inlineStr">
        <is>
          <t>crates/kodoo-core/src/identity.rs</t>
        </is>
      </c>
      <c r="B8" s="102" t="inlineStr">
        <is>
          <t>Domínio</t>
        </is>
      </c>
      <c r="C8" s="102" t="inlineStr">
        <is>
          <t>Modela Principal, Membership, status, janela e identidade externa</t>
        </is>
      </c>
      <c r="D8" s="102" t="inlineStr">
        <is>
          <t>authorization.rs; PostgresStore</t>
        </is>
      </c>
      <c r="E8" s="102" t="inlineStr">
        <is>
          <t>cargo test -p kodoo-core --test identity_contract</t>
        </is>
      </c>
      <c r="F8" s="102" t="inlineStr">
        <is>
          <t>Implementado</t>
        </is>
      </c>
      <c r="G8" s="102" t="inlineStr">
        <is>
          <t>IDs nativos UUIDv7 e invariantes sem I/O.</t>
        </is>
      </c>
    </row>
    <row r="9" ht="54" customHeight="1" s="50">
      <c r="A9" s="100" t="inlineStr">
        <is>
          <t>crates/kodoo-core/src/authorization.rs</t>
        </is>
      </c>
      <c r="B9" s="100" t="inlineStr">
        <is>
          <t>Domínio</t>
        </is>
      </c>
      <c r="C9" s="100" t="inlineStr">
        <is>
          <t>Autoriza capability para ator/membership/organização</t>
        </is>
      </c>
      <c r="D9" s="100" t="inlineStr">
        <is>
          <t>identity.rs; consumidores de domínio</t>
        </is>
      </c>
      <c r="E9" s="100" t="inlineStr">
        <is>
          <t>cargo test -p kodoo-core --test identity_contract</t>
        </is>
      </c>
      <c r="F9" s="100" t="inlineStr">
        <is>
          <t>Implementado</t>
        </is>
      </c>
      <c r="G9" s="100" t="inlineStr">
        <is>
          <t>Catálogo de roles é explícito por consumidor; desconhecidos negam.</t>
        </is>
      </c>
    </row>
    <row r="10" ht="54" customHeight="1" s="50">
      <c r="A10" s="102" t="inlineStr">
        <is>
          <t>crates/kodoo-core/src/organization.rs</t>
        </is>
      </c>
      <c r="B10" s="102" t="inlineStr">
        <is>
          <t>Domínio</t>
        </is>
      </c>
      <c r="C10" s="102" t="inlineStr">
        <is>
          <t>Valida hierarquia organizacional sem herdar autorização</t>
        </is>
      </c>
      <c r="D10" s="102" t="inlineStr">
        <is>
          <t>identity.rs; schemas organization</t>
        </is>
      </c>
      <c r="E10" s="102" t="inlineStr">
        <is>
          <t>cargo test -p kodoo-core --test identity_contract</t>
        </is>
      </c>
      <c r="F10" s="102" t="inlineStr">
        <is>
          <t>Implementado</t>
        </is>
      </c>
      <c r="G10" s="102" t="inlineStr">
        <is>
          <t>Holding não concede acesso automático à filha.</t>
        </is>
      </c>
    </row>
    <row r="11" ht="54" customHeight="1" s="50">
      <c r="A11" s="100" t="inlineStr">
        <is>
          <t>crates/kodoo-postgres/src/lib.rs</t>
        </is>
      </c>
      <c r="B11" s="100" t="inlineStr">
        <is>
          <t>Persistência</t>
        </is>
      </c>
      <c r="C11" s="100" t="inlineStr">
        <is>
          <t>Abre transação, resolve ator, aplica GUC local e portas autorizadas</t>
        </is>
      </c>
      <c r="D11" s="100" t="inlineStr">
        <is>
          <t>kodoo-core; schema; backend/modules</t>
        </is>
      </c>
      <c r="E11" s="100" t="inlineStr">
        <is>
          <t>cargo test -p kodoo-postgres --test identity_context</t>
        </is>
      </c>
      <c r="F11" s="100" t="inlineStr">
        <is>
          <t>Implementado</t>
        </is>
      </c>
      <c r="G11" s="100" t="inlineStr">
        <is>
          <t>Commit/rollback/erro limpam contexto em pool.</t>
        </is>
      </c>
    </row>
    <row r="12" ht="54" customHeight="1" s="50">
      <c r="A12" s="102" t="inlineStr">
        <is>
          <t>crates/kodoo-postgres/src/project_manager.rs</t>
        </is>
      </c>
      <c r="B12" s="102" t="inlineStr">
        <is>
          <t>Persistência</t>
        </is>
      </c>
      <c r="C12" s="102" t="inlineStr">
        <is>
          <t>Lista/lê/escreve projetos dentro de transação com capability</t>
        </is>
      </c>
      <c r="D12" s="102" t="inlineStr">
        <is>
          <t>project-manager; SQL project_manager</t>
        </is>
      </c>
      <c r="E12" s="102" t="inlineStr">
        <is>
          <t>testes Rust + tests/database/0005-f2-isolation.sql</t>
        </is>
      </c>
      <c r="F12" s="102" t="inlineStr">
        <is>
          <t>Implementado</t>
        </is>
      </c>
      <c r="G12" s="102" t="inlineStr">
        <is>
          <t>Operações não recebem novo organization_id em update.</t>
        </is>
      </c>
    </row>
    <row r="13" ht="54" customHeight="1" s="50">
      <c r="A13" s="100" t="inlineStr">
        <is>
          <t>schema/postgresql/migrations/0033-project-manager.sql</t>
        </is>
      </c>
      <c r="B13" s="100" t="inlineStr">
        <is>
          <t>Banco / domínio</t>
        </is>
      </c>
      <c r="C13" s="100" t="inlineStr">
        <is>
          <t>Cria project/task/dependency, FK compostas, RLS e funções capability-checked</t>
        </is>
      </c>
      <c r="D13" s="100" t="inlineStr">
        <is>
          <t>kodoo-postgres; modules/project-manager</t>
        </is>
      </c>
      <c r="E13" s="100" t="inlineStr">
        <is>
          <t>migrate.sh + check 0002 + behavior 0005</t>
        </is>
      </c>
      <c r="F13" s="100" t="inlineStr">
        <is>
          <t>Implementado</t>
        </is>
      </c>
      <c r="G13" s="100" t="inlineStr">
        <is>
          <t>Relações cross-org são rejeitadas por FK.</t>
        </is>
      </c>
    </row>
    <row r="14" ht="54" customHeight="1" s="50">
      <c r="A14" s="102" t="inlineStr">
        <is>
          <t>schema/postgresql/migrations/0041-restrictive-worker-rls.sql</t>
        </is>
      </c>
      <c r="B14" s="102" t="inlineStr">
        <is>
          <t>Banco / worker</t>
        </is>
      </c>
      <c r="C14" s="102" t="inlineStr">
        <is>
          <t>Torna políticas de worker restritivas para outbox/receipt/audit</t>
        </is>
      </c>
      <c r="D14" s="102" t="inlineStr">
        <is>
          <t>kodoo-worker; check 0002; behavior 0005</t>
        </is>
      </c>
      <c r="E14" s="102" t="inlineStr">
        <is>
          <t>psql -f schema/postgresql/checks/0002-f2-worker-scope.sql</t>
        </is>
      </c>
      <c r="F14" s="102" t="inlineStr">
        <is>
          <t>Implementado</t>
        </is>
      </c>
      <c r="G14" s="102" t="inlineStr">
        <is>
          <t>Worker exige identidade e contexto adequado.</t>
        </is>
      </c>
    </row>
    <row r="15" ht="54" customHeight="1" s="50">
      <c r="A15" s="100" t="inlineStr">
        <is>
          <t>schema/postgresql/checks/0002-f2-worker-scope.sql</t>
        </is>
      </c>
      <c r="B15" s="100" t="inlineStr">
        <is>
          <t>Aceite estrutural</t>
        </is>
      </c>
      <c r="C15" s="100" t="inlineStr">
        <is>
          <t>Verifica RLS, políticas restritivas e ausência de views não revisadas</t>
        </is>
      </c>
      <c r="D15" s="100" t="inlineStr">
        <is>
          <t>migrations 0033/0041; CI</t>
        </is>
      </c>
      <c r="E15" s="100" t="inlineStr">
        <is>
          <t>./scripts/dev.sh check</t>
        </is>
      </c>
      <c r="F15" s="100" t="inlineStr">
        <is>
          <t>Aceite pendente</t>
        </is>
      </c>
      <c r="G15" s="100" t="inlineStr">
        <is>
          <t>Só CI PostgreSQL 18 fecha o gate.</t>
        </is>
      </c>
    </row>
    <row r="16" ht="54" customHeight="1" s="50">
      <c r="A16" s="102" t="inlineStr">
        <is>
          <t>tests/database/0005-f2-isolation.sql</t>
        </is>
      </c>
      <c r="B16" s="102" t="inlineStr">
        <is>
          <t>Aceite comportamental</t>
        </is>
      </c>
      <c r="C16" s="102" t="inlineStr">
        <is>
          <t>Exercita contexto ausente/vazio/malformado, cross-org, FK, scope move e worker</t>
        </is>
      </c>
      <c r="D16" s="102" t="inlineStr">
        <is>
          <t>PostgreSQL roles; migrations; CI</t>
        </is>
      </c>
      <c r="E16" s="102" t="inlineStr">
        <is>
          <t>psql -v ON_ERROR_STOP=1 -f tests/database/0005-f2-isolation.sql</t>
        </is>
      </c>
      <c r="F16" s="102" t="inlineStr">
        <is>
          <t>Aceite pendente</t>
        </is>
      </c>
      <c r="G16" s="102" t="inlineStr">
        <is>
          <t>Executado pelo pre-flight/CI, não presumido pela existência do arquivo.</t>
        </is>
      </c>
    </row>
    <row r="17" ht="54" customHeight="1" s="50">
      <c r="A17" s="100" t="inlineStr">
        <is>
          <t>crates/kodoo-postgres/tests/identity_context.rs</t>
        </is>
      </c>
      <c r="B17" s="100" t="inlineStr">
        <is>
          <t>Aceite Rust</t>
        </is>
      </c>
      <c r="C17" s="100" t="inlineStr">
        <is>
          <t>Prova resolução de identidade, capability, acesso cross-org e cleanup de pool</t>
        </is>
      </c>
      <c r="D17" s="100" t="inlineStr">
        <is>
          <t>kodoo-core; PostgresConfig; PostgreSQL 18</t>
        </is>
      </c>
      <c r="E17" s="100" t="inlineStr">
        <is>
          <t>cargo test -p kodoo-postgres --test identity_context -- --nocapture</t>
        </is>
      </c>
      <c r="F17" s="100" t="inlineStr">
        <is>
          <t>Aceite pendente</t>
        </is>
      </c>
      <c r="G17" s="100" t="inlineStr">
        <is>
          <t>Pula quando stack não está configurado.</t>
        </is>
      </c>
    </row>
    <row r="18" ht="54" customHeight="1" s="50">
      <c r="A18" s="102" t="inlineStr">
        <is>
          <t>modules/project-manager/src/api.rs</t>
        </is>
      </c>
      <c r="B18" s="102" t="inlineStr">
        <is>
          <t>HTTP</t>
        </is>
      </c>
      <c r="C18" s="102" t="inlineStr">
        <is>
          <t>Resolve ator no servidor e monta rotas org-scoped</t>
        </is>
      </c>
      <c r="D18" s="102" t="inlineStr">
        <is>
          <t>ProjectManagerApplication; DevelopmentGate</t>
        </is>
      </c>
      <c r="E18" s="102" t="inlineStr">
        <is>
          <t>cargo test -p project-manager --all-targets</t>
        </is>
      </c>
      <c r="F18" s="102" t="inlineStr">
        <is>
          <t>Implementado</t>
        </is>
      </c>
      <c r="G18" s="102" t="inlineStr">
        <is>
          <t>Autorização final ocorre na aplicação/persistência; não apenas na UI.</t>
        </is>
      </c>
    </row>
    <row r="19" ht="54" customHeight="1" s="50">
      <c r="A19" s="100" t="inlineStr">
        <is>
          <t>modules/project-manager/src/application.rs</t>
        </is>
      </c>
      <c r="B19" s="100" t="inlineStr">
        <is>
          <t>Caso de uso</t>
        </is>
      </c>
      <c r="C19" s="100" t="inlineStr">
        <is>
          <t>Traduz entrada HTTP em operações autorizadas do PostgresStore</t>
        </is>
      </c>
      <c r="D19" s="100" t="inlineStr">
        <is>
          <t>project-manager API; kodoo-postgres</t>
        </is>
      </c>
      <c r="E19" s="100" t="inlineStr">
        <is>
          <t>cargo test -p project-manager --all-targets</t>
        </is>
      </c>
      <c r="F19" s="100" t="inlineStr">
        <is>
          <t>Implementado</t>
        </is>
      </c>
      <c r="G19" s="100" t="inlineStr">
        <is>
          <t>F3 ainda exige demonstrar slice durável completo.</t>
        </is>
      </c>
    </row>
    <row r="20" ht="54" customHeight="1" s="50">
      <c r="A20" s="102" t="inlineStr">
        <is>
          <t>backend/src/api.rs</t>
        </is>
      </c>
      <c r="B20" s="102" t="inlineStr">
        <is>
          <t>Composição</t>
        </is>
      </c>
      <c r="C20" s="102" t="inlineStr">
        <is>
          <t>Compõe routers e runtime do backend</t>
        </is>
      </c>
      <c r="D20" s="102" t="inlineStr">
        <is>
          <t>modules; PostgresStore; worker</t>
        </is>
      </c>
      <c r="E20" s="102" t="inlineStr">
        <is>
          <t>cargo test --workspace --all-targets</t>
        </is>
      </c>
      <c r="F20" s="102" t="inlineStr">
        <is>
          <t>Em andamento</t>
        </is>
      </c>
      <c r="G20" s="102" t="inlineStr">
        <is>
          <t>API accounting histórica não fecha F3 por si só.</t>
        </is>
      </c>
    </row>
    <row r="21" ht="54" customHeight="1" s="50">
      <c r="A21" s="100" t="inlineStr">
        <is>
          <t>.github/workflows/ci.yml</t>
        </is>
      </c>
      <c r="B21" s="100" t="inlineStr">
        <is>
          <t>CI</t>
        </is>
      </c>
      <c r="C21" s="100" t="inlineStr">
        <is>
          <t>Sobe PostgreSQL 18, aplica migrations, checks e testes</t>
        </is>
      </c>
      <c r="D21" s="100" t="inlineStr">
        <is>
          <t>schema; tests/database; cargo tests</t>
        </is>
      </c>
      <c r="E21" s="100" t="inlineStr">
        <is>
          <t>GitHub Actions — job PostgreSQL</t>
        </is>
      </c>
      <c r="F21" s="100" t="inlineStr">
        <is>
          <t>Aceite pendente</t>
        </is>
      </c>
      <c r="G21" s="100" t="inlineStr">
        <is>
          <t>Evidência externa necessária para fechar F1/F2.</t>
        </is>
      </c>
    </row>
    <row r="22" ht="54" customHeight="1" s="50">
      <c r="A22" s="102" t="inlineStr">
        <is>
          <t>schema/postgresql/bootstrap/0001-roles.sql</t>
        </is>
      </c>
      <c r="B22" s="102" t="inlineStr">
        <is>
          <t>Fundação</t>
        </is>
      </c>
      <c r="C22" s="102" t="inlineStr">
        <is>
          <t>Cria roles e grants separados para app/worker/migrator</t>
        </is>
      </c>
      <c r="D22" s="102" t="inlineStr">
        <is>
          <t>migrations; CI; F1</t>
        </is>
      </c>
      <c r="E22" s="102" t="inlineStr">
        <is>
          <t>foundation-bootstrap-acceptance.sh</t>
        </is>
      </c>
      <c r="F22" s="102" t="inlineStr">
        <is>
          <t>Dependência F1</t>
        </is>
      </c>
      <c r="G22" s="102" t="inlineStr">
        <is>
          <t>F2 depende da fronteira de privilégios.</t>
        </is>
      </c>
    </row>
    <row r="23" ht="54" customHeight="1" s="50">
      <c r="A23" s="100" t="inlineStr">
        <is>
          <t>README.md</t>
        </is>
      </c>
      <c r="B23" s="100" t="inlineStr">
        <is>
          <t>Orientação</t>
        </is>
      </c>
      <c r="C23" s="100" t="inlineStr">
        <is>
          <t>Explica separação de módulos, app, API, TUI e ledger</t>
        </is>
      </c>
      <c r="D23" s="100" t="inlineStr">
        <is>
          <t>context docs; workspace crates</t>
        </is>
      </c>
      <c r="E23" s="100" t="inlineStr">
        <is>
          <t>Revisão de estrutura</t>
        </is>
      </c>
      <c r="F23" s="100" t="inlineStr">
        <is>
          <t>Atualizado</t>
        </is>
      </c>
      <c r="G23" s="100" t="inlineStr">
        <is>
          <t>Não é evidência de capacidade por si só.</t>
        </is>
      </c>
    </row>
    <row r="24" ht="54" customHeight="1" s="50">
      <c r="A24" s="102" t="inlineStr">
        <is>
          <t>context/f3-project-manager.md</t>
        </is>
      </c>
      <c r="B24" s="102" t="inlineStr">
        <is>
          <t>Contrato F3</t>
        </is>
      </c>
      <c r="C24" s="102" t="inlineStr">
        <is>
          <t>Define a fatia nativa, fluxo, limites, evidência e critérios de saída</t>
        </is>
      </c>
      <c r="D24" s="102" t="inlineStr">
        <is>
          <t>roadmap; project-manager; migration 0042; test 0006</t>
        </is>
      </c>
      <c r="E24" s="102" t="inlineStr">
        <is>
          <t>Revisão + comandos de teste documentados</t>
        </is>
      </c>
      <c r="F24" s="102" t="inlineStr">
        <is>
          <t>Implementado</t>
        </is>
      </c>
      <c r="G24" s="102" t="inlineStr">
        <is>
          <t>F4 não é requisito: não há efeito externo.</t>
        </is>
      </c>
    </row>
    <row r="25" ht="54" customHeight="1" s="50">
      <c r="A25" s="105" t="inlineStr">
        <is>
          <t>schema/postgresql/migrations/0042-project-manager-audit.sql</t>
        </is>
      </c>
      <c r="B25" s="100" t="inlineStr">
        <is>
          <t>Banco / auditoria</t>
        </is>
      </c>
      <c r="C25" s="100" t="inlineStr">
        <is>
          <t>Registra task.create, dependency.add e task.transition em mesma transação</t>
        </is>
      </c>
      <c r="D25" s="100" t="inlineStr">
        <is>
          <t>project_manager; administration.record_event; audit.event</t>
        </is>
      </c>
      <c r="E25" s="100" t="inlineStr">
        <is>
          <t>migrate.sh + behavior 0006</t>
        </is>
      </c>
      <c r="F25" s="100" t="inlineStr">
        <is>
          <t>Implementado</t>
        </is>
      </c>
      <c r="G25" s="100" t="inlineStr">
        <is>
          <t>Falhas abortam a transação e não geram sucesso auditado.</t>
        </is>
      </c>
    </row>
    <row r="26" ht="54" customHeight="1" s="50">
      <c r="A26" s="102" t="inlineStr">
        <is>
          <t>tests/database/0006-f3-project-manager.sql</t>
        </is>
      </c>
      <c r="B26" s="102" t="inlineStr">
        <is>
          <t>Aceite comportamental</t>
        </is>
      </c>
      <c r="C26" s="102" t="inlineStr">
        <is>
          <t>Prova persistência, dependência, transição inválida, auditoria e ator não autorizado</t>
        </is>
      </c>
      <c r="D26" s="102" t="inlineStr">
        <is>
          <t>migrations 0033/0039/0042; CI PostgreSQL 18</t>
        </is>
      </c>
      <c r="E26" s="102" t="inlineStr">
        <is>
          <t>psql -v ON_ERROR_STOP=1 --file=tests/database/0006-f3-project-manager.sql</t>
        </is>
      </c>
      <c r="F26" s="102" t="inlineStr">
        <is>
          <t>Aceite pendente</t>
        </is>
      </c>
      <c r="G26" s="102" t="inlineStr">
        <is>
          <t>Executado pelo loop de behavior tests no CI.</t>
        </is>
      </c>
    </row>
    <row r="27" ht="54" customHeight="1" s="50">
      <c r="A27" s="100" t="inlineStr">
        <is>
          <t>context/database-schemas.md</t>
        </is>
      </c>
      <c r="B27" s="100" t="inlineStr">
        <is>
          <t>Inventário</t>
        </is>
      </c>
      <c r="C27" s="100" t="inlineStr">
        <is>
          <t>Registra a migration 0042 no mapa canônico</t>
        </is>
      </c>
      <c r="D27" s="100" t="inlineStr">
        <is>
          <t>schema/postgresql/migrations; roadmap</t>
        </is>
      </c>
      <c r="E27" s="100" t="inlineStr">
        <is>
          <t>Revisão documental</t>
        </is>
      </c>
      <c r="F27" s="100" t="inlineStr">
        <is>
          <t>Atualizado</t>
        </is>
      </c>
      <c r="G27" s="100" t="inlineStr">
        <is>
          <t>Não substitui execução da migration.</t>
        </is>
      </c>
    </row>
    <row r="29">
      <c r="A29" s="103" t="inlineStr">
        <is>
          <t>Legenda</t>
        </is>
      </c>
    </row>
    <row r="30" ht="32" customHeight="1" s="50">
      <c r="A30" s="104" t="inlineStr">
        <is>
          <t>Implementado = código/documentação presente; Aceite pendente = validação real ainda requerida; F3 = fatia Project Manager, sem efeito externo e sem dependência de TigerBeetle.</t>
        </is>
      </c>
    </row>
  </sheetData>
  <autoFilter ref="A4:G27"/>
  <mergeCells count="4">
    <mergeCell ref="A3:G3"/>
    <mergeCell ref="A2:G2"/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2026-10-19T18:53:29Z</dcterms:created>
  <dcterms:modified xmlns:dcterms="http://purl.org/dc/terms/" xmlns:xsi="http://www.w3.org/2001/XMLSchema-instance" xsi:type="dcterms:W3CDTF">2026-10-20T17:37:37Z</dcterms:modified>
  <cp:revision>2</cp:revision>
</cp:coreProperties>
</file>